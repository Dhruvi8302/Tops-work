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MIN\Desktop\excel\Assignment-excel\"/>
    </mc:Choice>
  </mc:AlternateContent>
  <xr:revisionPtr revIDLastSave="0" documentId="13_ncr:1_{D401EEA7-AA48-4B32-8708-B813CAB7D5CB}" xr6:coauthVersionLast="47" xr6:coauthVersionMax="47" xr10:uidLastSave="{00000000-0000-0000-0000-000000000000}"/>
  <bookViews>
    <workbookView xWindow="-108" yWindow="-108" windowWidth="23256" windowHeight="12576" xr2:uid="{0B73A451-E903-4805-8878-125F4B22E66F}"/>
  </bookViews>
  <sheets>
    <sheet name="HealthCare" sheetId="1" r:id="rId1"/>
    <sheet name="Pivot table" sheetId="2" r:id="rId2"/>
    <sheet name="Pivot chart" sheetId="3" r:id="rId3"/>
  </sheets>
  <definedNames>
    <definedName name="_xlcn.WorksheetConnection_HealthCareassesment.xlsxTable11" hidden="1">Table1[]</definedName>
    <definedName name="Slicer_Department">#N/A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HealthCare-assesmen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2" i="1"/>
  <c r="C10" i="1" a="1"/>
  <c r="C10" i="1" s="1"/>
  <c r="C11" i="1" a="1"/>
  <c r="C11" i="1" s="1"/>
  <c r="C12" i="1" a="1"/>
  <c r="C12" i="1" s="1"/>
  <c r="C13" i="1" a="1"/>
  <c r="C13" i="1" s="1"/>
  <c r="C14" i="1" a="1"/>
  <c r="C14" i="1" s="1"/>
  <c r="C15" i="1" a="1"/>
  <c r="C15" i="1" s="1"/>
  <c r="C16" i="1" a="1"/>
  <c r="C16" i="1" s="1"/>
  <c r="C17" i="1" a="1"/>
  <c r="C17" i="1" s="1"/>
  <c r="C18" i="1" a="1"/>
  <c r="C18" i="1" s="1"/>
  <c r="C19" i="1" a="1"/>
  <c r="C19" i="1" s="1"/>
  <c r="C20" i="1" a="1"/>
  <c r="C20" i="1" s="1"/>
  <c r="C21" i="1" a="1"/>
  <c r="C21" i="1" s="1"/>
  <c r="C22" i="1" a="1"/>
  <c r="C22" i="1" s="1"/>
  <c r="C23" i="1" a="1"/>
  <c r="C23" i="1" s="1"/>
  <c r="C24" i="1" a="1"/>
  <c r="C24" i="1" s="1"/>
  <c r="C25" i="1" a="1"/>
  <c r="C25" i="1" s="1"/>
  <c r="C26" i="1" a="1"/>
  <c r="C26" i="1" s="1"/>
  <c r="C27" i="1" a="1"/>
  <c r="C27" i="1" s="1"/>
  <c r="C28" i="1" a="1"/>
  <c r="C28" i="1" s="1"/>
  <c r="C29" i="1" a="1"/>
  <c r="C29" i="1" s="1"/>
  <c r="C30" i="1" a="1"/>
  <c r="C30" i="1" s="1"/>
  <c r="C31" i="1" a="1"/>
  <c r="C31" i="1" s="1"/>
  <c r="C32" i="1" a="1"/>
  <c r="C32" i="1" s="1"/>
  <c r="C33" i="1" a="1"/>
  <c r="C33" i="1" s="1"/>
  <c r="C34" i="1" a="1"/>
  <c r="C34" i="1" s="1"/>
  <c r="C35" i="1" a="1"/>
  <c r="C35" i="1" s="1"/>
  <c r="C36" i="1" a="1"/>
  <c r="C36" i="1" s="1"/>
  <c r="C37" i="1" a="1"/>
  <c r="C37" i="1" s="1"/>
  <c r="C38" i="1" a="1"/>
  <c r="C38" i="1" s="1"/>
  <c r="C39" i="1" a="1"/>
  <c r="C39" i="1" s="1"/>
  <c r="C40" i="1" a="1"/>
  <c r="C40" i="1" s="1"/>
  <c r="C41" i="1" a="1"/>
  <c r="C41" i="1" s="1"/>
  <c r="C42" i="1" a="1"/>
  <c r="C42" i="1" s="1"/>
  <c r="C43" i="1" a="1"/>
  <c r="C43" i="1" s="1"/>
  <c r="C44" i="1" a="1"/>
  <c r="C44" i="1" s="1"/>
  <c r="C45" i="1" a="1"/>
  <c r="C45" i="1" s="1"/>
  <c r="C46" i="1" a="1"/>
  <c r="C46" i="1" s="1"/>
  <c r="C47" i="1" a="1"/>
  <c r="C47" i="1" s="1"/>
  <c r="C48" i="1" a="1"/>
  <c r="C48" i="1" s="1"/>
  <c r="C49" i="1" a="1"/>
  <c r="C49" i="1" s="1"/>
  <c r="C50" i="1" a="1"/>
  <c r="C50" i="1" s="1"/>
  <c r="C51" i="1" a="1"/>
  <c r="C51" i="1" s="1"/>
  <c r="C52" i="1" a="1"/>
  <c r="C52" i="1" s="1"/>
  <c r="C53" i="1" a="1"/>
  <c r="C53" i="1" s="1"/>
  <c r="C54" i="1" a="1"/>
  <c r="C54" i="1" s="1"/>
  <c r="C55" i="1" a="1"/>
  <c r="C55" i="1" s="1"/>
  <c r="C56" i="1" a="1"/>
  <c r="C56" i="1" s="1"/>
  <c r="C57" i="1" a="1"/>
  <c r="C57" i="1" s="1"/>
  <c r="C58" i="1" a="1"/>
  <c r="C58" i="1" s="1"/>
  <c r="C59" i="1" a="1"/>
  <c r="C59" i="1" s="1"/>
  <c r="C60" i="1" a="1"/>
  <c r="C60" i="1" s="1"/>
  <c r="C61" i="1" a="1"/>
  <c r="C61" i="1" s="1"/>
  <c r="C62" i="1" a="1"/>
  <c r="C62" i="1" s="1"/>
  <c r="C63" i="1" a="1"/>
  <c r="C63" i="1" s="1"/>
  <c r="C64" i="1" a="1"/>
  <c r="C64" i="1" s="1"/>
  <c r="C65" i="1" a="1"/>
  <c r="C65" i="1" s="1"/>
  <c r="C66" i="1" a="1"/>
  <c r="C66" i="1" s="1"/>
  <c r="C67" i="1" a="1"/>
  <c r="C67" i="1" s="1"/>
  <c r="C68" i="1" a="1"/>
  <c r="C68" i="1" s="1"/>
  <c r="C69" i="1" a="1"/>
  <c r="C69" i="1" s="1"/>
  <c r="C70" i="1" a="1"/>
  <c r="C70" i="1" s="1"/>
  <c r="C71" i="1" a="1"/>
  <c r="C71" i="1" s="1"/>
  <c r="C72" i="1" a="1"/>
  <c r="C72" i="1" s="1"/>
  <c r="C73" i="1" a="1"/>
  <c r="C73" i="1" s="1"/>
  <c r="C74" i="1" a="1"/>
  <c r="C74" i="1" s="1"/>
  <c r="C75" i="1" a="1"/>
  <c r="C75" i="1" s="1"/>
  <c r="C76" i="1" a="1"/>
  <c r="C76" i="1" s="1"/>
  <c r="C77" i="1" a="1"/>
  <c r="C77" i="1" s="1"/>
  <c r="C78" i="1" a="1"/>
  <c r="C78" i="1" s="1"/>
  <c r="C79" i="1" a="1"/>
  <c r="C79" i="1" s="1"/>
  <c r="C80" i="1" a="1"/>
  <c r="C80" i="1" s="1"/>
  <c r="C81" i="1" a="1"/>
  <c r="C81" i="1" s="1"/>
  <c r="C82" i="1" a="1"/>
  <c r="C82" i="1" s="1"/>
  <c r="C83" i="1" a="1"/>
  <c r="C83" i="1" s="1"/>
  <c r="C84" i="1" a="1"/>
  <c r="C84" i="1" s="1"/>
  <c r="C85" i="1" a="1"/>
  <c r="C85" i="1" s="1"/>
  <c r="C86" i="1" a="1"/>
  <c r="C86" i="1" s="1"/>
  <c r="C87" i="1" a="1"/>
  <c r="C87" i="1" s="1"/>
  <c r="C88" i="1" a="1"/>
  <c r="C88" i="1" s="1"/>
  <c r="C89" i="1" a="1"/>
  <c r="C89" i="1" s="1"/>
  <c r="C90" i="1" a="1"/>
  <c r="C90" i="1" s="1"/>
  <c r="C91" i="1" a="1"/>
  <c r="C91" i="1" s="1"/>
  <c r="C92" i="1" a="1"/>
  <c r="C92" i="1" s="1"/>
  <c r="C93" i="1" a="1"/>
  <c r="C93" i="1" s="1"/>
  <c r="C94" i="1" a="1"/>
  <c r="C94" i="1" s="1"/>
  <c r="C95" i="1" a="1"/>
  <c r="C95" i="1" s="1"/>
  <c r="C96" i="1" a="1"/>
  <c r="C96" i="1" s="1"/>
  <c r="C97" i="1" a="1"/>
  <c r="C97" i="1" s="1"/>
  <c r="C98" i="1" a="1"/>
  <c r="C98" i="1" s="1"/>
  <c r="C99" i="1" a="1"/>
  <c r="C99" i="1" s="1"/>
  <c r="C100" i="1" a="1"/>
  <c r="C100" i="1" s="1"/>
  <c r="C101" i="1" a="1"/>
  <c r="C101" i="1" s="1"/>
  <c r="C102" i="1" a="1"/>
  <c r="C102" i="1" s="1"/>
  <c r="C103" i="1" a="1"/>
  <c r="C103" i="1" s="1"/>
  <c r="C104" i="1" a="1"/>
  <c r="C104" i="1" s="1"/>
  <c r="C105" i="1" a="1"/>
  <c r="C105" i="1" s="1"/>
  <c r="C106" i="1" a="1"/>
  <c r="C106" i="1" s="1"/>
  <c r="C107" i="1" a="1"/>
  <c r="C107" i="1" s="1"/>
  <c r="C108" i="1" a="1"/>
  <c r="C108" i="1" s="1"/>
  <c r="C109" i="1" a="1"/>
  <c r="C109" i="1" s="1"/>
  <c r="C110" i="1" a="1"/>
  <c r="C110" i="1" s="1"/>
  <c r="C111" i="1" a="1"/>
  <c r="C111" i="1" s="1"/>
  <c r="C112" i="1" a="1"/>
  <c r="C112" i="1" s="1"/>
  <c r="C113" i="1" a="1"/>
  <c r="C113" i="1" s="1"/>
  <c r="C114" i="1" a="1"/>
  <c r="C114" i="1" s="1"/>
  <c r="C115" i="1" a="1"/>
  <c r="C115" i="1" s="1"/>
  <c r="C116" i="1" a="1"/>
  <c r="C116" i="1" s="1"/>
  <c r="C117" i="1" a="1"/>
  <c r="C117" i="1" s="1"/>
  <c r="C118" i="1" a="1"/>
  <c r="C118" i="1" s="1"/>
  <c r="C119" i="1" a="1"/>
  <c r="C119" i="1" s="1"/>
  <c r="C120" i="1" a="1"/>
  <c r="C120" i="1" s="1"/>
  <c r="C121" i="1" a="1"/>
  <c r="C121" i="1" s="1"/>
  <c r="C122" i="1" a="1"/>
  <c r="C122" i="1" s="1"/>
  <c r="C123" i="1" a="1"/>
  <c r="C123" i="1" s="1"/>
  <c r="C124" i="1" a="1"/>
  <c r="C124" i="1" s="1"/>
  <c r="C125" i="1" a="1"/>
  <c r="C125" i="1" s="1"/>
  <c r="C126" i="1" a="1"/>
  <c r="C126" i="1" s="1"/>
  <c r="C127" i="1" a="1"/>
  <c r="C127" i="1" s="1"/>
  <c r="C128" i="1" a="1"/>
  <c r="C128" i="1" s="1"/>
  <c r="C129" i="1" a="1"/>
  <c r="C129" i="1" s="1"/>
  <c r="C130" i="1" a="1"/>
  <c r="C130" i="1" s="1"/>
  <c r="C131" i="1" a="1"/>
  <c r="C131" i="1" s="1"/>
  <c r="C132" i="1" a="1"/>
  <c r="C132" i="1" s="1"/>
  <c r="C133" i="1" a="1"/>
  <c r="C133" i="1" s="1"/>
  <c r="C134" i="1" a="1"/>
  <c r="C134" i="1" s="1"/>
  <c r="C135" i="1" a="1"/>
  <c r="C135" i="1" s="1"/>
  <c r="C136" i="1" a="1"/>
  <c r="C136" i="1" s="1"/>
  <c r="C137" i="1" a="1"/>
  <c r="C137" i="1" s="1"/>
  <c r="C138" i="1" a="1"/>
  <c r="C138" i="1" s="1"/>
  <c r="C139" i="1" a="1"/>
  <c r="C139" i="1" s="1"/>
  <c r="C140" i="1" a="1"/>
  <c r="C140" i="1" s="1"/>
  <c r="C141" i="1" a="1"/>
  <c r="C141" i="1" s="1"/>
  <c r="C142" i="1" a="1"/>
  <c r="C142" i="1" s="1"/>
  <c r="C143" i="1" a="1"/>
  <c r="C143" i="1" s="1"/>
  <c r="C144" i="1" a="1"/>
  <c r="C144" i="1" s="1"/>
  <c r="C145" i="1" a="1"/>
  <c r="C145" i="1" s="1"/>
  <c r="C146" i="1" a="1"/>
  <c r="C146" i="1" s="1"/>
  <c r="C147" i="1" a="1"/>
  <c r="C147" i="1" s="1"/>
  <c r="C148" i="1" a="1"/>
  <c r="C148" i="1" s="1"/>
  <c r="C149" i="1" a="1"/>
  <c r="C149" i="1" s="1"/>
  <c r="C150" i="1" a="1"/>
  <c r="C150" i="1" s="1"/>
  <c r="C151" i="1" a="1"/>
  <c r="C151" i="1" s="1"/>
  <c r="C152" i="1" a="1"/>
  <c r="C152" i="1" s="1"/>
  <c r="C153" i="1" a="1"/>
  <c r="C153" i="1" s="1"/>
  <c r="C154" i="1" a="1"/>
  <c r="C154" i="1" s="1"/>
  <c r="C155" i="1" a="1"/>
  <c r="C155" i="1" s="1"/>
  <c r="C156" i="1" a="1"/>
  <c r="C156" i="1" s="1"/>
  <c r="C157" i="1" a="1"/>
  <c r="C157" i="1" s="1"/>
  <c r="C158" i="1" a="1"/>
  <c r="C158" i="1" s="1"/>
  <c r="C159" i="1" a="1"/>
  <c r="C159" i="1" s="1"/>
  <c r="C160" i="1" a="1"/>
  <c r="C160" i="1" s="1"/>
  <c r="C161" i="1" a="1"/>
  <c r="C161" i="1" s="1"/>
  <c r="C162" i="1" a="1"/>
  <c r="C162" i="1" s="1"/>
  <c r="C163" i="1" a="1"/>
  <c r="C163" i="1" s="1"/>
  <c r="C164" i="1" a="1"/>
  <c r="C164" i="1" s="1"/>
  <c r="C165" i="1" a="1"/>
  <c r="C165" i="1" s="1"/>
  <c r="C166" i="1" a="1"/>
  <c r="C166" i="1" s="1"/>
  <c r="C167" i="1" a="1"/>
  <c r="C167" i="1" s="1"/>
  <c r="C168" i="1" a="1"/>
  <c r="C168" i="1" s="1"/>
  <c r="C169" i="1" a="1"/>
  <c r="C169" i="1" s="1"/>
  <c r="C170" i="1" a="1"/>
  <c r="C170" i="1" s="1"/>
  <c r="C171" i="1" a="1"/>
  <c r="C171" i="1" s="1"/>
  <c r="C172" i="1" a="1"/>
  <c r="C172" i="1" s="1"/>
  <c r="C173" i="1" a="1"/>
  <c r="C173" i="1" s="1"/>
  <c r="C174" i="1" a="1"/>
  <c r="C174" i="1" s="1"/>
  <c r="C175" i="1" a="1"/>
  <c r="C175" i="1" s="1"/>
  <c r="C176" i="1" a="1"/>
  <c r="C176" i="1" s="1"/>
  <c r="C177" i="1" a="1"/>
  <c r="C177" i="1" s="1"/>
  <c r="C178" i="1" a="1"/>
  <c r="C178" i="1" s="1"/>
  <c r="C179" i="1" a="1"/>
  <c r="C179" i="1" s="1"/>
  <c r="C180" i="1" a="1"/>
  <c r="C180" i="1" s="1"/>
  <c r="C181" i="1" a="1"/>
  <c r="C181" i="1" s="1"/>
  <c r="C182" i="1" a="1"/>
  <c r="C182" i="1" s="1"/>
  <c r="C183" i="1" a="1"/>
  <c r="C183" i="1" s="1"/>
  <c r="C184" i="1" a="1"/>
  <c r="C184" i="1" s="1"/>
  <c r="C185" i="1" a="1"/>
  <c r="C185" i="1" s="1"/>
  <c r="C186" i="1" a="1"/>
  <c r="C186" i="1" s="1"/>
  <c r="C187" i="1" a="1"/>
  <c r="C187" i="1" s="1"/>
  <c r="C188" i="1" a="1"/>
  <c r="C188" i="1" s="1"/>
  <c r="C189" i="1" a="1"/>
  <c r="C189" i="1" s="1"/>
  <c r="C190" i="1" a="1"/>
  <c r="C190" i="1" s="1"/>
  <c r="C191" i="1" a="1"/>
  <c r="C191" i="1" s="1"/>
  <c r="C192" i="1" a="1"/>
  <c r="C192" i="1" s="1"/>
  <c r="C193" i="1" a="1"/>
  <c r="C193" i="1" s="1"/>
  <c r="C194" i="1" a="1"/>
  <c r="C194" i="1" s="1"/>
  <c r="C195" i="1" a="1"/>
  <c r="C195" i="1" s="1"/>
  <c r="C196" i="1" a="1"/>
  <c r="C196" i="1" s="1"/>
  <c r="C197" i="1" a="1"/>
  <c r="C197" i="1" s="1"/>
  <c r="C198" i="1" a="1"/>
  <c r="C198" i="1" s="1"/>
  <c r="C199" i="1" a="1"/>
  <c r="C199" i="1" s="1"/>
  <c r="C200" i="1" a="1"/>
  <c r="C200" i="1" s="1"/>
  <c r="C201" i="1" a="1"/>
  <c r="C201" i="1" s="1"/>
  <c r="C202" i="1" a="1"/>
  <c r="C202" i="1" s="1"/>
  <c r="C203" i="1" a="1"/>
  <c r="C203" i="1" s="1"/>
  <c r="C204" i="1" a="1"/>
  <c r="C204" i="1" s="1"/>
  <c r="C205" i="1" a="1"/>
  <c r="C205" i="1" s="1"/>
  <c r="C206" i="1" a="1"/>
  <c r="C206" i="1" s="1"/>
  <c r="C207" i="1" a="1"/>
  <c r="C207" i="1" s="1"/>
  <c r="C208" i="1" a="1"/>
  <c r="C208" i="1" s="1"/>
  <c r="C209" i="1" a="1"/>
  <c r="C209" i="1" s="1"/>
  <c r="C210" i="1" a="1"/>
  <c r="C210" i="1" s="1"/>
  <c r="C211" i="1" a="1"/>
  <c r="C211" i="1" s="1"/>
  <c r="C212" i="1" a="1"/>
  <c r="C212" i="1" s="1"/>
  <c r="C213" i="1" a="1"/>
  <c r="C213" i="1" s="1"/>
  <c r="C214" i="1" a="1"/>
  <c r="C214" i="1" s="1"/>
  <c r="C215" i="1" a="1"/>
  <c r="C215" i="1" s="1"/>
  <c r="C216" i="1" a="1"/>
  <c r="C216" i="1" s="1"/>
  <c r="C217" i="1" a="1"/>
  <c r="C217" i="1" s="1"/>
  <c r="C218" i="1" a="1"/>
  <c r="C218" i="1" s="1"/>
  <c r="C219" i="1" a="1"/>
  <c r="C219" i="1" s="1"/>
  <c r="C220" i="1" a="1"/>
  <c r="C220" i="1" s="1"/>
  <c r="C221" i="1" a="1"/>
  <c r="C221" i="1" s="1"/>
  <c r="C222" i="1" a="1"/>
  <c r="C222" i="1" s="1"/>
  <c r="C223" i="1" a="1"/>
  <c r="C223" i="1" s="1"/>
  <c r="C224" i="1" a="1"/>
  <c r="C224" i="1" s="1"/>
  <c r="C225" i="1" a="1"/>
  <c r="C225" i="1" s="1"/>
  <c r="C226" i="1" a="1"/>
  <c r="C226" i="1" s="1"/>
  <c r="C227" i="1" a="1"/>
  <c r="C227" i="1" s="1"/>
  <c r="C228" i="1" a="1"/>
  <c r="C228" i="1" s="1"/>
  <c r="C229" i="1" a="1"/>
  <c r="C229" i="1" s="1"/>
  <c r="C230" i="1" a="1"/>
  <c r="C230" i="1" s="1"/>
  <c r="C231" i="1" a="1"/>
  <c r="C231" i="1" s="1"/>
  <c r="C232" i="1" a="1"/>
  <c r="C232" i="1" s="1"/>
  <c r="C233" i="1" a="1"/>
  <c r="C233" i="1" s="1"/>
  <c r="C234" i="1" a="1"/>
  <c r="C234" i="1" s="1"/>
  <c r="C235" i="1" a="1"/>
  <c r="C235" i="1" s="1"/>
  <c r="C236" i="1" a="1"/>
  <c r="C236" i="1" s="1"/>
  <c r="C237" i="1" a="1"/>
  <c r="C237" i="1" s="1"/>
  <c r="C238" i="1" a="1"/>
  <c r="C238" i="1" s="1"/>
  <c r="C239" i="1" a="1"/>
  <c r="C239" i="1" s="1"/>
  <c r="C240" i="1" a="1"/>
  <c r="C240" i="1" s="1"/>
  <c r="C241" i="1" a="1"/>
  <c r="C241" i="1" s="1"/>
  <c r="C242" i="1" a="1"/>
  <c r="C242" i="1" s="1"/>
  <c r="C243" i="1" a="1"/>
  <c r="C243" i="1" s="1"/>
  <c r="C244" i="1" a="1"/>
  <c r="C244" i="1" s="1"/>
  <c r="C245" i="1" a="1"/>
  <c r="C245" i="1" s="1"/>
  <c r="C246" i="1" a="1"/>
  <c r="C246" i="1" s="1"/>
  <c r="C247" i="1" a="1"/>
  <c r="C247" i="1" s="1"/>
  <c r="C248" i="1" a="1"/>
  <c r="C248" i="1" s="1"/>
  <c r="C249" i="1" a="1"/>
  <c r="C249" i="1" s="1"/>
  <c r="C250" i="1" a="1"/>
  <c r="C250" i="1" s="1"/>
  <c r="C251" i="1" a="1"/>
  <c r="C251" i="1" s="1"/>
  <c r="C252" i="1" a="1"/>
  <c r="C252" i="1" s="1"/>
  <c r="C253" i="1" a="1"/>
  <c r="C253" i="1" s="1"/>
  <c r="C254" i="1" a="1"/>
  <c r="C254" i="1" s="1"/>
  <c r="C255" i="1" a="1"/>
  <c r="C255" i="1" s="1"/>
  <c r="C256" i="1" a="1"/>
  <c r="C256" i="1" s="1"/>
  <c r="C257" i="1" a="1"/>
  <c r="C257" i="1" s="1"/>
  <c r="C258" i="1" a="1"/>
  <c r="C258" i="1" s="1"/>
  <c r="C259" i="1" a="1"/>
  <c r="C259" i="1" s="1"/>
  <c r="C260" i="1" a="1"/>
  <c r="C260" i="1" s="1"/>
  <c r="C261" i="1" a="1"/>
  <c r="C261" i="1" s="1"/>
  <c r="C262" i="1" a="1"/>
  <c r="C262" i="1" s="1"/>
  <c r="C263" i="1" a="1"/>
  <c r="C263" i="1" s="1"/>
  <c r="C264" i="1" a="1"/>
  <c r="C264" i="1" s="1"/>
  <c r="C265" i="1" a="1"/>
  <c r="C265" i="1" s="1"/>
  <c r="C266" i="1" a="1"/>
  <c r="C266" i="1" s="1"/>
  <c r="C267" i="1" a="1"/>
  <c r="C267" i="1" s="1"/>
  <c r="C268" i="1" a="1"/>
  <c r="C268" i="1" s="1"/>
  <c r="C269" i="1" a="1"/>
  <c r="C269" i="1" s="1"/>
  <c r="C270" i="1" a="1"/>
  <c r="C270" i="1" s="1"/>
  <c r="C271" i="1" a="1"/>
  <c r="C271" i="1" s="1"/>
  <c r="C272" i="1" a="1"/>
  <c r="C272" i="1" s="1"/>
  <c r="C273" i="1" a="1"/>
  <c r="C273" i="1" s="1"/>
  <c r="C274" i="1" a="1"/>
  <c r="C274" i="1" s="1"/>
  <c r="C275" i="1" a="1"/>
  <c r="C275" i="1" s="1"/>
  <c r="C276" i="1" a="1"/>
  <c r="C276" i="1" s="1"/>
  <c r="C277" i="1" a="1"/>
  <c r="C277" i="1" s="1"/>
  <c r="C278" i="1" a="1"/>
  <c r="C278" i="1" s="1"/>
  <c r="C279" i="1" a="1"/>
  <c r="C279" i="1" s="1"/>
  <c r="C280" i="1" a="1"/>
  <c r="C280" i="1" s="1"/>
  <c r="C281" i="1" a="1"/>
  <c r="C281" i="1" s="1"/>
  <c r="C282" i="1" a="1"/>
  <c r="C282" i="1" s="1"/>
  <c r="C283" i="1" a="1"/>
  <c r="C283" i="1" s="1"/>
  <c r="C284" i="1" a="1"/>
  <c r="C284" i="1" s="1"/>
  <c r="C285" i="1" a="1"/>
  <c r="C285" i="1" s="1"/>
  <c r="C286" i="1" a="1"/>
  <c r="C286" i="1" s="1"/>
  <c r="C287" i="1" a="1"/>
  <c r="C287" i="1" s="1"/>
  <c r="C288" i="1" a="1"/>
  <c r="C288" i="1" s="1"/>
  <c r="C289" i="1" a="1"/>
  <c r="C289" i="1" s="1"/>
  <c r="C290" i="1" a="1"/>
  <c r="C290" i="1" s="1"/>
  <c r="C291" i="1" a="1"/>
  <c r="C291" i="1" s="1"/>
  <c r="C292" i="1" a="1"/>
  <c r="C292" i="1" s="1"/>
  <c r="C293" i="1" a="1"/>
  <c r="C293" i="1" s="1"/>
  <c r="C294" i="1" a="1"/>
  <c r="C294" i="1" s="1"/>
  <c r="C295" i="1" a="1"/>
  <c r="C295" i="1" s="1"/>
  <c r="C296" i="1" a="1"/>
  <c r="C296" i="1" s="1"/>
  <c r="C297" i="1" a="1"/>
  <c r="C297" i="1" s="1"/>
  <c r="C298" i="1" a="1"/>
  <c r="C298" i="1" s="1"/>
  <c r="C299" i="1" a="1"/>
  <c r="C299" i="1" s="1"/>
  <c r="C300" i="1" a="1"/>
  <c r="C300" i="1" s="1"/>
  <c r="C301" i="1" a="1"/>
  <c r="C301" i="1" s="1"/>
  <c r="C302" i="1" a="1"/>
  <c r="C302" i="1" s="1"/>
  <c r="C303" i="1" a="1"/>
  <c r="C303" i="1" s="1"/>
  <c r="C304" i="1" a="1"/>
  <c r="C304" i="1" s="1"/>
  <c r="C305" i="1" a="1"/>
  <c r="C305" i="1" s="1"/>
  <c r="C306" i="1" a="1"/>
  <c r="C306" i="1" s="1"/>
  <c r="C307" i="1" a="1"/>
  <c r="C307" i="1" s="1"/>
  <c r="C308" i="1" a="1"/>
  <c r="C308" i="1" s="1"/>
  <c r="C309" i="1" a="1"/>
  <c r="C309" i="1" s="1"/>
  <c r="C310" i="1" a="1"/>
  <c r="C310" i="1" s="1"/>
  <c r="C311" i="1" a="1"/>
  <c r="C311" i="1" s="1"/>
  <c r="C312" i="1" a="1"/>
  <c r="C312" i="1" s="1"/>
  <c r="C313" i="1" a="1"/>
  <c r="C313" i="1" s="1"/>
  <c r="C314" i="1" a="1"/>
  <c r="C314" i="1" s="1"/>
  <c r="C315" i="1" a="1"/>
  <c r="C315" i="1" s="1"/>
  <c r="C316" i="1" a="1"/>
  <c r="C316" i="1" s="1"/>
  <c r="C317" i="1" a="1"/>
  <c r="C317" i="1" s="1"/>
  <c r="C318" i="1" a="1"/>
  <c r="C318" i="1" s="1"/>
  <c r="C319" i="1" a="1"/>
  <c r="C319" i="1" s="1"/>
  <c r="C320" i="1" a="1"/>
  <c r="C320" i="1" s="1"/>
  <c r="C321" i="1" a="1"/>
  <c r="C321" i="1" s="1"/>
  <c r="C322" i="1" a="1"/>
  <c r="C322" i="1" s="1"/>
  <c r="C323" i="1" a="1"/>
  <c r="C323" i="1" s="1"/>
  <c r="C324" i="1" a="1"/>
  <c r="C324" i="1" s="1"/>
  <c r="C325" i="1" a="1"/>
  <c r="C325" i="1" s="1"/>
  <c r="C326" i="1" a="1"/>
  <c r="C326" i="1" s="1"/>
  <c r="C327" i="1" a="1"/>
  <c r="C327" i="1" s="1"/>
  <c r="C328" i="1" a="1"/>
  <c r="C328" i="1" s="1"/>
  <c r="C329" i="1" a="1"/>
  <c r="C329" i="1" s="1"/>
  <c r="C330" i="1" a="1"/>
  <c r="C330" i="1" s="1"/>
  <c r="C331" i="1" a="1"/>
  <c r="C331" i="1" s="1"/>
  <c r="C332" i="1" a="1"/>
  <c r="C332" i="1" s="1"/>
  <c r="C333" i="1" a="1"/>
  <c r="C333" i="1" s="1"/>
  <c r="C334" i="1" a="1"/>
  <c r="C334" i="1" s="1"/>
  <c r="C335" i="1" a="1"/>
  <c r="C335" i="1" s="1"/>
  <c r="C336" i="1" a="1"/>
  <c r="C336" i="1" s="1"/>
  <c r="C337" i="1" a="1"/>
  <c r="C337" i="1" s="1"/>
  <c r="C338" i="1" a="1"/>
  <c r="C338" i="1" s="1"/>
  <c r="C339" i="1" a="1"/>
  <c r="C339" i="1" s="1"/>
  <c r="C340" i="1" a="1"/>
  <c r="C340" i="1" s="1"/>
  <c r="C341" i="1" a="1"/>
  <c r="C341" i="1" s="1"/>
  <c r="C342" i="1" a="1"/>
  <c r="C342" i="1" s="1"/>
  <c r="C343" i="1" a="1"/>
  <c r="C343" i="1" s="1"/>
  <c r="C344" i="1" a="1"/>
  <c r="C344" i="1" s="1"/>
  <c r="C345" i="1" a="1"/>
  <c r="C345" i="1" s="1"/>
  <c r="C346" i="1" a="1"/>
  <c r="C346" i="1" s="1"/>
  <c r="C347" i="1" a="1"/>
  <c r="C347" i="1" s="1"/>
  <c r="C348" i="1" a="1"/>
  <c r="C348" i="1" s="1"/>
  <c r="C349" i="1" a="1"/>
  <c r="C349" i="1" s="1"/>
  <c r="C350" i="1" a="1"/>
  <c r="C350" i="1" s="1"/>
  <c r="C351" i="1" a="1"/>
  <c r="C351" i="1" s="1"/>
  <c r="C352" i="1" a="1"/>
  <c r="C352" i="1" s="1"/>
  <c r="C353" i="1" a="1"/>
  <c r="C353" i="1" s="1"/>
  <c r="C354" i="1" a="1"/>
  <c r="C354" i="1" s="1"/>
  <c r="C355" i="1" a="1"/>
  <c r="C355" i="1" s="1"/>
  <c r="C356" i="1" a="1"/>
  <c r="C356" i="1" s="1"/>
  <c r="C357" i="1" a="1"/>
  <c r="C357" i="1" s="1"/>
  <c r="C358" i="1" a="1"/>
  <c r="C358" i="1" s="1"/>
  <c r="C359" i="1" a="1"/>
  <c r="C359" i="1" s="1"/>
  <c r="C360" i="1" a="1"/>
  <c r="C360" i="1" s="1"/>
  <c r="C361" i="1" a="1"/>
  <c r="C361" i="1" s="1"/>
  <c r="C362" i="1" a="1"/>
  <c r="C362" i="1" s="1"/>
  <c r="C363" i="1" a="1"/>
  <c r="C363" i="1" s="1"/>
  <c r="C364" i="1" a="1"/>
  <c r="C364" i="1" s="1"/>
  <c r="C365" i="1" a="1"/>
  <c r="C365" i="1" s="1"/>
  <c r="C366" i="1" a="1"/>
  <c r="C366" i="1" s="1"/>
  <c r="C367" i="1" a="1"/>
  <c r="C367" i="1" s="1"/>
  <c r="C368" i="1" a="1"/>
  <c r="C368" i="1" s="1"/>
  <c r="C369" i="1" a="1"/>
  <c r="C369" i="1" s="1"/>
  <c r="C370" i="1" a="1"/>
  <c r="C370" i="1" s="1"/>
  <c r="C371" i="1" a="1"/>
  <c r="C371" i="1" s="1"/>
  <c r="C372" i="1" a="1"/>
  <c r="C372" i="1" s="1"/>
  <c r="C373" i="1" a="1"/>
  <c r="C373" i="1" s="1"/>
  <c r="C374" i="1" a="1"/>
  <c r="C374" i="1" s="1"/>
  <c r="C375" i="1" a="1"/>
  <c r="C375" i="1" s="1"/>
  <c r="C376" i="1" a="1"/>
  <c r="C376" i="1" s="1"/>
  <c r="C377" i="1" a="1"/>
  <c r="C377" i="1" s="1"/>
  <c r="C378" i="1" a="1"/>
  <c r="C378" i="1" s="1"/>
  <c r="C379" i="1" a="1"/>
  <c r="C379" i="1" s="1"/>
  <c r="C380" i="1" a="1"/>
  <c r="C380" i="1" s="1"/>
  <c r="C381" i="1" a="1"/>
  <c r="C381" i="1" s="1"/>
  <c r="C382" i="1" a="1"/>
  <c r="C382" i="1" s="1"/>
  <c r="C383" i="1" a="1"/>
  <c r="C383" i="1" s="1"/>
  <c r="C384" i="1" a="1"/>
  <c r="C384" i="1" s="1"/>
  <c r="C385" i="1" a="1"/>
  <c r="C385" i="1" s="1"/>
  <c r="C386" i="1" a="1"/>
  <c r="C386" i="1" s="1"/>
  <c r="C387" i="1" a="1"/>
  <c r="C387" i="1" s="1"/>
  <c r="C388" i="1" a="1"/>
  <c r="C388" i="1" s="1"/>
  <c r="C389" i="1" a="1"/>
  <c r="C389" i="1" s="1"/>
  <c r="C390" i="1" a="1"/>
  <c r="C390" i="1" s="1"/>
  <c r="C391" i="1" a="1"/>
  <c r="C391" i="1" s="1"/>
  <c r="C392" i="1" a="1"/>
  <c r="C392" i="1" s="1"/>
  <c r="C393" i="1" a="1"/>
  <c r="C393" i="1" s="1"/>
  <c r="C394" i="1" a="1"/>
  <c r="C394" i="1" s="1"/>
  <c r="C395" i="1" a="1"/>
  <c r="C395" i="1" s="1"/>
  <c r="C396" i="1" a="1"/>
  <c r="C396" i="1" s="1"/>
  <c r="C397" i="1" a="1"/>
  <c r="C397" i="1" s="1"/>
  <c r="C398" i="1" a="1"/>
  <c r="C398" i="1" s="1"/>
  <c r="C399" i="1" a="1"/>
  <c r="C399" i="1" s="1"/>
  <c r="C400" i="1" a="1"/>
  <c r="C400" i="1" s="1"/>
  <c r="C401" i="1" a="1"/>
  <c r="C401" i="1" s="1"/>
  <c r="C402" i="1" a="1"/>
  <c r="C402" i="1" s="1"/>
  <c r="C403" i="1" a="1"/>
  <c r="C403" i="1" s="1"/>
  <c r="C404" i="1" a="1"/>
  <c r="C404" i="1" s="1"/>
  <c r="C405" i="1" a="1"/>
  <c r="C405" i="1" s="1"/>
  <c r="C406" i="1" a="1"/>
  <c r="C406" i="1" s="1"/>
  <c r="C407" i="1" a="1"/>
  <c r="C407" i="1" s="1"/>
  <c r="C408" i="1" a="1"/>
  <c r="C408" i="1" s="1"/>
  <c r="C409" i="1" a="1"/>
  <c r="C409" i="1" s="1"/>
  <c r="C410" i="1" a="1"/>
  <c r="C410" i="1" s="1"/>
  <c r="C411" i="1" a="1"/>
  <c r="C411" i="1" s="1"/>
  <c r="C412" i="1" a="1"/>
  <c r="C412" i="1" s="1"/>
  <c r="C413" i="1" a="1"/>
  <c r="C413" i="1" s="1"/>
  <c r="C414" i="1" a="1"/>
  <c r="C414" i="1" s="1"/>
  <c r="C415" i="1" a="1"/>
  <c r="C415" i="1" s="1"/>
  <c r="C416" i="1" a="1"/>
  <c r="C416" i="1" s="1"/>
  <c r="C417" i="1" a="1"/>
  <c r="C417" i="1" s="1"/>
  <c r="C418" i="1" a="1"/>
  <c r="C418" i="1" s="1"/>
  <c r="C419" i="1" a="1"/>
  <c r="C419" i="1" s="1"/>
  <c r="C420" i="1" a="1"/>
  <c r="C420" i="1" s="1"/>
  <c r="C421" i="1" a="1"/>
  <c r="C421" i="1" s="1"/>
  <c r="C422" i="1" a="1"/>
  <c r="C422" i="1" s="1"/>
  <c r="C423" i="1" a="1"/>
  <c r="C423" i="1" s="1"/>
  <c r="C424" i="1" a="1"/>
  <c r="C424" i="1" s="1"/>
  <c r="C425" i="1" a="1"/>
  <c r="C425" i="1" s="1"/>
  <c r="C426" i="1" a="1"/>
  <c r="C426" i="1" s="1"/>
  <c r="C427" i="1" a="1"/>
  <c r="C427" i="1" s="1"/>
  <c r="C428" i="1" a="1"/>
  <c r="C428" i="1" s="1"/>
  <c r="C429" i="1" a="1"/>
  <c r="C429" i="1" s="1"/>
  <c r="C430" i="1" a="1"/>
  <c r="C430" i="1" s="1"/>
  <c r="C431" i="1" a="1"/>
  <c r="C431" i="1" s="1"/>
  <c r="C432" i="1" a="1"/>
  <c r="C432" i="1" s="1"/>
  <c r="C433" i="1" a="1"/>
  <c r="C433" i="1" s="1"/>
  <c r="C434" i="1" a="1"/>
  <c r="C434" i="1" s="1"/>
  <c r="C435" i="1" a="1"/>
  <c r="C435" i="1" s="1"/>
  <c r="C436" i="1" a="1"/>
  <c r="C436" i="1" s="1"/>
  <c r="C437" i="1" a="1"/>
  <c r="C437" i="1" s="1"/>
  <c r="C438" i="1" a="1"/>
  <c r="C438" i="1" s="1"/>
  <c r="C439" i="1" a="1"/>
  <c r="C439" i="1" s="1"/>
  <c r="C440" i="1" a="1"/>
  <c r="C440" i="1" s="1"/>
  <c r="C441" i="1" a="1"/>
  <c r="C441" i="1" s="1"/>
  <c r="C442" i="1" a="1"/>
  <c r="C442" i="1" s="1"/>
  <c r="C443" i="1" a="1"/>
  <c r="C443" i="1" s="1"/>
  <c r="C444" i="1" a="1"/>
  <c r="C444" i="1" s="1"/>
  <c r="C445" i="1" a="1"/>
  <c r="C445" i="1" s="1"/>
  <c r="C446" i="1" a="1"/>
  <c r="C446" i="1" s="1"/>
  <c r="C447" i="1" a="1"/>
  <c r="C447" i="1" s="1"/>
  <c r="C448" i="1" a="1"/>
  <c r="C448" i="1" s="1"/>
  <c r="C449" i="1" a="1"/>
  <c r="C449" i="1" s="1"/>
  <c r="C450" i="1" a="1"/>
  <c r="C450" i="1" s="1"/>
  <c r="C451" i="1" a="1"/>
  <c r="C451" i="1" s="1"/>
  <c r="C452" i="1" a="1"/>
  <c r="C452" i="1" s="1"/>
  <c r="C453" i="1" a="1"/>
  <c r="C453" i="1" s="1"/>
  <c r="C454" i="1" a="1"/>
  <c r="C454" i="1" s="1"/>
  <c r="C455" i="1" a="1"/>
  <c r="C455" i="1" s="1"/>
  <c r="C456" i="1" a="1"/>
  <c r="C456" i="1" s="1"/>
  <c r="C457" i="1" a="1"/>
  <c r="C457" i="1" s="1"/>
  <c r="C458" i="1" a="1"/>
  <c r="C458" i="1" s="1"/>
  <c r="C459" i="1" a="1"/>
  <c r="C459" i="1" s="1"/>
  <c r="C460" i="1" a="1"/>
  <c r="C460" i="1" s="1"/>
  <c r="C461" i="1" a="1"/>
  <c r="C461" i="1" s="1"/>
  <c r="C462" i="1" a="1"/>
  <c r="C462" i="1" s="1"/>
  <c r="C463" i="1" a="1"/>
  <c r="C463" i="1" s="1"/>
  <c r="C464" i="1" a="1"/>
  <c r="C464" i="1" s="1"/>
  <c r="C465" i="1" a="1"/>
  <c r="C465" i="1" s="1"/>
  <c r="C466" i="1" a="1"/>
  <c r="C466" i="1" s="1"/>
  <c r="C467" i="1" a="1"/>
  <c r="C467" i="1" s="1"/>
  <c r="C468" i="1" a="1"/>
  <c r="C468" i="1" s="1"/>
  <c r="C469" i="1" a="1"/>
  <c r="C469" i="1" s="1"/>
  <c r="C470" i="1" a="1"/>
  <c r="C470" i="1" s="1"/>
  <c r="C471" i="1" a="1"/>
  <c r="C471" i="1" s="1"/>
  <c r="C472" i="1" a="1"/>
  <c r="C472" i="1" s="1"/>
  <c r="C473" i="1" a="1"/>
  <c r="C473" i="1" s="1"/>
  <c r="C474" i="1" a="1"/>
  <c r="C474" i="1" s="1"/>
  <c r="C475" i="1" a="1"/>
  <c r="C475" i="1" s="1"/>
  <c r="C476" i="1" a="1"/>
  <c r="C476" i="1" s="1"/>
  <c r="C477" i="1" a="1"/>
  <c r="C477" i="1" s="1"/>
  <c r="C478" i="1" a="1"/>
  <c r="C478" i="1" s="1"/>
  <c r="C479" i="1" a="1"/>
  <c r="C479" i="1" s="1"/>
  <c r="C480" i="1" a="1"/>
  <c r="C480" i="1" s="1"/>
  <c r="C481" i="1" a="1"/>
  <c r="C481" i="1" s="1"/>
  <c r="C482" i="1" a="1"/>
  <c r="C482" i="1" s="1"/>
  <c r="C483" i="1" a="1"/>
  <c r="C483" i="1" s="1"/>
  <c r="C484" i="1" a="1"/>
  <c r="C484" i="1" s="1"/>
  <c r="C485" i="1" a="1"/>
  <c r="C485" i="1" s="1"/>
  <c r="C486" i="1" a="1"/>
  <c r="C486" i="1" s="1"/>
  <c r="C487" i="1" a="1"/>
  <c r="C487" i="1" s="1"/>
  <c r="C488" i="1" a="1"/>
  <c r="C488" i="1" s="1"/>
  <c r="C489" i="1" a="1"/>
  <c r="C489" i="1" s="1"/>
  <c r="C490" i="1" a="1"/>
  <c r="C490" i="1" s="1"/>
  <c r="C491" i="1" a="1"/>
  <c r="C491" i="1" s="1"/>
  <c r="C492" i="1" a="1"/>
  <c r="C492" i="1" s="1"/>
  <c r="C493" i="1" a="1"/>
  <c r="C493" i="1" s="1"/>
  <c r="C494" i="1" a="1"/>
  <c r="C494" i="1" s="1"/>
  <c r="C495" i="1" a="1"/>
  <c r="C495" i="1" s="1"/>
  <c r="C496" i="1" a="1"/>
  <c r="C496" i="1" s="1"/>
  <c r="C497" i="1" a="1"/>
  <c r="C497" i="1" s="1"/>
  <c r="C498" i="1" a="1"/>
  <c r="C498" i="1" s="1"/>
  <c r="C499" i="1" a="1"/>
  <c r="C499" i="1" s="1"/>
  <c r="C500" i="1" a="1"/>
  <c r="C500" i="1" s="1"/>
  <c r="C501" i="1" a="1"/>
  <c r="C501" i="1" s="1"/>
  <c r="C502" i="1" a="1"/>
  <c r="C502" i="1" s="1"/>
  <c r="C503" i="1" a="1"/>
  <c r="C503" i="1" s="1"/>
  <c r="C504" i="1" a="1"/>
  <c r="C504" i="1" s="1"/>
  <c r="C505" i="1" a="1"/>
  <c r="C505" i="1" s="1"/>
  <c r="C506" i="1" a="1"/>
  <c r="C506" i="1" s="1"/>
  <c r="C507" i="1" a="1"/>
  <c r="C507" i="1" s="1"/>
  <c r="C508" i="1" a="1"/>
  <c r="C508" i="1" s="1"/>
  <c r="C509" i="1" a="1"/>
  <c r="C509" i="1" s="1"/>
  <c r="C510" i="1" a="1"/>
  <c r="C510" i="1" s="1"/>
  <c r="C511" i="1" a="1"/>
  <c r="C511" i="1" s="1"/>
  <c r="C512" i="1" a="1"/>
  <c r="C512" i="1" s="1"/>
  <c r="C513" i="1" a="1"/>
  <c r="C513" i="1" s="1"/>
  <c r="C514" i="1" a="1"/>
  <c r="C514" i="1" s="1"/>
  <c r="C515" i="1" a="1"/>
  <c r="C515" i="1" s="1"/>
  <c r="C516" i="1" a="1"/>
  <c r="C516" i="1" s="1"/>
  <c r="C517" i="1" a="1"/>
  <c r="C517" i="1" s="1"/>
  <c r="C518" i="1" a="1"/>
  <c r="C518" i="1" s="1"/>
  <c r="C519" i="1" a="1"/>
  <c r="C519" i="1" s="1"/>
  <c r="C520" i="1" a="1"/>
  <c r="C520" i="1" s="1"/>
  <c r="C521" i="1" a="1"/>
  <c r="C521" i="1" s="1"/>
  <c r="C522" i="1" a="1"/>
  <c r="C522" i="1" s="1"/>
  <c r="C523" i="1" a="1"/>
  <c r="C523" i="1" s="1"/>
  <c r="C524" i="1" a="1"/>
  <c r="C524" i="1" s="1"/>
  <c r="C525" i="1" a="1"/>
  <c r="C525" i="1" s="1"/>
  <c r="C526" i="1" a="1"/>
  <c r="C526" i="1" s="1"/>
  <c r="C527" i="1" a="1"/>
  <c r="C527" i="1" s="1"/>
  <c r="C528" i="1" a="1"/>
  <c r="C528" i="1" s="1"/>
  <c r="C529" i="1" a="1"/>
  <c r="C529" i="1" s="1"/>
  <c r="C530" i="1" a="1"/>
  <c r="C530" i="1" s="1"/>
  <c r="C531" i="1" a="1"/>
  <c r="C531" i="1" s="1"/>
  <c r="C532" i="1" a="1"/>
  <c r="C532" i="1" s="1"/>
  <c r="C533" i="1" a="1"/>
  <c r="C533" i="1" s="1"/>
  <c r="C534" i="1" a="1"/>
  <c r="C534" i="1" s="1"/>
  <c r="C535" i="1" a="1"/>
  <c r="C535" i="1" s="1"/>
  <c r="C536" i="1" a="1"/>
  <c r="C536" i="1" s="1"/>
  <c r="C537" i="1" a="1"/>
  <c r="C537" i="1" s="1"/>
  <c r="C538" i="1" a="1"/>
  <c r="C538" i="1" s="1"/>
  <c r="C539" i="1" a="1"/>
  <c r="C539" i="1" s="1"/>
  <c r="C540" i="1" a="1"/>
  <c r="C540" i="1" s="1"/>
  <c r="C541" i="1" a="1"/>
  <c r="C541" i="1" s="1"/>
  <c r="C542" i="1" a="1"/>
  <c r="C542" i="1" s="1"/>
  <c r="C543" i="1" a="1"/>
  <c r="C543" i="1" s="1"/>
  <c r="C544" i="1" a="1"/>
  <c r="C544" i="1" s="1"/>
  <c r="C545" i="1" a="1"/>
  <c r="C545" i="1" s="1"/>
  <c r="C546" i="1" a="1"/>
  <c r="C546" i="1" s="1"/>
  <c r="C547" i="1" a="1"/>
  <c r="C547" i="1" s="1"/>
  <c r="C548" i="1" a="1"/>
  <c r="C548" i="1" s="1"/>
  <c r="C549" i="1" a="1"/>
  <c r="C549" i="1" s="1"/>
  <c r="C550" i="1" a="1"/>
  <c r="C550" i="1" s="1"/>
  <c r="C551" i="1" a="1"/>
  <c r="C551" i="1" s="1"/>
  <c r="C552" i="1" a="1"/>
  <c r="C552" i="1" s="1"/>
  <c r="C553" i="1" a="1"/>
  <c r="C553" i="1" s="1"/>
  <c r="C554" i="1" a="1"/>
  <c r="C554" i="1" s="1"/>
  <c r="C555" i="1" a="1"/>
  <c r="C555" i="1" s="1"/>
  <c r="C556" i="1" a="1"/>
  <c r="C556" i="1" s="1"/>
  <c r="C557" i="1" a="1"/>
  <c r="C557" i="1" s="1"/>
  <c r="C558" i="1" a="1"/>
  <c r="C558" i="1" s="1"/>
  <c r="C559" i="1" a="1"/>
  <c r="C559" i="1" s="1"/>
  <c r="C560" i="1" a="1"/>
  <c r="C560" i="1" s="1"/>
  <c r="C561" i="1" a="1"/>
  <c r="C561" i="1" s="1"/>
  <c r="C562" i="1" a="1"/>
  <c r="C562" i="1" s="1"/>
  <c r="C563" i="1" a="1"/>
  <c r="C563" i="1" s="1"/>
  <c r="C564" i="1" a="1"/>
  <c r="C564" i="1" s="1"/>
  <c r="C565" i="1" a="1"/>
  <c r="C565" i="1" s="1"/>
  <c r="C566" i="1" a="1"/>
  <c r="C566" i="1" s="1"/>
  <c r="C567" i="1" a="1"/>
  <c r="C567" i="1" s="1"/>
  <c r="C568" i="1" a="1"/>
  <c r="C568" i="1" s="1"/>
  <c r="C569" i="1" a="1"/>
  <c r="C569" i="1" s="1"/>
  <c r="C570" i="1" a="1"/>
  <c r="C570" i="1" s="1"/>
  <c r="C571" i="1" a="1"/>
  <c r="C571" i="1" s="1"/>
  <c r="C572" i="1" a="1"/>
  <c r="C572" i="1" s="1"/>
  <c r="C573" i="1" a="1"/>
  <c r="C573" i="1" s="1"/>
  <c r="C574" i="1" a="1"/>
  <c r="C574" i="1" s="1"/>
  <c r="C575" i="1" a="1"/>
  <c r="C575" i="1" s="1"/>
  <c r="C576" i="1" a="1"/>
  <c r="C576" i="1" s="1"/>
  <c r="C577" i="1" a="1"/>
  <c r="C577" i="1" s="1"/>
  <c r="C578" i="1" a="1"/>
  <c r="C578" i="1" s="1"/>
  <c r="C579" i="1" a="1"/>
  <c r="C579" i="1" s="1"/>
  <c r="C580" i="1" a="1"/>
  <c r="C580" i="1" s="1"/>
  <c r="C581" i="1" a="1"/>
  <c r="C581" i="1" s="1"/>
  <c r="C582" i="1" a="1"/>
  <c r="C582" i="1" s="1"/>
  <c r="C583" i="1" a="1"/>
  <c r="C583" i="1" s="1"/>
  <c r="C584" i="1" a="1"/>
  <c r="C584" i="1" s="1"/>
  <c r="C585" i="1" a="1"/>
  <c r="C585" i="1" s="1"/>
  <c r="C586" i="1" a="1"/>
  <c r="C586" i="1" s="1"/>
  <c r="C587" i="1" a="1"/>
  <c r="C587" i="1" s="1"/>
  <c r="C588" i="1" a="1"/>
  <c r="C588" i="1" s="1"/>
  <c r="C589" i="1" a="1"/>
  <c r="C589" i="1" s="1"/>
  <c r="C590" i="1" a="1"/>
  <c r="C590" i="1" s="1"/>
  <c r="C591" i="1" a="1"/>
  <c r="C591" i="1" s="1"/>
  <c r="C592" i="1" a="1"/>
  <c r="C592" i="1" s="1"/>
  <c r="C593" i="1" a="1"/>
  <c r="C593" i="1" s="1"/>
  <c r="C594" i="1" a="1"/>
  <c r="C594" i="1" s="1"/>
  <c r="C595" i="1" a="1"/>
  <c r="C595" i="1" s="1"/>
  <c r="C596" i="1" a="1"/>
  <c r="C596" i="1" s="1"/>
  <c r="C597" i="1" a="1"/>
  <c r="C597" i="1" s="1"/>
  <c r="C598" i="1" a="1"/>
  <c r="C598" i="1" s="1"/>
  <c r="C599" i="1" a="1"/>
  <c r="C599" i="1" s="1"/>
  <c r="C600" i="1" a="1"/>
  <c r="C600" i="1" s="1"/>
  <c r="C601" i="1" a="1"/>
  <c r="C601" i="1" s="1"/>
  <c r="C602" i="1" a="1"/>
  <c r="C602" i="1" s="1"/>
  <c r="C603" i="1" a="1"/>
  <c r="C603" i="1" s="1"/>
  <c r="C604" i="1" a="1"/>
  <c r="C604" i="1" s="1"/>
  <c r="C605" i="1" a="1"/>
  <c r="C605" i="1" s="1"/>
  <c r="C606" i="1" a="1"/>
  <c r="C606" i="1" s="1"/>
  <c r="C607" i="1" a="1"/>
  <c r="C607" i="1" s="1"/>
  <c r="C608" i="1" a="1"/>
  <c r="C608" i="1" s="1"/>
  <c r="C609" i="1" a="1"/>
  <c r="C609" i="1" s="1"/>
  <c r="C610" i="1" a="1"/>
  <c r="C610" i="1" s="1"/>
  <c r="C611" i="1" a="1"/>
  <c r="C611" i="1" s="1"/>
  <c r="C612" i="1" a="1"/>
  <c r="C612" i="1" s="1"/>
  <c r="C613" i="1" a="1"/>
  <c r="C613" i="1" s="1"/>
  <c r="C614" i="1" a="1"/>
  <c r="C614" i="1" s="1"/>
  <c r="C615" i="1" a="1"/>
  <c r="C615" i="1" s="1"/>
  <c r="C616" i="1" a="1"/>
  <c r="C616" i="1" s="1"/>
  <c r="C617" i="1" a="1"/>
  <c r="C617" i="1" s="1"/>
  <c r="C618" i="1" a="1"/>
  <c r="C618" i="1" s="1"/>
  <c r="C619" i="1" a="1"/>
  <c r="C619" i="1" s="1"/>
  <c r="C620" i="1" a="1"/>
  <c r="C620" i="1" s="1"/>
  <c r="C621" i="1" a="1"/>
  <c r="C621" i="1" s="1"/>
  <c r="C622" i="1" a="1"/>
  <c r="C622" i="1" s="1"/>
  <c r="C623" i="1" a="1"/>
  <c r="C623" i="1" s="1"/>
  <c r="C624" i="1" a="1"/>
  <c r="C624" i="1" s="1"/>
  <c r="C625" i="1" a="1"/>
  <c r="C625" i="1" s="1"/>
  <c r="C626" i="1" a="1"/>
  <c r="C626" i="1" s="1"/>
  <c r="C627" i="1" a="1"/>
  <c r="C627" i="1" s="1"/>
  <c r="C628" i="1" a="1"/>
  <c r="C628" i="1" s="1"/>
  <c r="C629" i="1" a="1"/>
  <c r="C629" i="1" s="1"/>
  <c r="C630" i="1" a="1"/>
  <c r="C630" i="1" s="1"/>
  <c r="C631" i="1" a="1"/>
  <c r="C631" i="1" s="1"/>
  <c r="C632" i="1" a="1"/>
  <c r="C632" i="1" s="1"/>
  <c r="C633" i="1" a="1"/>
  <c r="C633" i="1" s="1"/>
  <c r="C634" i="1" a="1"/>
  <c r="C634" i="1" s="1"/>
  <c r="C635" i="1" a="1"/>
  <c r="C635" i="1" s="1"/>
  <c r="C636" i="1" a="1"/>
  <c r="C636" i="1" s="1"/>
  <c r="C637" i="1" a="1"/>
  <c r="C637" i="1" s="1"/>
  <c r="C638" i="1" a="1"/>
  <c r="C638" i="1" s="1"/>
  <c r="C639" i="1" a="1"/>
  <c r="C639" i="1" s="1"/>
  <c r="C640" i="1" a="1"/>
  <c r="C640" i="1" s="1"/>
  <c r="C641" i="1" a="1"/>
  <c r="C641" i="1" s="1"/>
  <c r="C642" i="1" a="1"/>
  <c r="C642" i="1" s="1"/>
  <c r="C643" i="1" a="1"/>
  <c r="C643" i="1" s="1"/>
  <c r="C644" i="1" a="1"/>
  <c r="C644" i="1" s="1"/>
  <c r="C645" i="1" a="1"/>
  <c r="C645" i="1" s="1"/>
  <c r="C646" i="1" a="1"/>
  <c r="C646" i="1" s="1"/>
  <c r="C647" i="1" a="1"/>
  <c r="C647" i="1" s="1"/>
  <c r="C648" i="1" a="1"/>
  <c r="C648" i="1" s="1"/>
  <c r="C649" i="1" a="1"/>
  <c r="C649" i="1" s="1"/>
  <c r="C650" i="1" a="1"/>
  <c r="C650" i="1" s="1"/>
  <c r="C651" i="1" a="1"/>
  <c r="C651" i="1" s="1"/>
  <c r="C652" i="1" a="1"/>
  <c r="C652" i="1" s="1"/>
  <c r="C653" i="1" a="1"/>
  <c r="C653" i="1" s="1"/>
  <c r="C654" i="1" a="1"/>
  <c r="C654" i="1" s="1"/>
  <c r="C655" i="1" a="1"/>
  <c r="C655" i="1" s="1"/>
  <c r="C656" i="1" a="1"/>
  <c r="C656" i="1" s="1"/>
  <c r="C657" i="1" a="1"/>
  <c r="C657" i="1" s="1"/>
  <c r="C658" i="1" a="1"/>
  <c r="C658" i="1" s="1"/>
  <c r="C659" i="1" a="1"/>
  <c r="C659" i="1" s="1"/>
  <c r="C660" i="1" a="1"/>
  <c r="C660" i="1" s="1"/>
  <c r="C661" i="1" a="1"/>
  <c r="C661" i="1" s="1"/>
  <c r="C662" i="1" a="1"/>
  <c r="C662" i="1" s="1"/>
  <c r="C663" i="1" a="1"/>
  <c r="C663" i="1" s="1"/>
  <c r="C664" i="1" a="1"/>
  <c r="C664" i="1" s="1"/>
  <c r="C665" i="1" a="1"/>
  <c r="C665" i="1" s="1"/>
  <c r="C666" i="1" a="1"/>
  <c r="C666" i="1" s="1"/>
  <c r="C667" i="1" a="1"/>
  <c r="C667" i="1" s="1"/>
  <c r="C668" i="1" a="1"/>
  <c r="C668" i="1" s="1"/>
  <c r="C669" i="1" a="1"/>
  <c r="C669" i="1" s="1"/>
  <c r="C670" i="1" a="1"/>
  <c r="C670" i="1" s="1"/>
  <c r="C671" i="1" a="1"/>
  <c r="C671" i="1" s="1"/>
  <c r="C672" i="1" a="1"/>
  <c r="C672" i="1" s="1"/>
  <c r="C673" i="1" a="1"/>
  <c r="C673" i="1" s="1"/>
  <c r="C674" i="1" a="1"/>
  <c r="C674" i="1" s="1"/>
  <c r="C675" i="1" a="1"/>
  <c r="C675" i="1" s="1"/>
  <c r="C676" i="1" a="1"/>
  <c r="C676" i="1" s="1"/>
  <c r="C677" i="1" a="1"/>
  <c r="C677" i="1" s="1"/>
  <c r="C678" i="1" a="1"/>
  <c r="C678" i="1" s="1"/>
  <c r="C679" i="1" a="1"/>
  <c r="C679" i="1" s="1"/>
  <c r="C680" i="1" a="1"/>
  <c r="C680" i="1" s="1"/>
  <c r="C681" i="1" a="1"/>
  <c r="C681" i="1" s="1"/>
  <c r="C682" i="1" a="1"/>
  <c r="C682" i="1" s="1"/>
  <c r="C683" i="1" a="1"/>
  <c r="C683" i="1" s="1"/>
  <c r="C684" i="1" a="1"/>
  <c r="C684" i="1" s="1"/>
  <c r="C685" i="1" a="1"/>
  <c r="C685" i="1" s="1"/>
  <c r="C686" i="1" a="1"/>
  <c r="C686" i="1" s="1"/>
  <c r="C687" i="1" a="1"/>
  <c r="C687" i="1" s="1"/>
  <c r="C688" i="1" a="1"/>
  <c r="C688" i="1" s="1"/>
  <c r="C689" i="1" a="1"/>
  <c r="C689" i="1" s="1"/>
  <c r="C690" i="1" a="1"/>
  <c r="C690" i="1" s="1"/>
  <c r="C691" i="1" a="1"/>
  <c r="C691" i="1" s="1"/>
  <c r="C692" i="1" a="1"/>
  <c r="C692" i="1" s="1"/>
  <c r="C693" i="1" a="1"/>
  <c r="C693" i="1" s="1"/>
  <c r="C694" i="1" a="1"/>
  <c r="C694" i="1" s="1"/>
  <c r="C695" i="1" a="1"/>
  <c r="C695" i="1" s="1"/>
  <c r="C696" i="1" a="1"/>
  <c r="C696" i="1" s="1"/>
  <c r="C697" i="1" a="1"/>
  <c r="C697" i="1" s="1"/>
  <c r="C698" i="1" a="1"/>
  <c r="C698" i="1" s="1"/>
  <c r="C699" i="1" a="1"/>
  <c r="C699" i="1" s="1"/>
  <c r="C700" i="1" a="1"/>
  <c r="C700" i="1" s="1"/>
  <c r="C701" i="1" a="1"/>
  <c r="C701" i="1" s="1"/>
  <c r="C702" i="1" a="1"/>
  <c r="C702" i="1" s="1"/>
  <c r="C703" i="1" a="1"/>
  <c r="C703" i="1" s="1"/>
  <c r="C704" i="1" a="1"/>
  <c r="C704" i="1" s="1"/>
  <c r="C705" i="1" a="1"/>
  <c r="C705" i="1" s="1"/>
  <c r="C706" i="1" a="1"/>
  <c r="C706" i="1" s="1"/>
  <c r="C707" i="1" a="1"/>
  <c r="C707" i="1" s="1"/>
  <c r="C708" i="1" a="1"/>
  <c r="C708" i="1" s="1"/>
  <c r="C709" i="1" a="1"/>
  <c r="C709" i="1" s="1"/>
  <c r="C710" i="1" a="1"/>
  <c r="C710" i="1" s="1"/>
  <c r="C711" i="1" a="1"/>
  <c r="C711" i="1" s="1"/>
  <c r="C712" i="1" a="1"/>
  <c r="C712" i="1" s="1"/>
  <c r="C713" i="1" a="1"/>
  <c r="C713" i="1" s="1"/>
  <c r="C714" i="1" a="1"/>
  <c r="C714" i="1" s="1"/>
  <c r="C715" i="1" a="1"/>
  <c r="C715" i="1" s="1"/>
  <c r="C716" i="1" a="1"/>
  <c r="C716" i="1" s="1"/>
  <c r="C717" i="1" a="1"/>
  <c r="C717" i="1" s="1"/>
  <c r="C718" i="1" a="1"/>
  <c r="C718" i="1" s="1"/>
  <c r="C719" i="1" a="1"/>
  <c r="C719" i="1" s="1"/>
  <c r="C720" i="1" a="1"/>
  <c r="C720" i="1" s="1"/>
  <c r="C721" i="1" a="1"/>
  <c r="C721" i="1" s="1"/>
  <c r="C722" i="1" a="1"/>
  <c r="C722" i="1" s="1"/>
  <c r="C723" i="1" a="1"/>
  <c r="C723" i="1" s="1"/>
  <c r="C724" i="1" a="1"/>
  <c r="C724" i="1" s="1"/>
  <c r="C725" i="1" a="1"/>
  <c r="C725" i="1" s="1"/>
  <c r="C726" i="1" a="1"/>
  <c r="C726" i="1" s="1"/>
  <c r="C727" i="1" a="1"/>
  <c r="C727" i="1" s="1"/>
  <c r="C728" i="1" a="1"/>
  <c r="C728" i="1" s="1"/>
  <c r="C729" i="1" a="1"/>
  <c r="C729" i="1" s="1"/>
  <c r="C730" i="1" a="1"/>
  <c r="C730" i="1" s="1"/>
  <c r="C731" i="1" a="1"/>
  <c r="C731" i="1" s="1"/>
  <c r="C732" i="1" a="1"/>
  <c r="C732" i="1" s="1"/>
  <c r="C733" i="1" a="1"/>
  <c r="C733" i="1" s="1"/>
  <c r="C734" i="1" a="1"/>
  <c r="C734" i="1" s="1"/>
  <c r="C735" i="1" a="1"/>
  <c r="C735" i="1" s="1"/>
  <c r="C736" i="1" a="1"/>
  <c r="C736" i="1" s="1"/>
  <c r="C737" i="1" a="1"/>
  <c r="C737" i="1" s="1"/>
  <c r="C738" i="1" a="1"/>
  <c r="C738" i="1" s="1"/>
  <c r="C739" i="1" a="1"/>
  <c r="C739" i="1" s="1"/>
  <c r="C740" i="1" a="1"/>
  <c r="C740" i="1" s="1"/>
  <c r="C741" i="1" a="1"/>
  <c r="C741" i="1" s="1"/>
  <c r="C742" i="1" a="1"/>
  <c r="C742" i="1" s="1"/>
  <c r="C743" i="1" a="1"/>
  <c r="C743" i="1" s="1"/>
  <c r="C744" i="1" a="1"/>
  <c r="C744" i="1" s="1"/>
  <c r="C745" i="1" a="1"/>
  <c r="C745" i="1" s="1"/>
  <c r="C746" i="1" a="1"/>
  <c r="C746" i="1" s="1"/>
  <c r="C747" i="1" a="1"/>
  <c r="C747" i="1" s="1"/>
  <c r="C748" i="1" a="1"/>
  <c r="C748" i="1" s="1"/>
  <c r="C749" i="1" a="1"/>
  <c r="C749" i="1" s="1"/>
  <c r="C750" i="1" a="1"/>
  <c r="C750" i="1" s="1"/>
  <c r="C751" i="1" a="1"/>
  <c r="C751" i="1" s="1"/>
  <c r="C752" i="1" a="1"/>
  <c r="C752" i="1" s="1"/>
  <c r="C753" i="1" a="1"/>
  <c r="C753" i="1" s="1"/>
  <c r="C754" i="1" a="1"/>
  <c r="C754" i="1" s="1"/>
  <c r="C755" i="1" a="1"/>
  <c r="C755" i="1" s="1"/>
  <c r="C756" i="1" a="1"/>
  <c r="C756" i="1" s="1"/>
  <c r="C757" i="1" a="1"/>
  <c r="C757" i="1" s="1"/>
  <c r="C758" i="1" a="1"/>
  <c r="C758" i="1" s="1"/>
  <c r="C759" i="1" a="1"/>
  <c r="C759" i="1" s="1"/>
  <c r="C760" i="1" a="1"/>
  <c r="C760" i="1" s="1"/>
  <c r="C761" i="1" a="1"/>
  <c r="C761" i="1" s="1"/>
  <c r="C762" i="1" a="1"/>
  <c r="C762" i="1" s="1"/>
  <c r="C763" i="1" a="1"/>
  <c r="C763" i="1" s="1"/>
  <c r="C764" i="1" a="1"/>
  <c r="C764" i="1" s="1"/>
  <c r="C765" i="1" a="1"/>
  <c r="C765" i="1" s="1"/>
  <c r="C766" i="1" a="1"/>
  <c r="C766" i="1" s="1"/>
  <c r="C767" i="1" a="1"/>
  <c r="C767" i="1" s="1"/>
  <c r="C768" i="1" a="1"/>
  <c r="C768" i="1" s="1"/>
  <c r="C769" i="1" a="1"/>
  <c r="C769" i="1" s="1"/>
  <c r="C770" i="1" a="1"/>
  <c r="C770" i="1" s="1"/>
  <c r="C771" i="1" a="1"/>
  <c r="C771" i="1" s="1"/>
  <c r="C772" i="1" a="1"/>
  <c r="C772" i="1" s="1"/>
  <c r="C773" i="1" a="1"/>
  <c r="C773" i="1" s="1"/>
  <c r="C774" i="1" a="1"/>
  <c r="C774" i="1" s="1"/>
  <c r="C775" i="1" a="1"/>
  <c r="C775" i="1" s="1"/>
  <c r="C776" i="1" a="1"/>
  <c r="C776" i="1" s="1"/>
  <c r="C777" i="1" a="1"/>
  <c r="C777" i="1" s="1"/>
  <c r="C778" i="1" a="1"/>
  <c r="C778" i="1" s="1"/>
  <c r="C779" i="1" a="1"/>
  <c r="C779" i="1" s="1"/>
  <c r="C780" i="1" a="1"/>
  <c r="C780" i="1" s="1"/>
  <c r="C781" i="1" a="1"/>
  <c r="C781" i="1" s="1"/>
  <c r="C782" i="1" a="1"/>
  <c r="C782" i="1" s="1"/>
  <c r="C783" i="1" a="1"/>
  <c r="C783" i="1" s="1"/>
  <c r="C784" i="1" a="1"/>
  <c r="C784" i="1" s="1"/>
  <c r="C785" i="1" a="1"/>
  <c r="C785" i="1" s="1"/>
  <c r="C786" i="1" a="1"/>
  <c r="C786" i="1" s="1"/>
  <c r="C787" i="1" a="1"/>
  <c r="C787" i="1" s="1"/>
  <c r="C788" i="1" a="1"/>
  <c r="C788" i="1" s="1"/>
  <c r="C789" i="1" a="1"/>
  <c r="C789" i="1" s="1"/>
  <c r="C790" i="1" a="1"/>
  <c r="C790" i="1" s="1"/>
  <c r="C791" i="1" a="1"/>
  <c r="C791" i="1" s="1"/>
  <c r="C792" i="1" a="1"/>
  <c r="C792" i="1" s="1"/>
  <c r="C793" i="1" a="1"/>
  <c r="C793" i="1" s="1"/>
  <c r="C794" i="1" a="1"/>
  <c r="C794" i="1" s="1"/>
  <c r="C795" i="1" a="1"/>
  <c r="C795" i="1" s="1"/>
  <c r="C796" i="1" a="1"/>
  <c r="C796" i="1" s="1"/>
  <c r="C797" i="1" a="1"/>
  <c r="C797" i="1" s="1"/>
  <c r="C798" i="1" a="1"/>
  <c r="C798" i="1" s="1"/>
  <c r="C799" i="1" a="1"/>
  <c r="C799" i="1" s="1"/>
  <c r="C800" i="1" a="1"/>
  <c r="C800" i="1" s="1"/>
  <c r="C801" i="1" a="1"/>
  <c r="C801" i="1" s="1"/>
  <c r="C802" i="1" a="1"/>
  <c r="C802" i="1" s="1"/>
  <c r="C803" i="1" a="1"/>
  <c r="C803" i="1" s="1"/>
  <c r="C804" i="1" a="1"/>
  <c r="C804" i="1" s="1"/>
  <c r="C805" i="1" a="1"/>
  <c r="C805" i="1" s="1"/>
  <c r="C806" i="1" a="1"/>
  <c r="C806" i="1" s="1"/>
  <c r="C807" i="1" a="1"/>
  <c r="C807" i="1" s="1"/>
  <c r="C808" i="1" a="1"/>
  <c r="C808" i="1" s="1"/>
  <c r="C809" i="1" a="1"/>
  <c r="C809" i="1" s="1"/>
  <c r="C810" i="1" a="1"/>
  <c r="C810" i="1" s="1"/>
  <c r="C811" i="1" a="1"/>
  <c r="C811" i="1" s="1"/>
  <c r="C812" i="1" a="1"/>
  <c r="C812" i="1" s="1"/>
  <c r="C813" i="1" a="1"/>
  <c r="C813" i="1" s="1"/>
  <c r="C814" i="1" a="1"/>
  <c r="C814" i="1" s="1"/>
  <c r="C815" i="1" a="1"/>
  <c r="C815" i="1" s="1"/>
  <c r="C816" i="1" a="1"/>
  <c r="C816" i="1" s="1"/>
  <c r="C817" i="1" a="1"/>
  <c r="C817" i="1" s="1"/>
  <c r="C818" i="1" a="1"/>
  <c r="C818" i="1" s="1"/>
  <c r="C819" i="1" a="1"/>
  <c r="C819" i="1" s="1"/>
  <c r="C820" i="1" a="1"/>
  <c r="C820" i="1" s="1"/>
  <c r="C821" i="1" a="1"/>
  <c r="C821" i="1" s="1"/>
  <c r="C822" i="1" a="1"/>
  <c r="C822" i="1" s="1"/>
  <c r="C823" i="1" a="1"/>
  <c r="C823" i="1" s="1"/>
  <c r="C824" i="1" a="1"/>
  <c r="C824" i="1" s="1"/>
  <c r="C825" i="1" a="1"/>
  <c r="C825" i="1" s="1"/>
  <c r="C826" i="1" a="1"/>
  <c r="C826" i="1" s="1"/>
  <c r="C827" i="1" a="1"/>
  <c r="C827" i="1" s="1"/>
  <c r="C828" i="1" a="1"/>
  <c r="C828" i="1" s="1"/>
  <c r="C829" i="1" a="1"/>
  <c r="C829" i="1" s="1"/>
  <c r="C830" i="1" a="1"/>
  <c r="C830" i="1" s="1"/>
  <c r="C831" i="1" a="1"/>
  <c r="C831" i="1" s="1"/>
  <c r="C832" i="1" a="1"/>
  <c r="C832" i="1" s="1"/>
  <c r="C833" i="1" a="1"/>
  <c r="C833" i="1" s="1"/>
  <c r="C834" i="1" a="1"/>
  <c r="C834" i="1" s="1"/>
  <c r="C835" i="1" a="1"/>
  <c r="C835" i="1" s="1"/>
  <c r="C836" i="1" a="1"/>
  <c r="C836" i="1" s="1"/>
  <c r="C837" i="1" a="1"/>
  <c r="C837" i="1" s="1"/>
  <c r="C838" i="1" a="1"/>
  <c r="C838" i="1" s="1"/>
  <c r="C839" i="1" a="1"/>
  <c r="C839" i="1" s="1"/>
  <c r="C840" i="1" a="1"/>
  <c r="C840" i="1" s="1"/>
  <c r="C841" i="1" a="1"/>
  <c r="C841" i="1" s="1"/>
  <c r="C842" i="1" a="1"/>
  <c r="C842" i="1" s="1"/>
  <c r="C843" i="1" a="1"/>
  <c r="C843" i="1" s="1"/>
  <c r="C844" i="1" a="1"/>
  <c r="C844" i="1" s="1"/>
  <c r="C845" i="1" a="1"/>
  <c r="C845" i="1" s="1"/>
  <c r="C846" i="1" a="1"/>
  <c r="C846" i="1" s="1"/>
  <c r="C847" i="1" a="1"/>
  <c r="C847" i="1" s="1"/>
  <c r="C848" i="1" a="1"/>
  <c r="C848" i="1" s="1"/>
  <c r="C849" i="1" a="1"/>
  <c r="C849" i="1" s="1"/>
  <c r="C850" i="1" a="1"/>
  <c r="C850" i="1" s="1"/>
  <c r="C851" i="1" a="1"/>
  <c r="C851" i="1" s="1"/>
  <c r="C852" i="1" a="1"/>
  <c r="C852" i="1" s="1"/>
  <c r="C853" i="1" a="1"/>
  <c r="C853" i="1" s="1"/>
  <c r="C854" i="1" a="1"/>
  <c r="C854" i="1" s="1"/>
  <c r="C855" i="1" a="1"/>
  <c r="C855" i="1" s="1"/>
  <c r="C856" i="1" a="1"/>
  <c r="C856" i="1" s="1"/>
  <c r="C857" i="1" a="1"/>
  <c r="C857" i="1" s="1"/>
  <c r="C858" i="1" a="1"/>
  <c r="C858" i="1" s="1"/>
  <c r="C859" i="1" a="1"/>
  <c r="C859" i="1" s="1"/>
  <c r="C860" i="1" a="1"/>
  <c r="C860" i="1" s="1"/>
  <c r="C861" i="1" a="1"/>
  <c r="C861" i="1" s="1"/>
  <c r="C862" i="1" a="1"/>
  <c r="C862" i="1" s="1"/>
  <c r="C863" i="1" a="1"/>
  <c r="C863" i="1" s="1"/>
  <c r="C864" i="1" a="1"/>
  <c r="C864" i="1" s="1"/>
  <c r="C865" i="1" a="1"/>
  <c r="C865" i="1" s="1"/>
  <c r="C866" i="1" a="1"/>
  <c r="C866" i="1" s="1"/>
  <c r="C867" i="1" a="1"/>
  <c r="C867" i="1" s="1"/>
  <c r="C868" i="1" a="1"/>
  <c r="C868" i="1" s="1"/>
  <c r="C869" i="1" a="1"/>
  <c r="C869" i="1" s="1"/>
  <c r="C870" i="1" a="1"/>
  <c r="C870" i="1" s="1"/>
  <c r="C871" i="1" a="1"/>
  <c r="C871" i="1" s="1"/>
  <c r="C872" i="1" a="1"/>
  <c r="C872" i="1" s="1"/>
  <c r="C873" i="1" a="1"/>
  <c r="C873" i="1" s="1"/>
  <c r="C874" i="1" a="1"/>
  <c r="C874" i="1" s="1"/>
  <c r="C875" i="1" a="1"/>
  <c r="C875" i="1" s="1"/>
  <c r="C876" i="1" a="1"/>
  <c r="C876" i="1" s="1"/>
  <c r="C877" i="1" a="1"/>
  <c r="C877" i="1" s="1"/>
  <c r="C878" i="1" a="1"/>
  <c r="C878" i="1" s="1"/>
  <c r="C879" i="1" a="1"/>
  <c r="C879" i="1" s="1"/>
  <c r="C880" i="1" a="1"/>
  <c r="C880" i="1" s="1"/>
  <c r="C881" i="1" a="1"/>
  <c r="C881" i="1" s="1"/>
  <c r="C882" i="1" a="1"/>
  <c r="C882" i="1" s="1"/>
  <c r="C883" i="1" a="1"/>
  <c r="C883" i="1" s="1"/>
  <c r="C884" i="1" a="1"/>
  <c r="C884" i="1" s="1"/>
  <c r="C885" i="1" a="1"/>
  <c r="C885" i="1" s="1"/>
  <c r="C886" i="1" a="1"/>
  <c r="C886" i="1" s="1"/>
  <c r="C887" i="1" a="1"/>
  <c r="C887" i="1" s="1"/>
  <c r="C888" i="1" a="1"/>
  <c r="C888" i="1" s="1"/>
  <c r="C889" i="1" a="1"/>
  <c r="C889" i="1" s="1"/>
  <c r="C890" i="1" a="1"/>
  <c r="C890" i="1" s="1"/>
  <c r="C891" i="1" a="1"/>
  <c r="C891" i="1" s="1"/>
  <c r="C892" i="1" a="1"/>
  <c r="C892" i="1" s="1"/>
  <c r="C893" i="1" a="1"/>
  <c r="C893" i="1" s="1"/>
  <c r="C894" i="1" a="1"/>
  <c r="C894" i="1" s="1"/>
  <c r="C895" i="1" a="1"/>
  <c r="C895" i="1" s="1"/>
  <c r="C896" i="1" a="1"/>
  <c r="C896" i="1" s="1"/>
  <c r="C897" i="1" a="1"/>
  <c r="C897" i="1" s="1"/>
  <c r="C898" i="1" a="1"/>
  <c r="C898" i="1" s="1"/>
  <c r="C899" i="1" a="1"/>
  <c r="C899" i="1" s="1"/>
  <c r="C900" i="1" a="1"/>
  <c r="C900" i="1" s="1"/>
  <c r="C901" i="1" a="1"/>
  <c r="C901" i="1" s="1"/>
  <c r="C902" i="1" a="1"/>
  <c r="C902" i="1" s="1"/>
  <c r="C903" i="1" a="1"/>
  <c r="C903" i="1" s="1"/>
  <c r="C904" i="1" a="1"/>
  <c r="C904" i="1" s="1"/>
  <c r="C905" i="1" a="1"/>
  <c r="C905" i="1" s="1"/>
  <c r="C906" i="1" a="1"/>
  <c r="C906" i="1" s="1"/>
  <c r="C907" i="1" a="1"/>
  <c r="C907" i="1" s="1"/>
  <c r="C908" i="1" a="1"/>
  <c r="C908" i="1" s="1"/>
  <c r="C909" i="1" a="1"/>
  <c r="C909" i="1" s="1"/>
  <c r="C910" i="1" a="1"/>
  <c r="C910" i="1" s="1"/>
  <c r="C911" i="1" a="1"/>
  <c r="C911" i="1" s="1"/>
  <c r="C912" i="1" a="1"/>
  <c r="C912" i="1" s="1"/>
  <c r="C913" i="1" a="1"/>
  <c r="C913" i="1" s="1"/>
  <c r="C914" i="1" a="1"/>
  <c r="C914" i="1" s="1"/>
  <c r="C915" i="1" a="1"/>
  <c r="C915" i="1" s="1"/>
  <c r="C916" i="1" a="1"/>
  <c r="C916" i="1" s="1"/>
  <c r="C917" i="1" a="1"/>
  <c r="C917" i="1" s="1"/>
  <c r="C918" i="1" a="1"/>
  <c r="C918" i="1" s="1"/>
  <c r="C919" i="1" a="1"/>
  <c r="C919" i="1" s="1"/>
  <c r="C920" i="1" a="1"/>
  <c r="C920" i="1" s="1"/>
  <c r="C921" i="1" a="1"/>
  <c r="C921" i="1" s="1"/>
  <c r="C922" i="1" a="1"/>
  <c r="C922" i="1" s="1"/>
  <c r="C923" i="1" a="1"/>
  <c r="C923" i="1" s="1"/>
  <c r="C924" i="1" a="1"/>
  <c r="C924" i="1" s="1"/>
  <c r="C925" i="1" a="1"/>
  <c r="C925" i="1" s="1"/>
  <c r="C926" i="1" a="1"/>
  <c r="C926" i="1" s="1"/>
  <c r="C927" i="1" a="1"/>
  <c r="C927" i="1" s="1"/>
  <c r="C928" i="1" a="1"/>
  <c r="C928" i="1" s="1"/>
  <c r="C929" i="1" a="1"/>
  <c r="C929" i="1" s="1"/>
  <c r="C930" i="1" a="1"/>
  <c r="C930" i="1" s="1"/>
  <c r="C931" i="1" a="1"/>
  <c r="C931" i="1" s="1"/>
  <c r="C932" i="1" a="1"/>
  <c r="C932" i="1" s="1"/>
  <c r="C933" i="1" a="1"/>
  <c r="C933" i="1" s="1"/>
  <c r="C934" i="1" a="1"/>
  <c r="C934" i="1" s="1"/>
  <c r="C935" i="1" a="1"/>
  <c r="C935" i="1" s="1"/>
  <c r="C936" i="1" a="1"/>
  <c r="C936" i="1" s="1"/>
  <c r="C937" i="1" a="1"/>
  <c r="C937" i="1" s="1"/>
  <c r="C938" i="1" a="1"/>
  <c r="C938" i="1" s="1"/>
  <c r="C939" i="1" a="1"/>
  <c r="C939" i="1" s="1"/>
  <c r="C940" i="1" a="1"/>
  <c r="C940" i="1" s="1"/>
  <c r="C941" i="1" a="1"/>
  <c r="C941" i="1" s="1"/>
  <c r="C942" i="1" a="1"/>
  <c r="C942" i="1" s="1"/>
  <c r="C943" i="1" a="1"/>
  <c r="C943" i="1" s="1"/>
  <c r="C944" i="1" a="1"/>
  <c r="C944" i="1" s="1"/>
  <c r="C945" i="1" a="1"/>
  <c r="C945" i="1" s="1"/>
  <c r="C946" i="1" a="1"/>
  <c r="C946" i="1" s="1"/>
  <c r="C947" i="1" a="1"/>
  <c r="C947" i="1" s="1"/>
  <c r="C948" i="1" a="1"/>
  <c r="C948" i="1" s="1"/>
  <c r="C949" i="1" a="1"/>
  <c r="C949" i="1" s="1"/>
  <c r="C950" i="1" a="1"/>
  <c r="C950" i="1" s="1"/>
  <c r="C951" i="1" a="1"/>
  <c r="C951" i="1" s="1"/>
  <c r="C952" i="1" a="1"/>
  <c r="C952" i="1" s="1"/>
  <c r="C953" i="1" a="1"/>
  <c r="C953" i="1" s="1"/>
  <c r="C954" i="1" a="1"/>
  <c r="C954" i="1" s="1"/>
  <c r="C955" i="1" a="1"/>
  <c r="C955" i="1" s="1"/>
  <c r="C956" i="1" a="1"/>
  <c r="C956" i="1" s="1"/>
  <c r="C957" i="1" a="1"/>
  <c r="C957" i="1" s="1"/>
  <c r="C958" i="1" a="1"/>
  <c r="C958" i="1" s="1"/>
  <c r="C959" i="1" a="1"/>
  <c r="C959" i="1" s="1"/>
  <c r="C960" i="1" a="1"/>
  <c r="C960" i="1" s="1"/>
  <c r="C961" i="1" a="1"/>
  <c r="C961" i="1" s="1"/>
  <c r="C962" i="1" a="1"/>
  <c r="C962" i="1" s="1"/>
  <c r="C963" i="1" a="1"/>
  <c r="C963" i="1" s="1"/>
  <c r="C964" i="1" a="1"/>
  <c r="C964" i="1" s="1"/>
  <c r="C965" i="1" a="1"/>
  <c r="C965" i="1" s="1"/>
  <c r="C966" i="1" a="1"/>
  <c r="C966" i="1" s="1"/>
  <c r="C967" i="1" a="1"/>
  <c r="C967" i="1" s="1"/>
  <c r="C968" i="1" a="1"/>
  <c r="C968" i="1" s="1"/>
  <c r="C969" i="1" a="1"/>
  <c r="C969" i="1" s="1"/>
  <c r="C970" i="1" a="1"/>
  <c r="C970" i="1" s="1"/>
  <c r="C971" i="1" a="1"/>
  <c r="C971" i="1" s="1"/>
  <c r="C972" i="1" a="1"/>
  <c r="C972" i="1" s="1"/>
  <c r="C973" i="1" a="1"/>
  <c r="C973" i="1" s="1"/>
  <c r="C974" i="1" a="1"/>
  <c r="C974" i="1" s="1"/>
  <c r="C975" i="1" a="1"/>
  <c r="C975" i="1" s="1"/>
  <c r="C976" i="1" a="1"/>
  <c r="C976" i="1" s="1"/>
  <c r="C977" i="1" a="1"/>
  <c r="C977" i="1" s="1"/>
  <c r="C978" i="1" a="1"/>
  <c r="C978" i="1" s="1"/>
  <c r="C979" i="1" a="1"/>
  <c r="C979" i="1" s="1"/>
  <c r="C980" i="1" a="1"/>
  <c r="C980" i="1" s="1"/>
  <c r="C981" i="1" a="1"/>
  <c r="C981" i="1" s="1"/>
  <c r="C982" i="1" a="1"/>
  <c r="C982" i="1" s="1"/>
  <c r="C983" i="1" a="1"/>
  <c r="C983" i="1" s="1"/>
  <c r="C984" i="1" a="1"/>
  <c r="C984" i="1" s="1"/>
  <c r="C985" i="1" a="1"/>
  <c r="C985" i="1" s="1"/>
  <c r="C986" i="1" a="1"/>
  <c r="C986" i="1" s="1"/>
  <c r="C987" i="1" a="1"/>
  <c r="C987" i="1" s="1"/>
  <c r="C988" i="1" a="1"/>
  <c r="C988" i="1" s="1"/>
  <c r="C989" i="1" a="1"/>
  <c r="C989" i="1" s="1"/>
  <c r="C990" i="1" a="1"/>
  <c r="C990" i="1" s="1"/>
  <c r="C991" i="1" a="1"/>
  <c r="C991" i="1" s="1"/>
  <c r="C992" i="1" a="1"/>
  <c r="C992" i="1" s="1"/>
  <c r="C993" i="1" a="1"/>
  <c r="C993" i="1" s="1"/>
  <c r="C994" i="1" a="1"/>
  <c r="C994" i="1" s="1"/>
  <c r="C995" i="1" a="1"/>
  <c r="C995" i="1" s="1"/>
  <c r="C996" i="1" a="1"/>
  <c r="C996" i="1" s="1"/>
  <c r="C997" i="1" a="1"/>
  <c r="C997" i="1" s="1"/>
  <c r="C998" i="1" a="1"/>
  <c r="C998" i="1" s="1"/>
  <c r="C999" i="1" a="1"/>
  <c r="C999" i="1" s="1"/>
  <c r="C1000" i="1" a="1"/>
  <c r="C1000" i="1" s="1"/>
  <c r="C1001" i="1" a="1"/>
  <c r="C1001" i="1" s="1"/>
  <c r="C3" i="1" a="1"/>
  <c r="C3" i="1" s="1"/>
  <c r="C4" i="1" a="1"/>
  <c r="C4" i="1" s="1"/>
  <c r="C5" i="1" a="1"/>
  <c r="C5" i="1" s="1"/>
  <c r="C6" i="1" a="1"/>
  <c r="C6" i="1" s="1"/>
  <c r="C7" i="1" a="1"/>
  <c r="C7" i="1" s="1"/>
  <c r="C8" i="1" a="1"/>
  <c r="C8" i="1" s="1"/>
  <c r="C9" i="1" a="1"/>
  <c r="C9" i="1" s="1"/>
  <c r="C2" i="1" a="1"/>
  <c r="C2" i="1" s="1"/>
  <c r="T17" i="2"/>
  <c r="T18" i="2"/>
  <c r="T21" i="2"/>
  <c r="T22" i="2"/>
  <c r="T20" i="2"/>
  <c r="T1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C3FBC5-B5DC-4B1A-8040-C7FC35F9E9C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7C4532B-B871-40BE-93A1-AA53E9F611C8}" name="WorksheetConnection_HealthCare-assesment.xlsx!Table1" type="102" refreshedVersion="7" minRefreshableVersion="5">
    <extLst>
      <ext xmlns:x15="http://schemas.microsoft.com/office/spreadsheetml/2010/11/main" uri="{DE250136-89BD-433C-8126-D09CA5730AF9}">
        <x15:connection id="Table1" autoDelete="1">
          <x15:rangePr sourceName="_xlcn.WorksheetConnection_HealthCareassesmen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<sst xmlns="http://schemas.openxmlformats.org/spreadsheetml/2006/main" count="11181" uniqueCount="1111">
  <si>
    <t>Patient ID</t>
  </si>
  <si>
    <t>Age</t>
  </si>
  <si>
    <t>Department</t>
  </si>
  <si>
    <t>Admission Date</t>
  </si>
  <si>
    <t>Discharge Date</t>
  </si>
  <si>
    <t>Stay Duration (days)</t>
  </si>
  <si>
    <t>Disease/Condition</t>
  </si>
  <si>
    <t>Satisfaction Score</t>
  </si>
  <si>
    <t>Doctor</t>
  </si>
  <si>
    <t>Treatment Cost</t>
  </si>
  <si>
    <t>Medication</t>
  </si>
  <si>
    <t>Has Insurance</t>
  </si>
  <si>
    <t>Case Type</t>
  </si>
  <si>
    <t>Appointment Date</t>
  </si>
  <si>
    <t>Consultation Date</t>
  </si>
  <si>
    <t>Test Type</t>
  </si>
  <si>
    <t>Test Result</t>
  </si>
  <si>
    <t>Shift</t>
  </si>
  <si>
    <t>Staff Hours Worked</t>
  </si>
  <si>
    <t>Staff Available Hours</t>
  </si>
  <si>
    <t>Treatment Plan</t>
  </si>
  <si>
    <t>PAT5000</t>
  </si>
  <si>
    <t>Neurology</t>
  </si>
  <si>
    <t>Heart Disease</t>
  </si>
  <si>
    <t>Dr. Mehta</t>
  </si>
  <si>
    <t>MedC</t>
  </si>
  <si>
    <t>No</t>
  </si>
  <si>
    <t>Routine</t>
  </si>
  <si>
    <t>X-Ray</t>
  </si>
  <si>
    <t>Accepted</t>
  </si>
  <si>
    <t>Afternoon</t>
  </si>
  <si>
    <t>Plan B</t>
  </si>
  <si>
    <t>PAT5001</t>
  </si>
  <si>
    <t>ICU</t>
  </si>
  <si>
    <t>Fracture</t>
  </si>
  <si>
    <t>Dr. Sharma</t>
  </si>
  <si>
    <t>MedE</t>
  </si>
  <si>
    <t>Blood Test</t>
  </si>
  <si>
    <t>Rejected</t>
  </si>
  <si>
    <t>PAT5002</t>
  </si>
  <si>
    <t>Hypertension</t>
  </si>
  <si>
    <t>Emergency</t>
  </si>
  <si>
    <t>CT Scan</t>
  </si>
  <si>
    <t>Morning</t>
  </si>
  <si>
    <t>PAT5003</t>
  </si>
  <si>
    <t>General Medicine</t>
  </si>
  <si>
    <t>Dr. Gupta</t>
  </si>
  <si>
    <t>Night</t>
  </si>
  <si>
    <t>Plan C</t>
  </si>
  <si>
    <t>PAT5004</t>
  </si>
  <si>
    <t>Diabetes</t>
  </si>
  <si>
    <t>PAT5005</t>
  </si>
  <si>
    <t>Cardiology</t>
  </si>
  <si>
    <t>MedA</t>
  </si>
  <si>
    <t>Yes</t>
  </si>
  <si>
    <t>Ultrasound</t>
  </si>
  <si>
    <t>PAT5006</t>
  </si>
  <si>
    <t>Flu</t>
  </si>
  <si>
    <t>PAT5007</t>
  </si>
  <si>
    <t>PAT5008</t>
  </si>
  <si>
    <t>MedD</t>
  </si>
  <si>
    <t>PAT5009</t>
  </si>
  <si>
    <t>Orthopedics</t>
  </si>
  <si>
    <t>Migraine</t>
  </si>
  <si>
    <t>MRI</t>
  </si>
  <si>
    <t>PAT5010</t>
  </si>
  <si>
    <t>Dr. Rao</t>
  </si>
  <si>
    <t>MedB</t>
  </si>
  <si>
    <t>Plan A</t>
  </si>
  <si>
    <t>PAT5011</t>
  </si>
  <si>
    <t>PAT5012</t>
  </si>
  <si>
    <t>Dr. Patel</t>
  </si>
  <si>
    <t>PAT5013</t>
  </si>
  <si>
    <t>PAT5014</t>
  </si>
  <si>
    <t>PAT5015</t>
  </si>
  <si>
    <t>PAT5016</t>
  </si>
  <si>
    <t>PAT5017</t>
  </si>
  <si>
    <t>PAT5018</t>
  </si>
  <si>
    <t>PAT5019</t>
  </si>
  <si>
    <t>PAT5020</t>
  </si>
  <si>
    <t>PAT5021</t>
  </si>
  <si>
    <t>PAT5022</t>
  </si>
  <si>
    <t>PAT5023</t>
  </si>
  <si>
    <t>PAT5024</t>
  </si>
  <si>
    <t>PAT5025</t>
  </si>
  <si>
    <t>PAT5026</t>
  </si>
  <si>
    <t>PAT5027</t>
  </si>
  <si>
    <t>PAT5028</t>
  </si>
  <si>
    <t>PAT5029</t>
  </si>
  <si>
    <t>PAT5030</t>
  </si>
  <si>
    <t>PAT5031</t>
  </si>
  <si>
    <t>PAT5032</t>
  </si>
  <si>
    <t>PAT5033</t>
  </si>
  <si>
    <t>PAT5034</t>
  </si>
  <si>
    <t>PAT5035</t>
  </si>
  <si>
    <t>PAT5036</t>
  </si>
  <si>
    <t>PAT5037</t>
  </si>
  <si>
    <t>PAT5038</t>
  </si>
  <si>
    <t>PAT5039</t>
  </si>
  <si>
    <t>PAT5040</t>
  </si>
  <si>
    <t>PAT5041</t>
  </si>
  <si>
    <t>PAT5042</t>
  </si>
  <si>
    <t>PAT5043</t>
  </si>
  <si>
    <t>PAT5044</t>
  </si>
  <si>
    <t>PAT5045</t>
  </si>
  <si>
    <t>PAT5046</t>
  </si>
  <si>
    <t>PAT5047</t>
  </si>
  <si>
    <t>PAT5048</t>
  </si>
  <si>
    <t>PAT5049</t>
  </si>
  <si>
    <t>PAT5050</t>
  </si>
  <si>
    <t>PAT5051</t>
  </si>
  <si>
    <t>PAT5052</t>
  </si>
  <si>
    <t>PAT5053</t>
  </si>
  <si>
    <t>PAT5054</t>
  </si>
  <si>
    <t>PAT5055</t>
  </si>
  <si>
    <t>PAT5056</t>
  </si>
  <si>
    <t>PAT5057</t>
  </si>
  <si>
    <t>PAT5058</t>
  </si>
  <si>
    <t>PAT5059</t>
  </si>
  <si>
    <t>PAT5060</t>
  </si>
  <si>
    <t>PAT5061</t>
  </si>
  <si>
    <t>PAT5062</t>
  </si>
  <si>
    <t>PAT5063</t>
  </si>
  <si>
    <t>PAT5064</t>
  </si>
  <si>
    <t>PAT5065</t>
  </si>
  <si>
    <t>PAT5066</t>
  </si>
  <si>
    <t>PAT5067</t>
  </si>
  <si>
    <t>PAT5068</t>
  </si>
  <si>
    <t>PAT5069</t>
  </si>
  <si>
    <t>PAT5070</t>
  </si>
  <si>
    <t>PAT5071</t>
  </si>
  <si>
    <t>PAT5072</t>
  </si>
  <si>
    <t>PAT5073</t>
  </si>
  <si>
    <t>PAT5074</t>
  </si>
  <si>
    <t>PAT5075</t>
  </si>
  <si>
    <t>PAT5076</t>
  </si>
  <si>
    <t>PAT5077</t>
  </si>
  <si>
    <t>PAT5078</t>
  </si>
  <si>
    <t>PAT5079</t>
  </si>
  <si>
    <t>PAT5080</t>
  </si>
  <si>
    <t>PAT5081</t>
  </si>
  <si>
    <t>PAT5082</t>
  </si>
  <si>
    <t>PAT5083</t>
  </si>
  <si>
    <t>PAT5084</t>
  </si>
  <si>
    <t>PAT5085</t>
  </si>
  <si>
    <t>PAT5086</t>
  </si>
  <si>
    <t>PAT5087</t>
  </si>
  <si>
    <t>PAT5088</t>
  </si>
  <si>
    <t>PAT5089</t>
  </si>
  <si>
    <t>PAT5090</t>
  </si>
  <si>
    <t>PAT5091</t>
  </si>
  <si>
    <t>PAT5092</t>
  </si>
  <si>
    <t>PAT5093</t>
  </si>
  <si>
    <t>PAT5094</t>
  </si>
  <si>
    <t>PAT5095</t>
  </si>
  <si>
    <t>PAT5096</t>
  </si>
  <si>
    <t>PAT5097</t>
  </si>
  <si>
    <t>PAT5098</t>
  </si>
  <si>
    <t>PAT5099</t>
  </si>
  <si>
    <t>PAT5100</t>
  </si>
  <si>
    <t>PAT5101</t>
  </si>
  <si>
    <t>PAT5102</t>
  </si>
  <si>
    <t>PAT5103</t>
  </si>
  <si>
    <t>PAT5104</t>
  </si>
  <si>
    <t>PAT5105</t>
  </si>
  <si>
    <t>PAT5106</t>
  </si>
  <si>
    <t>PAT5107</t>
  </si>
  <si>
    <t>PAT5108</t>
  </si>
  <si>
    <t>PAT5109</t>
  </si>
  <si>
    <t>PAT5110</t>
  </si>
  <si>
    <t>PAT5111</t>
  </si>
  <si>
    <t>PAT5112</t>
  </si>
  <si>
    <t>PAT5113</t>
  </si>
  <si>
    <t>PAT5114</t>
  </si>
  <si>
    <t>PAT5115</t>
  </si>
  <si>
    <t>PAT5116</t>
  </si>
  <si>
    <t>PAT5117</t>
  </si>
  <si>
    <t>PAT5118</t>
  </si>
  <si>
    <t>PAT5119</t>
  </si>
  <si>
    <t>PAT5120</t>
  </si>
  <si>
    <t>PAT5121</t>
  </si>
  <si>
    <t>PAT5122</t>
  </si>
  <si>
    <t>PAT5123</t>
  </si>
  <si>
    <t>PAT5124</t>
  </si>
  <si>
    <t>PAT5125</t>
  </si>
  <si>
    <t>PAT5126</t>
  </si>
  <si>
    <t>PAT5127</t>
  </si>
  <si>
    <t>PAT5128</t>
  </si>
  <si>
    <t>PAT5129</t>
  </si>
  <si>
    <t>PAT5130</t>
  </si>
  <si>
    <t>PAT5131</t>
  </si>
  <si>
    <t>PAT5132</t>
  </si>
  <si>
    <t>PAT5133</t>
  </si>
  <si>
    <t>PAT5134</t>
  </si>
  <si>
    <t>PAT5135</t>
  </si>
  <si>
    <t>PAT5136</t>
  </si>
  <si>
    <t>PAT5137</t>
  </si>
  <si>
    <t>PAT5138</t>
  </si>
  <si>
    <t>PAT5139</t>
  </si>
  <si>
    <t>PAT5140</t>
  </si>
  <si>
    <t>PAT5141</t>
  </si>
  <si>
    <t>PAT5142</t>
  </si>
  <si>
    <t>PAT5143</t>
  </si>
  <si>
    <t>PAT5144</t>
  </si>
  <si>
    <t>PAT5145</t>
  </si>
  <si>
    <t>PAT5146</t>
  </si>
  <si>
    <t>PAT5147</t>
  </si>
  <si>
    <t>PAT5148</t>
  </si>
  <si>
    <t>PAT5149</t>
  </si>
  <si>
    <t>PAT5150</t>
  </si>
  <si>
    <t>PAT5151</t>
  </si>
  <si>
    <t>PAT5152</t>
  </si>
  <si>
    <t>PAT5153</t>
  </si>
  <si>
    <t>PAT5154</t>
  </si>
  <si>
    <t>PAT5155</t>
  </si>
  <si>
    <t>PAT5156</t>
  </si>
  <si>
    <t>PAT5157</t>
  </si>
  <si>
    <t>PAT5158</t>
  </si>
  <si>
    <t>PAT5159</t>
  </si>
  <si>
    <t>PAT5160</t>
  </si>
  <si>
    <t>PAT5161</t>
  </si>
  <si>
    <t>PAT5162</t>
  </si>
  <si>
    <t>PAT5163</t>
  </si>
  <si>
    <t>PAT5164</t>
  </si>
  <si>
    <t>PAT5165</t>
  </si>
  <si>
    <t>PAT5166</t>
  </si>
  <si>
    <t>PAT5167</t>
  </si>
  <si>
    <t>PAT5168</t>
  </si>
  <si>
    <t>PAT5169</t>
  </si>
  <si>
    <t>PAT5170</t>
  </si>
  <si>
    <t>PAT5171</t>
  </si>
  <si>
    <t>PAT5172</t>
  </si>
  <si>
    <t>PAT5173</t>
  </si>
  <si>
    <t>PAT5174</t>
  </si>
  <si>
    <t>PAT5175</t>
  </si>
  <si>
    <t>PAT5176</t>
  </si>
  <si>
    <t>PAT5177</t>
  </si>
  <si>
    <t>PAT5178</t>
  </si>
  <si>
    <t>PAT5179</t>
  </si>
  <si>
    <t>PAT5180</t>
  </si>
  <si>
    <t>PAT5181</t>
  </si>
  <si>
    <t>PAT5182</t>
  </si>
  <si>
    <t>PAT5183</t>
  </si>
  <si>
    <t>PAT5184</t>
  </si>
  <si>
    <t>PAT5185</t>
  </si>
  <si>
    <t>PAT5186</t>
  </si>
  <si>
    <t>PAT5187</t>
  </si>
  <si>
    <t>PAT5188</t>
  </si>
  <si>
    <t>PAT5189</t>
  </si>
  <si>
    <t>PAT5190</t>
  </si>
  <si>
    <t>PAT5191</t>
  </si>
  <si>
    <t>PAT5192</t>
  </si>
  <si>
    <t>PAT5193</t>
  </si>
  <si>
    <t>PAT5194</t>
  </si>
  <si>
    <t>PAT5195</t>
  </si>
  <si>
    <t>PAT5196</t>
  </si>
  <si>
    <t>PAT5197</t>
  </si>
  <si>
    <t>PAT5198</t>
  </si>
  <si>
    <t>PAT5199</t>
  </si>
  <si>
    <t>PAT5200</t>
  </si>
  <si>
    <t>PAT5201</t>
  </si>
  <si>
    <t>PAT5202</t>
  </si>
  <si>
    <t>PAT5203</t>
  </si>
  <si>
    <t>PAT5204</t>
  </si>
  <si>
    <t>PAT5205</t>
  </si>
  <si>
    <t>PAT5206</t>
  </si>
  <si>
    <t>PAT5207</t>
  </si>
  <si>
    <t>PAT5208</t>
  </si>
  <si>
    <t>PAT5209</t>
  </si>
  <si>
    <t>PAT5210</t>
  </si>
  <si>
    <t>PAT5211</t>
  </si>
  <si>
    <t>PAT5212</t>
  </si>
  <si>
    <t>PAT5213</t>
  </si>
  <si>
    <t>PAT5214</t>
  </si>
  <si>
    <t>PAT5215</t>
  </si>
  <si>
    <t>PAT5216</t>
  </si>
  <si>
    <t>PAT5217</t>
  </si>
  <si>
    <t>PAT5218</t>
  </si>
  <si>
    <t>PAT5219</t>
  </si>
  <si>
    <t>PAT5220</t>
  </si>
  <si>
    <t>PAT5221</t>
  </si>
  <si>
    <t>PAT5222</t>
  </si>
  <si>
    <t>PAT5223</t>
  </si>
  <si>
    <t>PAT5224</t>
  </si>
  <si>
    <t>PAT5225</t>
  </si>
  <si>
    <t>PAT5226</t>
  </si>
  <si>
    <t>PAT5227</t>
  </si>
  <si>
    <t>PAT5228</t>
  </si>
  <si>
    <t>PAT5229</t>
  </si>
  <si>
    <t>PAT5230</t>
  </si>
  <si>
    <t>PAT5231</t>
  </si>
  <si>
    <t>PAT5232</t>
  </si>
  <si>
    <t>PAT5233</t>
  </si>
  <si>
    <t>PAT5234</t>
  </si>
  <si>
    <t>PAT5235</t>
  </si>
  <si>
    <t>PAT5236</t>
  </si>
  <si>
    <t>PAT5237</t>
  </si>
  <si>
    <t>PAT5238</t>
  </si>
  <si>
    <t>PAT5239</t>
  </si>
  <si>
    <t>PAT5240</t>
  </si>
  <si>
    <t>PAT5241</t>
  </si>
  <si>
    <t>PAT5242</t>
  </si>
  <si>
    <t>PAT5243</t>
  </si>
  <si>
    <t>PAT5244</t>
  </si>
  <si>
    <t>PAT5245</t>
  </si>
  <si>
    <t>PAT5246</t>
  </si>
  <si>
    <t>PAT5247</t>
  </si>
  <si>
    <t>PAT5248</t>
  </si>
  <si>
    <t>PAT5249</t>
  </si>
  <si>
    <t>PAT5250</t>
  </si>
  <si>
    <t>PAT5251</t>
  </si>
  <si>
    <t>PAT5252</t>
  </si>
  <si>
    <t>PAT5253</t>
  </si>
  <si>
    <t>PAT5254</t>
  </si>
  <si>
    <t>PAT5255</t>
  </si>
  <si>
    <t>PAT5256</t>
  </si>
  <si>
    <t>PAT5257</t>
  </si>
  <si>
    <t>PAT5258</t>
  </si>
  <si>
    <t>PAT5259</t>
  </si>
  <si>
    <t>PAT5260</t>
  </si>
  <si>
    <t>PAT5261</t>
  </si>
  <si>
    <t>PAT5262</t>
  </si>
  <si>
    <t>PAT5263</t>
  </si>
  <si>
    <t>PAT5264</t>
  </si>
  <si>
    <t>PAT5265</t>
  </si>
  <si>
    <t>PAT5266</t>
  </si>
  <si>
    <t>PAT5267</t>
  </si>
  <si>
    <t>PAT5268</t>
  </si>
  <si>
    <t>PAT5269</t>
  </si>
  <si>
    <t>PAT5270</t>
  </si>
  <si>
    <t>PAT5271</t>
  </si>
  <si>
    <t>PAT5272</t>
  </si>
  <si>
    <t>PAT5273</t>
  </si>
  <si>
    <t>PAT5274</t>
  </si>
  <si>
    <t>PAT5275</t>
  </si>
  <si>
    <t>PAT5276</t>
  </si>
  <si>
    <t>PAT5277</t>
  </si>
  <si>
    <t>PAT5278</t>
  </si>
  <si>
    <t>PAT5279</t>
  </si>
  <si>
    <t>PAT5280</t>
  </si>
  <si>
    <t>PAT5281</t>
  </si>
  <si>
    <t>PAT5282</t>
  </si>
  <si>
    <t>PAT5283</t>
  </si>
  <si>
    <t>PAT5284</t>
  </si>
  <si>
    <t>PAT5285</t>
  </si>
  <si>
    <t>PAT5286</t>
  </si>
  <si>
    <t>PAT5287</t>
  </si>
  <si>
    <t>PAT5288</t>
  </si>
  <si>
    <t>PAT5289</t>
  </si>
  <si>
    <t>PAT5290</t>
  </si>
  <si>
    <t>PAT5291</t>
  </si>
  <si>
    <t>PAT5292</t>
  </si>
  <si>
    <t>PAT5293</t>
  </si>
  <si>
    <t>PAT5294</t>
  </si>
  <si>
    <t>PAT5295</t>
  </si>
  <si>
    <t>PAT5296</t>
  </si>
  <si>
    <t>PAT5297</t>
  </si>
  <si>
    <t>PAT5298</t>
  </si>
  <si>
    <t>PAT5299</t>
  </si>
  <si>
    <t>PAT5300</t>
  </si>
  <si>
    <t>PAT5301</t>
  </si>
  <si>
    <t>PAT5302</t>
  </si>
  <si>
    <t>PAT5303</t>
  </si>
  <si>
    <t>PAT5304</t>
  </si>
  <si>
    <t>PAT5305</t>
  </si>
  <si>
    <t>PAT5306</t>
  </si>
  <si>
    <t>PAT5307</t>
  </si>
  <si>
    <t>PAT5308</t>
  </si>
  <si>
    <t>PAT5309</t>
  </si>
  <si>
    <t>PAT5310</t>
  </si>
  <si>
    <t>PAT5311</t>
  </si>
  <si>
    <t>PAT5312</t>
  </si>
  <si>
    <t>PAT5313</t>
  </si>
  <si>
    <t>PAT5314</t>
  </si>
  <si>
    <t>PAT5315</t>
  </si>
  <si>
    <t>PAT5316</t>
  </si>
  <si>
    <t>PAT5317</t>
  </si>
  <si>
    <t>PAT5318</t>
  </si>
  <si>
    <t>PAT5319</t>
  </si>
  <si>
    <t>PAT5320</t>
  </si>
  <si>
    <t>PAT5321</t>
  </si>
  <si>
    <t>PAT5322</t>
  </si>
  <si>
    <t>PAT5323</t>
  </si>
  <si>
    <t>PAT5324</t>
  </si>
  <si>
    <t>PAT5325</t>
  </si>
  <si>
    <t>PAT5326</t>
  </si>
  <si>
    <t>PAT5327</t>
  </si>
  <si>
    <t>PAT5328</t>
  </si>
  <si>
    <t>PAT5329</t>
  </si>
  <si>
    <t>PAT5330</t>
  </si>
  <si>
    <t>PAT5331</t>
  </si>
  <si>
    <t>PAT5332</t>
  </si>
  <si>
    <t>PAT5333</t>
  </si>
  <si>
    <t>PAT5334</t>
  </si>
  <si>
    <t>PAT5335</t>
  </si>
  <si>
    <t>PAT5336</t>
  </si>
  <si>
    <t>PAT5337</t>
  </si>
  <si>
    <t>PAT5338</t>
  </si>
  <si>
    <t>PAT5339</t>
  </si>
  <si>
    <t>PAT5340</t>
  </si>
  <si>
    <t>PAT5341</t>
  </si>
  <si>
    <t>PAT5342</t>
  </si>
  <si>
    <t>PAT5343</t>
  </si>
  <si>
    <t>PAT5344</t>
  </si>
  <si>
    <t>PAT5345</t>
  </si>
  <si>
    <t>PAT5346</t>
  </si>
  <si>
    <t>PAT5347</t>
  </si>
  <si>
    <t>PAT5348</t>
  </si>
  <si>
    <t>PAT5349</t>
  </si>
  <si>
    <t>PAT5350</t>
  </si>
  <si>
    <t>PAT5351</t>
  </si>
  <si>
    <t>PAT5352</t>
  </si>
  <si>
    <t>PAT5353</t>
  </si>
  <si>
    <t>PAT5354</t>
  </si>
  <si>
    <t>PAT5355</t>
  </si>
  <si>
    <t>PAT5356</t>
  </si>
  <si>
    <t>PAT5357</t>
  </si>
  <si>
    <t>PAT5358</t>
  </si>
  <si>
    <t>PAT5359</t>
  </si>
  <si>
    <t>PAT5360</t>
  </si>
  <si>
    <t>PAT5361</t>
  </si>
  <si>
    <t>PAT5362</t>
  </si>
  <si>
    <t>PAT5363</t>
  </si>
  <si>
    <t>PAT5364</t>
  </si>
  <si>
    <t>PAT5365</t>
  </si>
  <si>
    <t>PAT5366</t>
  </si>
  <si>
    <t>PAT5367</t>
  </si>
  <si>
    <t>PAT5368</t>
  </si>
  <si>
    <t>PAT5369</t>
  </si>
  <si>
    <t>PAT5370</t>
  </si>
  <si>
    <t>PAT5371</t>
  </si>
  <si>
    <t>PAT5372</t>
  </si>
  <si>
    <t>PAT5373</t>
  </si>
  <si>
    <t>PAT5374</t>
  </si>
  <si>
    <t>PAT5375</t>
  </si>
  <si>
    <t>PAT5376</t>
  </si>
  <si>
    <t>PAT5377</t>
  </si>
  <si>
    <t>PAT5378</t>
  </si>
  <si>
    <t>PAT5379</t>
  </si>
  <si>
    <t>PAT5380</t>
  </si>
  <si>
    <t>PAT5381</t>
  </si>
  <si>
    <t>PAT5382</t>
  </si>
  <si>
    <t>PAT5383</t>
  </si>
  <si>
    <t>PAT5384</t>
  </si>
  <si>
    <t>PAT5385</t>
  </si>
  <si>
    <t>PAT5386</t>
  </si>
  <si>
    <t>PAT5387</t>
  </si>
  <si>
    <t>PAT5388</t>
  </si>
  <si>
    <t>PAT5389</t>
  </si>
  <si>
    <t>PAT5390</t>
  </si>
  <si>
    <t>PAT5391</t>
  </si>
  <si>
    <t>PAT5392</t>
  </si>
  <si>
    <t>PAT5393</t>
  </si>
  <si>
    <t>PAT5394</t>
  </si>
  <si>
    <t>PAT5395</t>
  </si>
  <si>
    <t>PAT5396</t>
  </si>
  <si>
    <t>PAT5397</t>
  </si>
  <si>
    <t>PAT5398</t>
  </si>
  <si>
    <t>PAT5399</t>
  </si>
  <si>
    <t>PAT5400</t>
  </si>
  <si>
    <t>PAT5401</t>
  </si>
  <si>
    <t>PAT5402</t>
  </si>
  <si>
    <t>PAT5403</t>
  </si>
  <si>
    <t>PAT5404</t>
  </si>
  <si>
    <t>PAT5405</t>
  </si>
  <si>
    <t>PAT5406</t>
  </si>
  <si>
    <t>PAT5407</t>
  </si>
  <si>
    <t>PAT5408</t>
  </si>
  <si>
    <t>PAT5409</t>
  </si>
  <si>
    <t>PAT5410</t>
  </si>
  <si>
    <t>PAT5411</t>
  </si>
  <si>
    <t>PAT5412</t>
  </si>
  <si>
    <t>PAT5413</t>
  </si>
  <si>
    <t>PAT5414</t>
  </si>
  <si>
    <t>PAT5415</t>
  </si>
  <si>
    <t>PAT5416</t>
  </si>
  <si>
    <t>PAT5417</t>
  </si>
  <si>
    <t>PAT5418</t>
  </si>
  <si>
    <t>PAT5419</t>
  </si>
  <si>
    <t>PAT5420</t>
  </si>
  <si>
    <t>PAT5421</t>
  </si>
  <si>
    <t>PAT5422</t>
  </si>
  <si>
    <t>PAT5423</t>
  </si>
  <si>
    <t>PAT5424</t>
  </si>
  <si>
    <t>PAT5425</t>
  </si>
  <si>
    <t>PAT5426</t>
  </si>
  <si>
    <t>PAT5427</t>
  </si>
  <si>
    <t>PAT5428</t>
  </si>
  <si>
    <t>PAT5429</t>
  </si>
  <si>
    <t>PAT5430</t>
  </si>
  <si>
    <t>PAT5431</t>
  </si>
  <si>
    <t>PAT5432</t>
  </si>
  <si>
    <t>PAT5433</t>
  </si>
  <si>
    <t>PAT5434</t>
  </si>
  <si>
    <t>PAT5435</t>
  </si>
  <si>
    <t>PAT5436</t>
  </si>
  <si>
    <t>PAT5437</t>
  </si>
  <si>
    <t>PAT5438</t>
  </si>
  <si>
    <t>PAT5439</t>
  </si>
  <si>
    <t>PAT5440</t>
  </si>
  <si>
    <t>PAT5441</t>
  </si>
  <si>
    <t>PAT5442</t>
  </si>
  <si>
    <t>PAT5443</t>
  </si>
  <si>
    <t>PAT5444</t>
  </si>
  <si>
    <t>PAT5445</t>
  </si>
  <si>
    <t>PAT5446</t>
  </si>
  <si>
    <t>PAT5447</t>
  </si>
  <si>
    <t>PAT5448</t>
  </si>
  <si>
    <t>PAT5449</t>
  </si>
  <si>
    <t>PAT5450</t>
  </si>
  <si>
    <t>PAT5451</t>
  </si>
  <si>
    <t>PAT5452</t>
  </si>
  <si>
    <t>PAT5453</t>
  </si>
  <si>
    <t>PAT5454</t>
  </si>
  <si>
    <t>PAT5455</t>
  </si>
  <si>
    <t>PAT5456</t>
  </si>
  <si>
    <t>PAT5457</t>
  </si>
  <si>
    <t>PAT5458</t>
  </si>
  <si>
    <t>PAT5459</t>
  </si>
  <si>
    <t>PAT5460</t>
  </si>
  <si>
    <t>PAT5461</t>
  </si>
  <si>
    <t>PAT5462</t>
  </si>
  <si>
    <t>PAT5463</t>
  </si>
  <si>
    <t>PAT5464</t>
  </si>
  <si>
    <t>PAT5465</t>
  </si>
  <si>
    <t>PAT5466</t>
  </si>
  <si>
    <t>PAT5467</t>
  </si>
  <si>
    <t>PAT5468</t>
  </si>
  <si>
    <t>PAT5469</t>
  </si>
  <si>
    <t>PAT5470</t>
  </si>
  <si>
    <t>PAT5471</t>
  </si>
  <si>
    <t>PAT5472</t>
  </si>
  <si>
    <t>PAT5473</t>
  </si>
  <si>
    <t>PAT5474</t>
  </si>
  <si>
    <t>PAT5475</t>
  </si>
  <si>
    <t>PAT5476</t>
  </si>
  <si>
    <t>PAT5477</t>
  </si>
  <si>
    <t>PAT5478</t>
  </si>
  <si>
    <t>PAT5479</t>
  </si>
  <si>
    <t>PAT5480</t>
  </si>
  <si>
    <t>PAT5481</t>
  </si>
  <si>
    <t>PAT5482</t>
  </si>
  <si>
    <t>PAT5483</t>
  </si>
  <si>
    <t>PAT5484</t>
  </si>
  <si>
    <t>PAT5485</t>
  </si>
  <si>
    <t>PAT5486</t>
  </si>
  <si>
    <t>PAT5487</t>
  </si>
  <si>
    <t>PAT5488</t>
  </si>
  <si>
    <t>PAT5489</t>
  </si>
  <si>
    <t>PAT5490</t>
  </si>
  <si>
    <t>PAT5491</t>
  </si>
  <si>
    <t>PAT5492</t>
  </si>
  <si>
    <t>PAT5493</t>
  </si>
  <si>
    <t>PAT5494</t>
  </si>
  <si>
    <t>PAT5495</t>
  </si>
  <si>
    <t>PAT5496</t>
  </si>
  <si>
    <t>PAT5497</t>
  </si>
  <si>
    <t>PAT5498</t>
  </si>
  <si>
    <t>PAT5499</t>
  </si>
  <si>
    <t>PAT5500</t>
  </si>
  <si>
    <t>PAT5501</t>
  </si>
  <si>
    <t>PAT5502</t>
  </si>
  <si>
    <t>PAT5503</t>
  </si>
  <si>
    <t>PAT5504</t>
  </si>
  <si>
    <t>PAT5505</t>
  </si>
  <si>
    <t>PAT5506</t>
  </si>
  <si>
    <t>PAT5507</t>
  </si>
  <si>
    <t>PAT5508</t>
  </si>
  <si>
    <t>PAT5509</t>
  </si>
  <si>
    <t>PAT5510</t>
  </si>
  <si>
    <t>PAT5511</t>
  </si>
  <si>
    <t>PAT5512</t>
  </si>
  <si>
    <t>PAT5513</t>
  </si>
  <si>
    <t>PAT5514</t>
  </si>
  <si>
    <t>PAT5515</t>
  </si>
  <si>
    <t>PAT5516</t>
  </si>
  <si>
    <t>PAT5517</t>
  </si>
  <si>
    <t>PAT5518</t>
  </si>
  <si>
    <t>PAT5519</t>
  </si>
  <si>
    <t>PAT5520</t>
  </si>
  <si>
    <t>PAT5521</t>
  </si>
  <si>
    <t>PAT5522</t>
  </si>
  <si>
    <t>PAT5523</t>
  </si>
  <si>
    <t>PAT5524</t>
  </si>
  <si>
    <t>PAT5525</t>
  </si>
  <si>
    <t>PAT5526</t>
  </si>
  <si>
    <t>PAT5527</t>
  </si>
  <si>
    <t>PAT5528</t>
  </si>
  <si>
    <t>PAT5529</t>
  </si>
  <si>
    <t>PAT5530</t>
  </si>
  <si>
    <t>PAT5531</t>
  </si>
  <si>
    <t>PAT5532</t>
  </si>
  <si>
    <t>PAT5533</t>
  </si>
  <si>
    <t>PAT5534</t>
  </si>
  <si>
    <t>PAT5535</t>
  </si>
  <si>
    <t>PAT5536</t>
  </si>
  <si>
    <t>PAT5537</t>
  </si>
  <si>
    <t>PAT5538</t>
  </si>
  <si>
    <t>PAT5539</t>
  </si>
  <si>
    <t>PAT5540</t>
  </si>
  <si>
    <t>PAT5541</t>
  </si>
  <si>
    <t>PAT5542</t>
  </si>
  <si>
    <t>PAT5543</t>
  </si>
  <si>
    <t>PAT5544</t>
  </si>
  <si>
    <t>PAT5545</t>
  </si>
  <si>
    <t>PAT5546</t>
  </si>
  <si>
    <t>PAT5547</t>
  </si>
  <si>
    <t>PAT5548</t>
  </si>
  <si>
    <t>PAT5549</t>
  </si>
  <si>
    <t>PAT5550</t>
  </si>
  <si>
    <t>PAT5551</t>
  </si>
  <si>
    <t>PAT5552</t>
  </si>
  <si>
    <t>PAT5553</t>
  </si>
  <si>
    <t>PAT5554</t>
  </si>
  <si>
    <t>PAT5555</t>
  </si>
  <si>
    <t>PAT5556</t>
  </si>
  <si>
    <t>PAT5557</t>
  </si>
  <si>
    <t>PAT5558</t>
  </si>
  <si>
    <t>PAT5559</t>
  </si>
  <si>
    <t>PAT5560</t>
  </si>
  <si>
    <t>PAT5561</t>
  </si>
  <si>
    <t>PAT5562</t>
  </si>
  <si>
    <t>PAT5563</t>
  </si>
  <si>
    <t>PAT5564</t>
  </si>
  <si>
    <t>PAT5565</t>
  </si>
  <si>
    <t>PAT5566</t>
  </si>
  <si>
    <t>PAT5567</t>
  </si>
  <si>
    <t>PAT5568</t>
  </si>
  <si>
    <t>PAT5569</t>
  </si>
  <si>
    <t>PAT5570</t>
  </si>
  <si>
    <t>PAT5571</t>
  </si>
  <si>
    <t>PAT5572</t>
  </si>
  <si>
    <t>PAT5573</t>
  </si>
  <si>
    <t>PAT5574</t>
  </si>
  <si>
    <t>PAT5575</t>
  </si>
  <si>
    <t>PAT5576</t>
  </si>
  <si>
    <t>PAT5577</t>
  </si>
  <si>
    <t>PAT5578</t>
  </si>
  <si>
    <t>PAT5579</t>
  </si>
  <si>
    <t>PAT5580</t>
  </si>
  <si>
    <t>PAT5581</t>
  </si>
  <si>
    <t>PAT5582</t>
  </si>
  <si>
    <t>PAT5583</t>
  </si>
  <si>
    <t>PAT5584</t>
  </si>
  <si>
    <t>PAT5585</t>
  </si>
  <si>
    <t>PAT5586</t>
  </si>
  <si>
    <t>PAT5587</t>
  </si>
  <si>
    <t>PAT5588</t>
  </si>
  <si>
    <t>PAT5589</t>
  </si>
  <si>
    <t>PAT5590</t>
  </si>
  <si>
    <t>PAT5591</t>
  </si>
  <si>
    <t>PAT5592</t>
  </si>
  <si>
    <t>PAT5593</t>
  </si>
  <si>
    <t>PAT5594</t>
  </si>
  <si>
    <t>PAT5595</t>
  </si>
  <si>
    <t>PAT5596</t>
  </si>
  <si>
    <t>PAT5597</t>
  </si>
  <si>
    <t>PAT5598</t>
  </si>
  <si>
    <t>PAT5599</t>
  </si>
  <si>
    <t>PAT5600</t>
  </si>
  <si>
    <t>PAT5601</t>
  </si>
  <si>
    <t>PAT5602</t>
  </si>
  <si>
    <t>PAT5603</t>
  </si>
  <si>
    <t>PAT5604</t>
  </si>
  <si>
    <t>PAT5605</t>
  </si>
  <si>
    <t>PAT5606</t>
  </si>
  <si>
    <t>PAT5607</t>
  </si>
  <si>
    <t>PAT5608</t>
  </si>
  <si>
    <t>PAT5609</t>
  </si>
  <si>
    <t>PAT5610</t>
  </si>
  <si>
    <t>PAT5611</t>
  </si>
  <si>
    <t>PAT5612</t>
  </si>
  <si>
    <t>PAT5613</t>
  </si>
  <si>
    <t>PAT5614</t>
  </si>
  <si>
    <t>PAT5615</t>
  </si>
  <si>
    <t>PAT5616</t>
  </si>
  <si>
    <t>PAT5617</t>
  </si>
  <si>
    <t>PAT5618</t>
  </si>
  <si>
    <t>PAT5619</t>
  </si>
  <si>
    <t>PAT5620</t>
  </si>
  <si>
    <t>PAT5621</t>
  </si>
  <si>
    <t>PAT5622</t>
  </si>
  <si>
    <t>PAT5623</t>
  </si>
  <si>
    <t>PAT5624</t>
  </si>
  <si>
    <t>PAT5625</t>
  </si>
  <si>
    <t>PAT5626</t>
  </si>
  <si>
    <t>PAT5627</t>
  </si>
  <si>
    <t>PAT5628</t>
  </si>
  <si>
    <t>PAT5629</t>
  </si>
  <si>
    <t>PAT5630</t>
  </si>
  <si>
    <t>PAT5631</t>
  </si>
  <si>
    <t>PAT5632</t>
  </si>
  <si>
    <t>PAT5633</t>
  </si>
  <si>
    <t>PAT5634</t>
  </si>
  <si>
    <t>PAT5635</t>
  </si>
  <si>
    <t>PAT5636</t>
  </si>
  <si>
    <t>PAT5637</t>
  </si>
  <si>
    <t>PAT5638</t>
  </si>
  <si>
    <t>PAT5639</t>
  </si>
  <si>
    <t>PAT5640</t>
  </si>
  <si>
    <t>PAT5641</t>
  </si>
  <si>
    <t>PAT5642</t>
  </si>
  <si>
    <t>PAT5643</t>
  </si>
  <si>
    <t>PAT5644</t>
  </si>
  <si>
    <t>PAT5645</t>
  </si>
  <si>
    <t>PAT5646</t>
  </si>
  <si>
    <t>PAT5647</t>
  </si>
  <si>
    <t>PAT5648</t>
  </si>
  <si>
    <t>PAT5649</t>
  </si>
  <si>
    <t>PAT5650</t>
  </si>
  <si>
    <t>PAT5651</t>
  </si>
  <si>
    <t>PAT5652</t>
  </si>
  <si>
    <t>PAT5653</t>
  </si>
  <si>
    <t>PAT5654</t>
  </si>
  <si>
    <t>PAT5655</t>
  </si>
  <si>
    <t>PAT5656</t>
  </si>
  <si>
    <t>PAT5657</t>
  </si>
  <si>
    <t>PAT5658</t>
  </si>
  <si>
    <t>PAT5659</t>
  </si>
  <si>
    <t>PAT5660</t>
  </si>
  <si>
    <t>PAT5661</t>
  </si>
  <si>
    <t>PAT5662</t>
  </si>
  <si>
    <t>PAT5663</t>
  </si>
  <si>
    <t>PAT5664</t>
  </si>
  <si>
    <t>PAT5665</t>
  </si>
  <si>
    <t>PAT5666</t>
  </si>
  <si>
    <t>PAT5667</t>
  </si>
  <si>
    <t>PAT5668</t>
  </si>
  <si>
    <t>PAT5669</t>
  </si>
  <si>
    <t>PAT5670</t>
  </si>
  <si>
    <t>PAT5671</t>
  </si>
  <si>
    <t>PAT5672</t>
  </si>
  <si>
    <t>PAT5673</t>
  </si>
  <si>
    <t>PAT5674</t>
  </si>
  <si>
    <t>PAT5675</t>
  </si>
  <si>
    <t>PAT5676</t>
  </si>
  <si>
    <t>PAT5677</t>
  </si>
  <si>
    <t>PAT5678</t>
  </si>
  <si>
    <t>PAT5679</t>
  </si>
  <si>
    <t>PAT5680</t>
  </si>
  <si>
    <t>PAT5681</t>
  </si>
  <si>
    <t>PAT5682</t>
  </si>
  <si>
    <t>PAT5683</t>
  </si>
  <si>
    <t>PAT5684</t>
  </si>
  <si>
    <t>PAT5685</t>
  </si>
  <si>
    <t>PAT5686</t>
  </si>
  <si>
    <t>PAT5687</t>
  </si>
  <si>
    <t>PAT5688</t>
  </si>
  <si>
    <t>PAT5689</t>
  </si>
  <si>
    <t>PAT5690</t>
  </si>
  <si>
    <t>PAT5691</t>
  </si>
  <si>
    <t>PAT5692</t>
  </si>
  <si>
    <t>PAT5693</t>
  </si>
  <si>
    <t>PAT5694</t>
  </si>
  <si>
    <t>PAT5695</t>
  </si>
  <si>
    <t>PAT5696</t>
  </si>
  <si>
    <t>PAT5697</t>
  </si>
  <si>
    <t>PAT5698</t>
  </si>
  <si>
    <t>PAT5699</t>
  </si>
  <si>
    <t>PAT5700</t>
  </si>
  <si>
    <t>PAT5701</t>
  </si>
  <si>
    <t>PAT5702</t>
  </si>
  <si>
    <t>PAT5703</t>
  </si>
  <si>
    <t>PAT5704</t>
  </si>
  <si>
    <t>PAT5705</t>
  </si>
  <si>
    <t>PAT5706</t>
  </si>
  <si>
    <t>PAT5707</t>
  </si>
  <si>
    <t>PAT5708</t>
  </si>
  <si>
    <t>PAT5709</t>
  </si>
  <si>
    <t>PAT5710</t>
  </si>
  <si>
    <t>PAT5711</t>
  </si>
  <si>
    <t>PAT5712</t>
  </si>
  <si>
    <t>PAT5713</t>
  </si>
  <si>
    <t>PAT5714</t>
  </si>
  <si>
    <t>PAT5715</t>
  </si>
  <si>
    <t>PAT5716</t>
  </si>
  <si>
    <t>PAT5717</t>
  </si>
  <si>
    <t>PAT5718</t>
  </si>
  <si>
    <t>PAT5719</t>
  </si>
  <si>
    <t>PAT5720</t>
  </si>
  <si>
    <t>PAT5721</t>
  </si>
  <si>
    <t>PAT5722</t>
  </si>
  <si>
    <t>PAT5723</t>
  </si>
  <si>
    <t>PAT5724</t>
  </si>
  <si>
    <t>PAT5725</t>
  </si>
  <si>
    <t>PAT5726</t>
  </si>
  <si>
    <t>PAT5727</t>
  </si>
  <si>
    <t>PAT5728</t>
  </si>
  <si>
    <t>PAT5729</t>
  </si>
  <si>
    <t>PAT5730</t>
  </si>
  <si>
    <t>PAT5731</t>
  </si>
  <si>
    <t>PAT5732</t>
  </si>
  <si>
    <t>PAT5733</t>
  </si>
  <si>
    <t>PAT5734</t>
  </si>
  <si>
    <t>PAT5735</t>
  </si>
  <si>
    <t>PAT5736</t>
  </si>
  <si>
    <t>PAT5737</t>
  </si>
  <si>
    <t>PAT5738</t>
  </si>
  <si>
    <t>PAT5739</t>
  </si>
  <si>
    <t>PAT5740</t>
  </si>
  <si>
    <t>PAT5741</t>
  </si>
  <si>
    <t>PAT5742</t>
  </si>
  <si>
    <t>PAT5743</t>
  </si>
  <si>
    <t>PAT5744</t>
  </si>
  <si>
    <t>PAT5745</t>
  </si>
  <si>
    <t>PAT5746</t>
  </si>
  <si>
    <t>PAT5747</t>
  </si>
  <si>
    <t>PAT5748</t>
  </si>
  <si>
    <t>PAT5749</t>
  </si>
  <si>
    <t>PAT5750</t>
  </si>
  <si>
    <t>PAT5751</t>
  </si>
  <si>
    <t>PAT5752</t>
  </si>
  <si>
    <t>PAT5753</t>
  </si>
  <si>
    <t>PAT5754</t>
  </si>
  <si>
    <t>PAT5755</t>
  </si>
  <si>
    <t>PAT5756</t>
  </si>
  <si>
    <t>PAT5757</t>
  </si>
  <si>
    <t>PAT5758</t>
  </si>
  <si>
    <t>PAT5759</t>
  </si>
  <si>
    <t>PAT5760</t>
  </si>
  <si>
    <t>PAT5761</t>
  </si>
  <si>
    <t>PAT5762</t>
  </si>
  <si>
    <t>PAT5763</t>
  </si>
  <si>
    <t>PAT5764</t>
  </si>
  <si>
    <t>PAT5765</t>
  </si>
  <si>
    <t>PAT5766</t>
  </si>
  <si>
    <t>PAT5767</t>
  </si>
  <si>
    <t>PAT5768</t>
  </si>
  <si>
    <t>PAT5769</t>
  </si>
  <si>
    <t>PAT5770</t>
  </si>
  <si>
    <t>PAT5771</t>
  </si>
  <si>
    <t>PAT5772</t>
  </si>
  <si>
    <t>PAT5773</t>
  </si>
  <si>
    <t>PAT5774</t>
  </si>
  <si>
    <t>PAT5775</t>
  </si>
  <si>
    <t>PAT5776</t>
  </si>
  <si>
    <t>PAT5777</t>
  </si>
  <si>
    <t>PAT5778</t>
  </si>
  <si>
    <t>PAT5779</t>
  </si>
  <si>
    <t>PAT5780</t>
  </si>
  <si>
    <t>PAT5781</t>
  </si>
  <si>
    <t>PAT5782</t>
  </si>
  <si>
    <t>PAT5783</t>
  </si>
  <si>
    <t>PAT5784</t>
  </si>
  <si>
    <t>PAT5785</t>
  </si>
  <si>
    <t>PAT5786</t>
  </si>
  <si>
    <t>PAT5787</t>
  </si>
  <si>
    <t>PAT5788</t>
  </si>
  <si>
    <t>PAT5789</t>
  </si>
  <si>
    <t>PAT5790</t>
  </si>
  <si>
    <t>PAT5791</t>
  </si>
  <si>
    <t>PAT5792</t>
  </si>
  <si>
    <t>PAT5793</t>
  </si>
  <si>
    <t>PAT5794</t>
  </si>
  <si>
    <t>PAT5795</t>
  </si>
  <si>
    <t>PAT5796</t>
  </si>
  <si>
    <t>PAT5797</t>
  </si>
  <si>
    <t>PAT5798</t>
  </si>
  <si>
    <t>PAT5799</t>
  </si>
  <si>
    <t>PAT5800</t>
  </si>
  <si>
    <t>PAT5801</t>
  </si>
  <si>
    <t>PAT5802</t>
  </si>
  <si>
    <t>PAT5803</t>
  </si>
  <si>
    <t>PAT5804</t>
  </si>
  <si>
    <t>PAT5805</t>
  </si>
  <si>
    <t>PAT5806</t>
  </si>
  <si>
    <t>PAT5807</t>
  </si>
  <si>
    <t>PAT5808</t>
  </si>
  <si>
    <t>PAT5809</t>
  </si>
  <si>
    <t>PAT5810</t>
  </si>
  <si>
    <t>PAT5811</t>
  </si>
  <si>
    <t>PAT5812</t>
  </si>
  <si>
    <t>PAT5813</t>
  </si>
  <si>
    <t>PAT5814</t>
  </si>
  <si>
    <t>PAT5815</t>
  </si>
  <si>
    <t>PAT5816</t>
  </si>
  <si>
    <t>PAT5817</t>
  </si>
  <si>
    <t>PAT5818</t>
  </si>
  <si>
    <t>PAT5819</t>
  </si>
  <si>
    <t>PAT5820</t>
  </si>
  <si>
    <t>PAT5821</t>
  </si>
  <si>
    <t>PAT5822</t>
  </si>
  <si>
    <t>PAT5823</t>
  </si>
  <si>
    <t>PAT5824</t>
  </si>
  <si>
    <t>PAT5825</t>
  </si>
  <si>
    <t>PAT5826</t>
  </si>
  <si>
    <t>PAT5827</t>
  </si>
  <si>
    <t>PAT5828</t>
  </si>
  <si>
    <t>PAT5829</t>
  </si>
  <si>
    <t>PAT5830</t>
  </si>
  <si>
    <t>PAT5831</t>
  </si>
  <si>
    <t>PAT5832</t>
  </si>
  <si>
    <t>PAT5833</t>
  </si>
  <si>
    <t>PAT5834</t>
  </si>
  <si>
    <t>PAT5835</t>
  </si>
  <si>
    <t>PAT5836</t>
  </si>
  <si>
    <t>PAT5837</t>
  </si>
  <si>
    <t>PAT5838</t>
  </si>
  <si>
    <t>PAT5839</t>
  </si>
  <si>
    <t>PAT5840</t>
  </si>
  <si>
    <t>PAT5841</t>
  </si>
  <si>
    <t>PAT5842</t>
  </si>
  <si>
    <t>PAT5843</t>
  </si>
  <si>
    <t>PAT5844</t>
  </si>
  <si>
    <t>PAT5845</t>
  </si>
  <si>
    <t>PAT5846</t>
  </si>
  <si>
    <t>PAT5847</t>
  </si>
  <si>
    <t>PAT5848</t>
  </si>
  <si>
    <t>PAT5849</t>
  </si>
  <si>
    <t>PAT5850</t>
  </si>
  <si>
    <t>PAT5851</t>
  </si>
  <si>
    <t>PAT5852</t>
  </si>
  <si>
    <t>PAT5853</t>
  </si>
  <si>
    <t>PAT5854</t>
  </si>
  <si>
    <t>PAT5855</t>
  </si>
  <si>
    <t>PAT5856</t>
  </si>
  <si>
    <t>PAT5857</t>
  </si>
  <si>
    <t>PAT5858</t>
  </si>
  <si>
    <t>PAT5859</t>
  </si>
  <si>
    <t>PAT5860</t>
  </si>
  <si>
    <t>PAT5861</t>
  </si>
  <si>
    <t>PAT5862</t>
  </si>
  <si>
    <t>PAT5863</t>
  </si>
  <si>
    <t>PAT5864</t>
  </si>
  <si>
    <t>PAT5865</t>
  </si>
  <si>
    <t>PAT5866</t>
  </si>
  <si>
    <t>PAT5867</t>
  </si>
  <si>
    <t>PAT5868</t>
  </si>
  <si>
    <t>PAT5869</t>
  </si>
  <si>
    <t>PAT5870</t>
  </si>
  <si>
    <t>PAT5871</t>
  </si>
  <si>
    <t>PAT5872</t>
  </si>
  <si>
    <t>PAT5873</t>
  </si>
  <si>
    <t>PAT5874</t>
  </si>
  <si>
    <t>PAT5875</t>
  </si>
  <si>
    <t>PAT5876</t>
  </si>
  <si>
    <t>PAT5877</t>
  </si>
  <si>
    <t>PAT5878</t>
  </si>
  <si>
    <t>PAT5879</t>
  </si>
  <si>
    <t>PAT5880</t>
  </si>
  <si>
    <t>PAT5881</t>
  </si>
  <si>
    <t>PAT5882</t>
  </si>
  <si>
    <t>PAT5883</t>
  </si>
  <si>
    <t>PAT5884</t>
  </si>
  <si>
    <t>PAT5885</t>
  </si>
  <si>
    <t>PAT5886</t>
  </si>
  <si>
    <t>PAT5887</t>
  </si>
  <si>
    <t>PAT5888</t>
  </si>
  <si>
    <t>PAT5889</t>
  </si>
  <si>
    <t>PAT5890</t>
  </si>
  <si>
    <t>PAT5891</t>
  </si>
  <si>
    <t>PAT5892</t>
  </si>
  <si>
    <t>PAT5893</t>
  </si>
  <si>
    <t>PAT5894</t>
  </si>
  <si>
    <t>PAT5895</t>
  </si>
  <si>
    <t>PAT5896</t>
  </si>
  <si>
    <t>PAT5897</t>
  </si>
  <si>
    <t>PAT5898</t>
  </si>
  <si>
    <t>PAT5899</t>
  </si>
  <si>
    <t>PAT5900</t>
  </si>
  <si>
    <t>PAT5901</t>
  </si>
  <si>
    <t>PAT5902</t>
  </si>
  <si>
    <t>PAT5903</t>
  </si>
  <si>
    <t>PAT5904</t>
  </si>
  <si>
    <t>PAT5905</t>
  </si>
  <si>
    <t>PAT5906</t>
  </si>
  <si>
    <t>PAT5907</t>
  </si>
  <si>
    <t>PAT5908</t>
  </si>
  <si>
    <t>PAT5909</t>
  </si>
  <si>
    <t>PAT5910</t>
  </si>
  <si>
    <t>PAT5911</t>
  </si>
  <si>
    <t>PAT5912</t>
  </si>
  <si>
    <t>PAT5913</t>
  </si>
  <si>
    <t>PAT5914</t>
  </si>
  <si>
    <t>PAT5915</t>
  </si>
  <si>
    <t>PAT5916</t>
  </si>
  <si>
    <t>PAT5917</t>
  </si>
  <si>
    <t>PAT5918</t>
  </si>
  <si>
    <t>PAT5919</t>
  </si>
  <si>
    <t>PAT5920</t>
  </si>
  <si>
    <t>PAT5921</t>
  </si>
  <si>
    <t>PAT5922</t>
  </si>
  <si>
    <t>PAT5923</t>
  </si>
  <si>
    <t>PAT5924</t>
  </si>
  <si>
    <t>PAT5925</t>
  </si>
  <si>
    <t>PAT5926</t>
  </si>
  <si>
    <t>PAT5927</t>
  </si>
  <si>
    <t>PAT5928</t>
  </si>
  <si>
    <t>PAT5929</t>
  </si>
  <si>
    <t>PAT5930</t>
  </si>
  <si>
    <t>PAT5931</t>
  </si>
  <si>
    <t>PAT5932</t>
  </si>
  <si>
    <t>PAT5933</t>
  </si>
  <si>
    <t>PAT5934</t>
  </si>
  <si>
    <t>PAT5935</t>
  </si>
  <si>
    <t>PAT5936</t>
  </si>
  <si>
    <t>PAT5937</t>
  </si>
  <si>
    <t>PAT5938</t>
  </si>
  <si>
    <t>PAT5939</t>
  </si>
  <si>
    <t>PAT5940</t>
  </si>
  <si>
    <t>PAT5941</t>
  </si>
  <si>
    <t>PAT5942</t>
  </si>
  <si>
    <t>PAT5943</t>
  </si>
  <si>
    <t>PAT5944</t>
  </si>
  <si>
    <t>PAT5945</t>
  </si>
  <si>
    <t>PAT5946</t>
  </si>
  <si>
    <t>PAT5947</t>
  </si>
  <si>
    <t>PAT5948</t>
  </si>
  <si>
    <t>PAT5949</t>
  </si>
  <si>
    <t>PAT5950</t>
  </si>
  <si>
    <t>PAT5951</t>
  </si>
  <si>
    <t>PAT5952</t>
  </si>
  <si>
    <t>PAT5953</t>
  </si>
  <si>
    <t>PAT5954</t>
  </si>
  <si>
    <t>PAT5955</t>
  </si>
  <si>
    <t>PAT5956</t>
  </si>
  <si>
    <t>PAT5957</t>
  </si>
  <si>
    <t>PAT5958</t>
  </si>
  <si>
    <t>PAT5959</t>
  </si>
  <si>
    <t>PAT5960</t>
  </si>
  <si>
    <t>PAT5961</t>
  </si>
  <si>
    <t>PAT5962</t>
  </si>
  <si>
    <t>PAT5963</t>
  </si>
  <si>
    <t>PAT5964</t>
  </si>
  <si>
    <t>PAT5965</t>
  </si>
  <si>
    <t>PAT5966</t>
  </si>
  <si>
    <t>PAT5967</t>
  </si>
  <si>
    <t>PAT5968</t>
  </si>
  <si>
    <t>PAT5969</t>
  </si>
  <si>
    <t>PAT5970</t>
  </si>
  <si>
    <t>PAT5971</t>
  </si>
  <si>
    <t>PAT5972</t>
  </si>
  <si>
    <t>PAT5973</t>
  </si>
  <si>
    <t>PAT5974</t>
  </si>
  <si>
    <t>PAT5975</t>
  </si>
  <si>
    <t>PAT5976</t>
  </si>
  <si>
    <t>PAT5977</t>
  </si>
  <si>
    <t>PAT5978</t>
  </si>
  <si>
    <t>PAT5979</t>
  </si>
  <si>
    <t>PAT5980</t>
  </si>
  <si>
    <t>PAT5981</t>
  </si>
  <si>
    <t>PAT5982</t>
  </si>
  <si>
    <t>PAT5983</t>
  </si>
  <si>
    <t>PAT5984</t>
  </si>
  <si>
    <t>PAT5985</t>
  </si>
  <si>
    <t>PAT5986</t>
  </si>
  <si>
    <t>PAT5987</t>
  </si>
  <si>
    <t>PAT5988</t>
  </si>
  <si>
    <t>PAT5989</t>
  </si>
  <si>
    <t>PAT5990</t>
  </si>
  <si>
    <t>PAT5991</t>
  </si>
  <si>
    <t>PAT5992</t>
  </si>
  <si>
    <t>PAT5993</t>
  </si>
  <si>
    <t>PAT5994</t>
  </si>
  <si>
    <t>PAT5995</t>
  </si>
  <si>
    <t>PAT5996</t>
  </si>
  <si>
    <t>PAT5997</t>
  </si>
  <si>
    <t>PAT5998</t>
  </si>
  <si>
    <t>PAT5999</t>
  </si>
  <si>
    <t>Age Group</t>
  </si>
  <si>
    <t>0-18</t>
  </si>
  <si>
    <t>19-35</t>
  </si>
  <si>
    <t>36-50</t>
  </si>
  <si>
    <t>51-65</t>
  </si>
  <si>
    <t>65+</t>
  </si>
  <si>
    <t>Grand Total</t>
  </si>
  <si>
    <t>Average of Stay Duration (days)</t>
  </si>
  <si>
    <t>Jan</t>
  </si>
  <si>
    <t>Feb</t>
  </si>
  <si>
    <t>Mar</t>
  </si>
  <si>
    <t>Apr</t>
  </si>
  <si>
    <t>May</t>
  </si>
  <si>
    <t>Jun</t>
  </si>
  <si>
    <t>Jul</t>
  </si>
  <si>
    <t>Aug</t>
  </si>
  <si>
    <t>Sep</t>
  </si>
  <si>
    <t>Oct</t>
  </si>
  <si>
    <t>Nov</t>
  </si>
  <si>
    <t>Dec</t>
  </si>
  <si>
    <t>Count of Patient ID</t>
  </si>
  <si>
    <t>Month</t>
  </si>
  <si>
    <t>Count of Disease</t>
  </si>
  <si>
    <t>Average of Treatment Cost</t>
  </si>
  <si>
    <t>1)  Average length of hospital stay for different age groups</t>
  </si>
  <si>
    <t>2) Highest patient inflow per month by Department</t>
  </si>
  <si>
    <t>3)  Most Frequently Diagnosed Diseases</t>
  </si>
  <si>
    <t>4)  Average Treatment Cost</t>
  </si>
  <si>
    <t>Number of Admissions</t>
  </si>
  <si>
    <t>5)  Monthly Hospital Admissions Trend</t>
  </si>
  <si>
    <t>medication</t>
  </si>
  <si>
    <t>count</t>
  </si>
  <si>
    <t>6)  Top medication per department</t>
  </si>
  <si>
    <t>Number of Patients</t>
  </si>
  <si>
    <t>7)  Insurance Coverage Distribution</t>
  </si>
  <si>
    <t>Test type</t>
  </si>
  <si>
    <t>Count of Test Result</t>
  </si>
  <si>
    <t>Waiting Time</t>
  </si>
  <si>
    <t>Row Labels</t>
  </si>
  <si>
    <t>Distinct Count of Doctor</t>
  </si>
  <si>
    <t>Doctor-Patient Ratio</t>
  </si>
  <si>
    <t>for Reference</t>
  </si>
  <si>
    <t xml:space="preserve">  Rejected</t>
  </si>
  <si>
    <t xml:space="preserve"> Test Result</t>
  </si>
  <si>
    <t>9)   Doctor-Patient Ratio by Department</t>
  </si>
  <si>
    <t>10)   Highest Rejected Test Type</t>
  </si>
  <si>
    <t>Column Labels</t>
  </si>
  <si>
    <t xml:space="preserve">Staff Utilization </t>
  </si>
  <si>
    <t>Average of Staff Utilization Rate</t>
  </si>
  <si>
    <t>12)   Staff Utilization Rate by Shift and Department</t>
  </si>
  <si>
    <t>(Multiple Items)</t>
  </si>
  <si>
    <t>8)  Emergency cases handle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</si>
</sst>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5">
    <font>
      <sz val="11"/>
      <color theme="1"/>
      <name val="Aptos Narrow"/>
      <family val="2"/>
      <scheme val="minor"/>
    </font>
    <font>
      <b/>
      <sz val="11"/>
      <color theme="1"/>
      <name val="Aptos Narrow"/>
      <family val="2"/>
      <scheme val="minor"/>
    </font>
    <font>
      <b/>
      <sz val="11"/>
      <color theme="1"/>
      <name val="Aptos Narrow"/>
      <scheme val="minor"/>
    </font>
    <font>
      <b/>
      <sz val="11"/>
      <name val="Aptos Narrow"/>
      <family val="2"/>
      <scheme val="minor"/>
    </font>
    <font>
      <b/>
      <sz val="12"/>
      <color theme="1"/>
      <name val="Aptos Narrow"/>
      <scheme val="minor"/>
    </font>
  </fonts>
  <fills count="5">
    <fill>
      <patternFill patternType="none"/>
    </fill>
    <fill>
      <patternFill patternType="gray125"/>
    </fill>
    <fill>
      <patternFill patternType="solid">
        <fgColor theme="8" tint="0.79998168889431442"/>
        <bgColor theme="8" tint="0.79998168889431442"/>
      </patternFill>
    </fill>
    <fill>
      <patternFill patternType="solid">
        <fgColor theme="8" tint="0.79998168889431442"/>
        <bgColor indexed="64"/>
      </patternFill>
    </fill>
    <fill>
      <patternFill patternType="solid">
        <fgColor theme="5" tint="0.39997558519241921"/>
        <bgColor theme="8" tint="0.79998168889431442"/>
      </patternFill>
    </fill>
  </fills>
  <borders count="13">
    <border>
      <left/>
      <right/>
      <top/>
      <bottom/>
      <diagonal/>
    </border>
    <border>
      <left style="thin">
        <color theme="8"/>
      </left>
      <right/>
      <top style="thin">
        <color theme="8"/>
      </top>
      <bottom style="thin">
        <color theme="8"/>
      </bottom>
      <diagonal/>
    </border>
    <border>
      <left/>
      <right style="thin">
        <color theme="8"/>
      </right>
      <top style="thin">
        <color theme="8"/>
      </top>
      <bottom style="thin">
        <color theme="8"/>
      </bottom>
      <diagonal/>
    </border>
    <border>
      <left/>
      <right/>
      <top style="thin">
        <color theme="8"/>
      </top>
      <bottom style="thin">
        <color theme="8"/>
      </bottom>
      <diagonal/>
    </border>
    <border>
      <left/>
      <right style="thin">
        <color indexed="64"/>
      </right>
      <top style="thin">
        <color theme="8"/>
      </top>
      <bottom style="thin">
        <color theme="8"/>
      </bottom>
      <diagonal/>
    </border>
    <border>
      <left style="thin">
        <color indexed="64"/>
      </left>
      <right/>
      <top style="thin">
        <color theme="8"/>
      </top>
      <bottom style="thin">
        <color theme="8"/>
      </bottom>
      <diagonal/>
    </border>
    <border>
      <left/>
      <right/>
      <top/>
      <bottom style="thin">
        <color theme="4" tint="0.39997558519241921"/>
      </bottom>
      <diagonal/>
    </border>
    <border>
      <left style="thin">
        <color theme="8"/>
      </left>
      <right/>
      <top style="thin">
        <color theme="8"/>
      </top>
      <bottom/>
      <diagonal/>
    </border>
    <border>
      <left/>
      <right style="thin">
        <color theme="8"/>
      </right>
      <top style="thin">
        <color theme="8"/>
      </top>
      <bottom/>
      <diagonal/>
    </border>
    <border>
      <left style="thin">
        <color theme="8"/>
      </left>
      <right/>
      <top style="thin">
        <color theme="8"/>
      </top>
      <bottom style="thin">
        <color theme="4" tint="0.39997558519241921"/>
      </bottom>
      <diagonal/>
    </border>
    <border>
      <left/>
      <right style="thin">
        <color theme="8"/>
      </right>
      <top style="thin">
        <color theme="8"/>
      </top>
      <bottom style="thin">
        <color theme="4" tint="0.39997558519241921"/>
      </bottom>
      <diagonal/>
    </border>
    <border>
      <left style="thin">
        <color theme="8"/>
      </left>
      <right/>
      <top style="thin">
        <color theme="8"/>
      </top>
      <bottom style="thin">
        <color indexed="64"/>
      </bottom>
      <diagonal/>
    </border>
    <border>
      <left/>
      <right style="thin">
        <color theme="8"/>
      </right>
      <top style="thin">
        <color theme="8"/>
      </top>
      <bottom style="thin">
        <color indexed="64"/>
      </bottom>
      <diagonal/>
    </border>
  </borders>
  <cellStyleXfs count="1">
    <xf numFmtId="0" fontId="0" fillId="0" borderId="0"/>
  </cellStyleXfs>
  <cellXfs count="47">
    <xf numFmtId="0" fontId="0" fillId="0" borderId="0" xfId="0"/>
    <xf numFmtId="0" fontId="1" fillId="0" borderId="0" xfId="0" applyFont="1"/>
    <xf numFmtId="22" fontId="0" fillId="0" borderId="0" xfId="0" applyNumberFormat="1"/>
    <xf numFmtId="0" fontId="0" fillId="0" borderId="0" xfId="0" applyAlignment="1">
      <alignment horizontal="left"/>
    </xf>
    <xf numFmtId="0" fontId="0" fillId="0" borderId="0" xfId="0" applyNumberFormat="1"/>
    <xf numFmtId="164" fontId="0" fillId="0" borderId="0" xfId="0" applyNumberFormat="1"/>
    <xf numFmtId="14" fontId="0" fillId="0" borderId="0" xfId="0" applyNumberFormat="1"/>
    <xf numFmtId="14" fontId="1" fillId="0" borderId="0" xfId="0" applyNumberFormat="1" applyFont="1"/>
    <xf numFmtId="0" fontId="0" fillId="2" borderId="0" xfId="0" applyFill="1"/>
    <xf numFmtId="0" fontId="0" fillId="2" borderId="0" xfId="0" applyFill="1" applyAlignment="1"/>
    <xf numFmtId="0" fontId="0" fillId="2" borderId="0" xfId="0" applyNumberFormat="1" applyFill="1"/>
    <xf numFmtId="0" fontId="2" fillId="2" borderId="2" xfId="0" applyFont="1" applyFill="1" applyBorder="1" applyAlignment="1">
      <alignment horizontal="center"/>
    </xf>
    <xf numFmtId="22" fontId="0" fillId="2" borderId="0" xfId="0" applyNumberFormat="1" applyFill="1"/>
    <xf numFmtId="0" fontId="0" fillId="2" borderId="0" xfId="0" applyNumberFormat="1" applyFill="1" applyAlignment="1"/>
    <xf numFmtId="0" fontId="2" fillId="2" borderId="1" xfId="0" applyFont="1" applyFill="1" applyBorder="1" applyAlignment="1"/>
    <xf numFmtId="164" fontId="0" fillId="2" borderId="0" xfId="0" applyNumberFormat="1" applyFill="1" applyAlignment="1"/>
    <xf numFmtId="0" fontId="2" fillId="2" borderId="2" xfId="0" applyFont="1" applyFill="1" applyBorder="1" applyAlignment="1"/>
    <xf numFmtId="22" fontId="0" fillId="0" borderId="0" xfId="0" applyNumberFormat="1" applyAlignment="1">
      <alignment horizontal="left"/>
    </xf>
    <xf numFmtId="10" fontId="0" fillId="0" borderId="0" xfId="0" applyNumberFormat="1"/>
    <xf numFmtId="10" fontId="0" fillId="3" borderId="0" xfId="0" applyNumberFormat="1" applyFill="1"/>
    <xf numFmtId="0" fontId="0" fillId="2" borderId="0" xfId="0" applyFill="1" applyAlignment="1">
      <alignment horizontal="left"/>
    </xf>
    <xf numFmtId="10" fontId="0" fillId="2" borderId="0" xfId="0" applyNumberFormat="1" applyFill="1" applyAlignment="1"/>
    <xf numFmtId="22" fontId="1" fillId="0" borderId="0" xfId="0" applyNumberFormat="1" applyFont="1"/>
    <xf numFmtId="0" fontId="0" fillId="0" borderId="0" xfId="0" applyBorder="1"/>
    <xf numFmtId="0" fontId="1" fillId="2" borderId="6" xfId="0" applyNumberFormat="1" applyFont="1" applyFill="1" applyBorder="1" applyAlignment="1"/>
    <xf numFmtId="0" fontId="1" fillId="4" borderId="6" xfId="0" applyNumberFormat="1" applyFont="1" applyFill="1" applyBorder="1" applyAlignment="1"/>
    <xf numFmtId="0" fontId="0" fillId="4" borderId="0" xfId="0" applyFill="1"/>
    <xf numFmtId="0" fontId="0" fillId="4" borderId="0" xfId="0" applyFill="1" applyAlignment="1"/>
    <xf numFmtId="10" fontId="0" fillId="4" borderId="0" xfId="0" applyNumberFormat="1" applyFill="1" applyAlignment="1"/>
    <xf numFmtId="10" fontId="0" fillId="0" borderId="0" xfId="0" applyNumberFormat="1" applyBorder="1"/>
    <xf numFmtId="0" fontId="3" fillId="2" borderId="7" xfId="0" applyFont="1" applyFill="1" applyBorder="1"/>
    <xf numFmtId="0" fontId="3" fillId="2" borderId="8" xfId="0" applyFont="1" applyFill="1" applyBorder="1"/>
    <xf numFmtId="0" fontId="1" fillId="2" borderId="9" xfId="0" applyFont="1" applyFill="1" applyBorder="1"/>
    <xf numFmtId="0" fontId="1" fillId="2" borderId="10" xfId="0" applyFont="1" applyFill="1" applyBorder="1"/>
    <xf numFmtId="0" fontId="0" fillId="0" borderId="7" xfId="0" applyFont="1" applyBorder="1" applyAlignment="1">
      <alignment horizontal="left"/>
    </xf>
    <xf numFmtId="10" fontId="0" fillId="0" borderId="8" xfId="0" applyNumberFormat="1" applyFont="1" applyBorder="1"/>
    <xf numFmtId="0" fontId="0" fillId="0" borderId="11" xfId="0" applyFont="1" applyBorder="1" applyAlignment="1">
      <alignment horizontal="left"/>
    </xf>
    <xf numFmtId="10" fontId="0" fillId="0" borderId="12" xfId="0" applyNumberFormat="1" applyFont="1" applyBorder="1"/>
    <xf numFmtId="20" fontId="0" fillId="0" borderId="0" xfId="0" applyNumberFormat="1"/>
    <xf numFmtId="0" fontId="2" fillId="2" borderId="5"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1" xfId="0" applyFont="1" applyFill="1" applyBorder="1" applyAlignment="1">
      <alignment horizontal="center"/>
    </xf>
    <xf numFmtId="0" fontId="0" fillId="2" borderId="2" xfId="0" applyFont="1" applyFill="1" applyBorder="1" applyAlignment="1">
      <alignment horizontal="center"/>
    </xf>
    <xf numFmtId="0" fontId="2" fillId="2" borderId="2" xfId="0" applyFont="1" applyFill="1" applyBorder="1" applyAlignment="1">
      <alignment horizontal="center"/>
    </xf>
    <xf numFmtId="0" fontId="4" fillId="2" borderId="1" xfId="0" applyFont="1" applyFill="1" applyBorder="1" applyAlignment="1">
      <alignment horizontal="center"/>
    </xf>
    <xf numFmtId="0" fontId="4" fillId="2" borderId="3" xfId="0" applyFont="1" applyFill="1" applyBorder="1" applyAlignment="1">
      <alignment horizontal="center"/>
    </xf>
  </cellXfs>
  <cellStyles count="1">
    <cellStyle name="Normal" xfId="0" builtinId="0"/>
  </cellStyles>
  <dxfs count="92">
    <dxf>
      <numFmt numFmtId="25" formatCode="hh:mm"/>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alignment horizontal="general" vertical="bottom" textRotation="0" wrapText="0" indent="0" justifyLastLine="0" shrinkToFit="0" readingOrder="0"/>
    </dxf>
    <dxf>
      <fill>
        <patternFill patternType="solid">
          <fgColor theme="8" tint="0.79998168889431442"/>
          <bgColor theme="8" tint="0.79998168889431442"/>
        </patternFill>
      </fill>
      <alignment horizontal="general" vertical="bottom" textRotation="0" wrapText="0" indent="0" justifyLastLine="0" shrinkToFit="0" readingOrder="0"/>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alignment horizontal="general" vertical="bottom" textRotation="0" wrapText="0" indent="0" justifyLastLine="0" shrinkToFit="0" readingOrder="0"/>
    </dxf>
    <dxf>
      <fill>
        <patternFill patternType="solid">
          <fgColor theme="8" tint="0.79998168889431442"/>
          <bgColor theme="8" tint="0.79998168889431442"/>
        </patternFill>
      </fill>
      <alignment horizontal="general" vertical="bottom" textRotation="0" wrapText="0" indent="0" justifyLastLine="0" shrinkToFit="0" readingOrder="0"/>
    </dxf>
    <dxf>
      <alignment horizontal="left" vertical="bottom" textRotation="0" wrapText="0" indent="0" justifyLastLine="0" shrinkToFit="0" readingOrder="0"/>
    </dxf>
    <dxf>
      <fill>
        <patternFill patternType="solid">
          <fgColor theme="8" tint="0.79998168889431442"/>
          <bgColor theme="8" tint="0.79998168889431442"/>
        </patternFill>
      </fill>
      <alignment horizontal="general" vertical="bottom" textRotation="0" wrapText="0" indent="0" justifyLastLine="0" shrinkToFit="0" readingOrder="0"/>
    </dxf>
    <dxf>
      <fill>
        <patternFill patternType="solid">
          <fgColor theme="8" tint="0.79998168889431442"/>
          <bgColor theme="8" tint="0.79998168889431442"/>
        </patternFill>
      </fill>
      <alignment horizontal="general" vertical="bottom" textRotation="0" wrapText="0" indent="0" justifyLastLine="0" shrinkToFit="0" readingOrder="0"/>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bgColor theme="5" tint="0.39997558519241921"/>
        </patternFill>
      </fill>
    </dxf>
    <dxf>
      <fill>
        <patternFill>
          <bgColor theme="5" tint="0.39997558519241921"/>
        </patternFill>
      </fill>
    </dxf>
    <dxf>
      <fill>
        <patternFill>
          <bgColor theme="5" tint="0.39997558519241921"/>
        </patternFill>
      </fill>
    </dxf>
    <dxf>
      <font>
        <b/>
      </font>
      <fill>
        <patternFill patternType="solid">
          <fgColor theme="8" tint="0.79998168889431442"/>
          <bgColor theme="8" tint="0.79998168889431442"/>
        </patternFill>
      </fill>
    </dxf>
    <dxf>
      <font>
        <b/>
      </font>
      <fill>
        <patternFill patternType="solid">
          <fgColor theme="8" tint="0.79998168889431442"/>
          <bgColor theme="8" tint="0.79998168889431442"/>
        </patternFill>
      </fill>
    </dxf>
    <dxf>
      <font>
        <b/>
      </font>
      <fill>
        <patternFill patternType="solid">
          <fgColor theme="8" tint="0.79998168889431442"/>
          <bgColor theme="8" tint="0.79998168889431442"/>
        </patternFill>
      </fill>
    </dxf>
    <dxf>
      <font>
        <b/>
      </font>
      <fill>
        <patternFill patternType="solid">
          <fgColor theme="8" tint="0.79998168889431442"/>
          <bgColor theme="8" tint="0.79998168889431442"/>
        </patternFill>
      </fill>
    </dxf>
    <dxf>
      <numFmt numFmtId="0" formatCode="General"/>
      <fill>
        <patternFill patternType="solid">
          <fgColor theme="8" tint="0.79998168889431442"/>
          <bgColor theme="8" tint="0.79998168889431442"/>
        </patternFill>
      </fill>
    </dxf>
    <dxf>
      <fill>
        <patternFill patternType="solid">
          <fgColor theme="8" tint="0.79998168889431442"/>
          <bgColor theme="8" tint="0.79998168889431442"/>
        </patternFill>
      </fill>
      <alignment horizontal="general" vertical="bottom" textRotation="0" wrapText="0" indent="0" justifyLastLine="0" shrinkToFit="0" readingOrder="0"/>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alignment horizontal="general" vertical="bottom" textRotation="0" wrapText="0" indent="0" justifyLastLine="0" shrinkToFit="0" readingOrder="0"/>
    </dxf>
    <dxf>
      <fill>
        <patternFill patternType="solid">
          <fgColor theme="8" tint="0.79998168889431442"/>
          <bgColor theme="8" tint="0.79998168889431442"/>
        </patternFill>
      </fill>
      <alignment horizontal="general" vertical="bottom" textRotation="0" wrapText="0" indent="0" justifyLastLine="0" shrinkToFit="0" readingOrder="0"/>
    </dxf>
    <dxf>
      <fill>
        <patternFill patternType="solid">
          <fgColor theme="8" tint="0.79998168889431442"/>
          <bgColor theme="8" tint="0.79998168889431442"/>
        </patternFill>
      </fill>
    </dxf>
    <dxf>
      <fill>
        <patternFill patternType="solid">
          <fgColor theme="8" tint="0.79998168889431442"/>
          <bgColor theme="8" tint="0.79998168889431442"/>
        </patternFill>
      </fill>
    </dxf>
    <dxf>
      <numFmt numFmtId="0" formatCode="General"/>
      <fill>
        <patternFill patternType="solid">
          <fgColor theme="8" tint="0.79998168889431442"/>
          <bgColor theme="8" tint="0.79998168889431442"/>
        </patternFill>
      </fill>
      <alignment horizontal="general" vertical="bottom" textRotation="0" wrapText="0" indent="0" justifyLastLine="0" shrinkToFit="0" readingOrder="0"/>
    </dxf>
    <dxf>
      <numFmt numFmtId="0" formatCode="General"/>
      <fill>
        <patternFill patternType="solid">
          <fgColor theme="8" tint="0.79998168889431442"/>
          <bgColor theme="8" tint="0.79998168889431442"/>
        </patternFill>
      </fill>
      <alignment horizontal="general" vertical="bottom" textRotation="0" wrapText="0" indent="0" justifyLastLine="0" shrinkToFit="0" readingOrder="0"/>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alignment horizontal="general" vertical="bottom" textRotation="0" wrapText="0" indent="0" justifyLastLine="0" shrinkToFit="0" readingOrder="0"/>
    </dxf>
    <dxf>
      <fill>
        <patternFill patternType="solid">
          <fgColor theme="8" tint="0.79998168889431442"/>
          <bgColor theme="8" tint="0.79998168889431442"/>
        </patternFill>
      </fill>
      <alignment horizontal="general" vertical="bottom" textRotation="0" wrapText="0" indent="0" justifyLastLine="0" shrinkToFit="0" readingOrder="0"/>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numFmt numFmtId="0" formatCode="General"/>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alignment horizontal="general" vertical="bottom" textRotation="0" wrapText="0" indent="0" justifyLastLine="0" shrinkToFit="0" readingOrder="0"/>
    </dxf>
    <dxf>
      <fill>
        <patternFill patternType="solid">
          <fgColor theme="8" tint="0.79998168889431442"/>
          <bgColor theme="8" tint="0.79998168889431442"/>
        </patternFill>
      </fill>
      <alignment horizontal="general" vertical="bottom" textRotation="0" wrapText="0" indent="0" justifyLastLine="0" shrinkToFit="0" readingOrder="0"/>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numFmt numFmtId="14" formatCode="0.00%"/>
    </dxf>
    <dxf>
      <numFmt numFmtId="14" formatCode="0.00%"/>
    </dxf>
    <dxf>
      <numFmt numFmtId="14" formatCode="0.00%"/>
    </dxf>
    <dxf>
      <numFmt numFmtId="14" formatCode="0.00%"/>
    </dxf>
    <dxf>
      <fill>
        <patternFill patternType="solid">
          <fgColor theme="8" tint="0.79998168889431442"/>
          <bgColor theme="8" tint="0.79998168889431442"/>
        </patternFill>
      </fill>
      <alignment horizontal="general" vertical="bottom" textRotation="0" wrapText="0" indent="0" justifyLastLine="0" shrinkToFit="0" readingOrder="0"/>
    </dxf>
    <dxf>
      <fill>
        <patternFill patternType="solid">
          <fgColor theme="8" tint="0.79998168889431442"/>
          <bgColor theme="8" tint="0.79998168889431442"/>
        </patternFill>
      </fill>
      <alignment horizontal="general" vertical="bottom" textRotation="0" wrapText="0" indent="0" justifyLastLine="0" shrinkToFit="0" readingOrder="0"/>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patternType="solid">
          <fgColor theme="8" tint="0.79998168889431442"/>
          <bgColor theme="8" tint="0.79998168889431442"/>
        </patternFill>
      </fill>
    </dxf>
    <dxf>
      <numFmt numFmtId="14" formatCode="0.00%"/>
    </dxf>
    <dxf>
      <fill>
        <patternFill patternType="solid">
          <fgColor theme="8" tint="0.79998168889431442"/>
          <bgColor theme="8" tint="0.79998168889431442"/>
        </patternFill>
      </fill>
      <alignment horizontal="general" vertical="bottom" textRotation="0" wrapText="0" indent="0" justifyLastLine="0" shrinkToFit="0" readingOrder="0"/>
    </dxf>
    <dxf>
      <fill>
        <patternFill patternType="solid">
          <fgColor theme="8" tint="0.79998168889431442"/>
          <bgColor theme="8" tint="0.79998168889431442"/>
        </patternFill>
      </fill>
      <alignment horizontal="general" vertical="bottom" textRotation="0" wrapText="0" indent="0" justifyLastLine="0" shrinkToFit="0" readingOrder="0"/>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ill>
        <patternFill patternType="solid">
          <fgColor theme="8" tint="0.79998168889431442"/>
          <bgColor theme="8" tint="0.79998168889431442"/>
        </patternFill>
      </fill>
    </dxf>
    <dxf>
      <numFmt numFmtId="0" formatCode="General"/>
    </dxf>
    <dxf>
      <numFmt numFmtId="27" formatCode="dd/mm/yyyy\ hh:mm"/>
    </dxf>
    <dxf>
      <numFmt numFmtId="27" formatCode="dd/mm/yyyy\ hh:mm"/>
    </dxf>
    <dxf>
      <numFmt numFmtId="19" formatCode="dd/mm/yyyy"/>
    </dxf>
    <dxf>
      <numFmt numFmtId="19" formatCode="dd/mm/yyyy"/>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[HealthCare-assesment.xlsx]Pivot table!Average length of hospital stay for different age groups</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Average length of hospital stay for different age groups</a:t>
            </a:r>
          </a:p>
        </c:rich>
      </c:tx>
      <c:layout>
        <c:manualLayout>
          <c:xMode val="edge"/>
          <c:yMode val="edge"/>
          <c:x val="0.10859711286089239"/>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0-18</c:v>
                </c:pt>
                <c:pt idx="1">
                  <c:v>19-35</c:v>
                </c:pt>
                <c:pt idx="2">
                  <c:v>36-50</c:v>
                </c:pt>
                <c:pt idx="3">
                  <c:v>51-65</c:v>
                </c:pt>
                <c:pt idx="4">
                  <c:v>65+</c:v>
                </c:pt>
              </c:strCache>
            </c:strRef>
          </c:cat>
          <c:val>
            <c:numRef>
              <c:f>'Pivot table'!$B$4:$B$9</c:f>
              <c:numCache>
                <c:formatCode>0.00;[Red]0.00</c:formatCode>
                <c:ptCount val="5"/>
                <c:pt idx="0">
                  <c:v>7.7422222222222219</c:v>
                </c:pt>
                <c:pt idx="1">
                  <c:v>7.7295918367346941</c:v>
                </c:pt>
                <c:pt idx="2">
                  <c:v>7.375</c:v>
                </c:pt>
                <c:pt idx="3">
                  <c:v>8.2072538860103634</c:v>
                </c:pt>
                <c:pt idx="4">
                  <c:v>8.1410256410256405</c:v>
                </c:pt>
              </c:numCache>
            </c:numRef>
          </c:val>
          <c:extLst>
            <c:ext xmlns:c16="http://schemas.microsoft.com/office/drawing/2014/chart" uri="{C3380CC4-5D6E-409C-BE32-E72D297353CC}">
              <c16:uniqueId val="{00000000-C26B-4AE3-A668-3AAC366D7ADF}"/>
            </c:ext>
          </c:extLst>
        </c:ser>
        <c:dLbls>
          <c:dLblPos val="outEnd"/>
          <c:showLegendKey val="0"/>
          <c:showVal val="1"/>
          <c:showCatName val="0"/>
          <c:showSerName val="0"/>
          <c:showPercent val="0"/>
          <c:showBubbleSize val="0"/>
        </c:dLbls>
        <c:gapWidth val="219"/>
        <c:overlap val="-27"/>
        <c:axId val="762960223"/>
        <c:axId val="762957727"/>
      </c:barChart>
      <c:catAx>
        <c:axId val="76296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957727"/>
        <c:crosses val="autoZero"/>
        <c:auto val="1"/>
        <c:lblAlgn val="ctr"/>
        <c:lblOffset val="100"/>
        <c:noMultiLvlLbl val="0"/>
      </c:catAx>
      <c:valAx>
        <c:axId val="762957727"/>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960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[HealthCare-assesment.xlsx]Pivot table!Highest patient inflow per month by Department											Highest patient inflow per month by Department										</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200" b="1"/>
              <a:t>Highest patient inflow</a:t>
            </a:r>
            <a:r>
              <a:rPr lang="en-IN" sz="1200" b="1" baseline="0"/>
              <a:t> </a:t>
            </a:r>
            <a:r>
              <a:rPr lang="en-IN" sz="1200" b="1"/>
              <a:t>by Department</a:t>
            </a:r>
          </a:p>
        </c:rich>
      </c:tx>
      <c:layout>
        <c:manualLayout>
          <c:xMode val="edge"/>
          <c:yMode val="edge"/>
          <c:x val="0.13396447101866274"/>
          <c:y val="4.6296296296296294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8"/>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8"/>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8"/>
          <c:spPr>
            <a:solidFill>
              <a:schemeClr val="accent3">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8"/>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8"/>
          <c:spPr>
            <a:solidFill>
              <a:schemeClr val="accent5">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8"/>
          <c:spPr>
            <a:solidFill>
              <a:schemeClr val="accent6">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table'!$F$3:$F$4</c:f>
              <c:strCache>
                <c:ptCount val="1"/>
                <c:pt idx="0">
                  <c:v>Jan</c:v>
                </c:pt>
              </c:strCache>
            </c:strRef>
          </c:tx>
          <c:spPr>
            <a:solidFill>
              <a:schemeClr val="accent1"/>
            </a:solidFill>
            <a:ln>
              <a:noFill/>
            </a:ln>
            <a:effectLst/>
          </c:spPr>
          <c:invertIfNegative val="0"/>
          <c:cat>
            <c:strRef>
              <c:f>'Pivot table'!$E$5:$E$11</c:f>
              <c:strCache>
                <c:ptCount val="6"/>
                <c:pt idx="0">
                  <c:v>Cardiology</c:v>
                </c:pt>
                <c:pt idx="1">
                  <c:v>Emergency</c:v>
                </c:pt>
                <c:pt idx="2">
                  <c:v>General Medicine</c:v>
                </c:pt>
                <c:pt idx="3">
                  <c:v>ICU</c:v>
                </c:pt>
                <c:pt idx="4">
                  <c:v>Neurology</c:v>
                </c:pt>
                <c:pt idx="5">
                  <c:v>Orthopedics</c:v>
                </c:pt>
              </c:strCache>
            </c:strRef>
          </c:cat>
          <c:val>
            <c:numRef>
              <c:f>'Pivot table'!$F$5:$F$11</c:f>
              <c:numCache>
                <c:formatCode>General</c:formatCode>
                <c:ptCount val="6"/>
                <c:pt idx="0">
                  <c:v>14</c:v>
                </c:pt>
                <c:pt idx="1">
                  <c:v>19</c:v>
                </c:pt>
                <c:pt idx="2">
                  <c:v>21</c:v>
                </c:pt>
                <c:pt idx="3">
                  <c:v>18</c:v>
                </c:pt>
                <c:pt idx="4">
                  <c:v>19</c:v>
                </c:pt>
                <c:pt idx="5">
                  <c:v>9</c:v>
                </c:pt>
              </c:numCache>
            </c:numRef>
          </c:val>
          <c:extLst>
            <c:ext xmlns:c16="http://schemas.microsoft.com/office/drawing/2014/chart" uri="{C3380CC4-5D6E-409C-BE32-E72D297353CC}">
              <c16:uniqueId val="{00000000-EA07-4E27-88B8-927D1D5920F7}"/>
            </c:ext>
          </c:extLst>
        </c:ser>
        <c:ser>
          <c:idx val="1"/>
          <c:order val="1"/>
          <c:tx>
            <c:strRef>
              <c:f>'Pivot table'!$G$3:$G$4</c:f>
              <c:strCache>
                <c:ptCount val="1"/>
                <c:pt idx="0">
                  <c:v>Feb</c:v>
                </c:pt>
              </c:strCache>
            </c:strRef>
          </c:tx>
          <c:spPr>
            <a:solidFill>
              <a:schemeClr val="accent2"/>
            </a:solidFill>
            <a:ln>
              <a:noFill/>
            </a:ln>
            <a:effectLst/>
          </c:spPr>
          <c:invertIfNegative val="0"/>
          <c:cat>
            <c:strRef>
              <c:f>'Pivot table'!$E$5:$E$11</c:f>
              <c:strCache>
                <c:ptCount val="6"/>
                <c:pt idx="0">
                  <c:v>Cardiology</c:v>
                </c:pt>
                <c:pt idx="1">
                  <c:v>Emergency</c:v>
                </c:pt>
                <c:pt idx="2">
                  <c:v>General Medicine</c:v>
                </c:pt>
                <c:pt idx="3">
                  <c:v>ICU</c:v>
                </c:pt>
                <c:pt idx="4">
                  <c:v>Neurology</c:v>
                </c:pt>
                <c:pt idx="5">
                  <c:v>Orthopedics</c:v>
                </c:pt>
              </c:strCache>
            </c:strRef>
          </c:cat>
          <c:val>
            <c:numRef>
              <c:f>'Pivot table'!$G$5:$G$11</c:f>
              <c:numCache>
                <c:formatCode>General</c:formatCode>
                <c:ptCount val="6"/>
                <c:pt idx="0">
                  <c:v>18</c:v>
                </c:pt>
                <c:pt idx="1">
                  <c:v>16</c:v>
                </c:pt>
                <c:pt idx="2">
                  <c:v>14</c:v>
                </c:pt>
                <c:pt idx="3">
                  <c:v>23</c:v>
                </c:pt>
                <c:pt idx="4">
                  <c:v>14</c:v>
                </c:pt>
                <c:pt idx="5">
                  <c:v>9</c:v>
                </c:pt>
              </c:numCache>
            </c:numRef>
          </c:val>
          <c:extLst>
            <c:ext xmlns:c16="http://schemas.microsoft.com/office/drawing/2014/chart" uri="{C3380CC4-5D6E-409C-BE32-E72D297353CC}">
              <c16:uniqueId val="{00000001-EA07-4E27-88B8-927D1D5920F7}"/>
            </c:ext>
          </c:extLst>
        </c:ser>
        <c:ser>
          <c:idx val="2"/>
          <c:order val="2"/>
          <c:tx>
            <c:strRef>
              <c:f>'Pivot table'!$H$3:$H$4</c:f>
              <c:strCache>
                <c:ptCount val="1"/>
                <c:pt idx="0">
                  <c:v>Mar</c:v>
                </c:pt>
              </c:strCache>
            </c:strRef>
          </c:tx>
          <c:spPr>
            <a:solidFill>
              <a:schemeClr val="accent3"/>
            </a:solidFill>
            <a:ln>
              <a:noFill/>
            </a:ln>
            <a:effectLst/>
          </c:spPr>
          <c:invertIfNegative val="0"/>
          <c:cat>
            <c:strRef>
              <c:f>'Pivot table'!$E$5:$E$11</c:f>
              <c:strCache>
                <c:ptCount val="6"/>
                <c:pt idx="0">
                  <c:v>Cardiology</c:v>
                </c:pt>
                <c:pt idx="1">
                  <c:v>Emergency</c:v>
                </c:pt>
                <c:pt idx="2">
                  <c:v>General Medicine</c:v>
                </c:pt>
                <c:pt idx="3">
                  <c:v>ICU</c:v>
                </c:pt>
                <c:pt idx="4">
                  <c:v>Neurology</c:v>
                </c:pt>
                <c:pt idx="5">
                  <c:v>Orthopedics</c:v>
                </c:pt>
              </c:strCache>
            </c:strRef>
          </c:cat>
          <c:val>
            <c:numRef>
              <c:f>'Pivot table'!$H$5:$H$11</c:f>
              <c:numCache>
                <c:formatCode>General</c:formatCode>
                <c:ptCount val="6"/>
                <c:pt idx="0">
                  <c:v>14</c:v>
                </c:pt>
                <c:pt idx="1">
                  <c:v>23</c:v>
                </c:pt>
                <c:pt idx="2">
                  <c:v>20</c:v>
                </c:pt>
                <c:pt idx="3">
                  <c:v>21</c:v>
                </c:pt>
                <c:pt idx="4">
                  <c:v>21</c:v>
                </c:pt>
                <c:pt idx="5">
                  <c:v>15</c:v>
                </c:pt>
              </c:numCache>
            </c:numRef>
          </c:val>
          <c:extLst>
            <c:ext xmlns:c16="http://schemas.microsoft.com/office/drawing/2014/chart" uri="{C3380CC4-5D6E-409C-BE32-E72D297353CC}">
              <c16:uniqueId val="{0000000C-7B8E-44EC-95AC-08F240310172}"/>
            </c:ext>
          </c:extLst>
        </c:ser>
        <c:ser>
          <c:idx val="3"/>
          <c:order val="3"/>
          <c:tx>
            <c:strRef>
              <c:f>'Pivot table'!$I$3:$I$4</c:f>
              <c:strCache>
                <c:ptCount val="1"/>
                <c:pt idx="0">
                  <c:v>Apr</c:v>
                </c:pt>
              </c:strCache>
            </c:strRef>
          </c:tx>
          <c:spPr>
            <a:solidFill>
              <a:schemeClr val="accent4"/>
            </a:solidFill>
            <a:ln>
              <a:noFill/>
            </a:ln>
            <a:effectLst/>
          </c:spPr>
          <c:invertIfNegative val="0"/>
          <c:cat>
            <c:strRef>
              <c:f>'Pivot table'!$E$5:$E$11</c:f>
              <c:strCache>
                <c:ptCount val="6"/>
                <c:pt idx="0">
                  <c:v>Cardiology</c:v>
                </c:pt>
                <c:pt idx="1">
                  <c:v>Emergency</c:v>
                </c:pt>
                <c:pt idx="2">
                  <c:v>General Medicine</c:v>
                </c:pt>
                <c:pt idx="3">
                  <c:v>ICU</c:v>
                </c:pt>
                <c:pt idx="4">
                  <c:v>Neurology</c:v>
                </c:pt>
                <c:pt idx="5">
                  <c:v>Orthopedics</c:v>
                </c:pt>
              </c:strCache>
            </c:strRef>
          </c:cat>
          <c:val>
            <c:numRef>
              <c:f>'Pivot table'!$I$5:$I$11</c:f>
              <c:numCache>
                <c:formatCode>General</c:formatCode>
                <c:ptCount val="6"/>
                <c:pt idx="0">
                  <c:v>20</c:v>
                </c:pt>
                <c:pt idx="1">
                  <c:v>15</c:v>
                </c:pt>
                <c:pt idx="2">
                  <c:v>22</c:v>
                </c:pt>
                <c:pt idx="3">
                  <c:v>19</c:v>
                </c:pt>
                <c:pt idx="4">
                  <c:v>18</c:v>
                </c:pt>
                <c:pt idx="5">
                  <c:v>18</c:v>
                </c:pt>
              </c:numCache>
            </c:numRef>
          </c:val>
          <c:extLst>
            <c:ext xmlns:c16="http://schemas.microsoft.com/office/drawing/2014/chart" uri="{C3380CC4-5D6E-409C-BE32-E72D297353CC}">
              <c16:uniqueId val="{0000000D-7B8E-44EC-95AC-08F240310172}"/>
            </c:ext>
          </c:extLst>
        </c:ser>
        <c:ser>
          <c:idx val="4"/>
          <c:order val="4"/>
          <c:tx>
            <c:strRef>
              <c:f>'Pivot table'!$J$3:$J$4</c:f>
              <c:strCache>
                <c:ptCount val="1"/>
                <c:pt idx="0">
                  <c:v>May</c:v>
                </c:pt>
              </c:strCache>
            </c:strRef>
          </c:tx>
          <c:spPr>
            <a:solidFill>
              <a:schemeClr val="accent5"/>
            </a:solidFill>
            <a:ln>
              <a:noFill/>
            </a:ln>
            <a:effectLst/>
          </c:spPr>
          <c:invertIfNegative val="0"/>
          <c:cat>
            <c:strRef>
              <c:f>'Pivot table'!$E$5:$E$11</c:f>
              <c:strCache>
                <c:ptCount val="6"/>
                <c:pt idx="0">
                  <c:v>Cardiology</c:v>
                </c:pt>
                <c:pt idx="1">
                  <c:v>Emergency</c:v>
                </c:pt>
                <c:pt idx="2">
                  <c:v>General Medicine</c:v>
                </c:pt>
                <c:pt idx="3">
                  <c:v>ICU</c:v>
                </c:pt>
                <c:pt idx="4">
                  <c:v>Neurology</c:v>
                </c:pt>
                <c:pt idx="5">
                  <c:v>Orthopedics</c:v>
                </c:pt>
              </c:strCache>
            </c:strRef>
          </c:cat>
          <c:val>
            <c:numRef>
              <c:f>'Pivot table'!$J$5:$J$11</c:f>
              <c:numCache>
                <c:formatCode>General</c:formatCode>
                <c:ptCount val="6"/>
                <c:pt idx="0">
                  <c:v>13</c:v>
                </c:pt>
                <c:pt idx="1">
                  <c:v>14</c:v>
                </c:pt>
                <c:pt idx="2">
                  <c:v>16</c:v>
                </c:pt>
                <c:pt idx="3">
                  <c:v>14</c:v>
                </c:pt>
                <c:pt idx="4">
                  <c:v>10</c:v>
                </c:pt>
                <c:pt idx="5">
                  <c:v>17</c:v>
                </c:pt>
              </c:numCache>
            </c:numRef>
          </c:val>
          <c:extLst>
            <c:ext xmlns:c16="http://schemas.microsoft.com/office/drawing/2014/chart" uri="{C3380CC4-5D6E-409C-BE32-E72D297353CC}">
              <c16:uniqueId val="{0000000E-7B8E-44EC-95AC-08F240310172}"/>
            </c:ext>
          </c:extLst>
        </c:ser>
        <c:ser>
          <c:idx val="5"/>
          <c:order val="5"/>
          <c:tx>
            <c:strRef>
              <c:f>'Pivot table'!$K$3:$K$4</c:f>
              <c:strCache>
                <c:ptCount val="1"/>
                <c:pt idx="0">
                  <c:v>Jun</c:v>
                </c:pt>
              </c:strCache>
            </c:strRef>
          </c:tx>
          <c:spPr>
            <a:solidFill>
              <a:schemeClr val="accent6"/>
            </a:solidFill>
            <a:ln>
              <a:noFill/>
            </a:ln>
            <a:effectLst/>
          </c:spPr>
          <c:invertIfNegative val="0"/>
          <c:cat>
            <c:strRef>
              <c:f>'Pivot table'!$E$5:$E$11</c:f>
              <c:strCache>
                <c:ptCount val="6"/>
                <c:pt idx="0">
                  <c:v>Cardiology</c:v>
                </c:pt>
                <c:pt idx="1">
                  <c:v>Emergency</c:v>
                </c:pt>
                <c:pt idx="2">
                  <c:v>General Medicine</c:v>
                </c:pt>
                <c:pt idx="3">
                  <c:v>ICU</c:v>
                </c:pt>
                <c:pt idx="4">
                  <c:v>Neurology</c:v>
                </c:pt>
                <c:pt idx="5">
                  <c:v>Orthopedics</c:v>
                </c:pt>
              </c:strCache>
            </c:strRef>
          </c:cat>
          <c:val>
            <c:numRef>
              <c:f>'Pivot table'!$K$5:$K$11</c:f>
              <c:numCache>
                <c:formatCode>General</c:formatCode>
                <c:ptCount val="6"/>
                <c:pt idx="0">
                  <c:v>18</c:v>
                </c:pt>
                <c:pt idx="1">
                  <c:v>16</c:v>
                </c:pt>
                <c:pt idx="2">
                  <c:v>11</c:v>
                </c:pt>
                <c:pt idx="3">
                  <c:v>15</c:v>
                </c:pt>
                <c:pt idx="4">
                  <c:v>13</c:v>
                </c:pt>
                <c:pt idx="5">
                  <c:v>7</c:v>
                </c:pt>
              </c:numCache>
            </c:numRef>
          </c:val>
          <c:extLst>
            <c:ext xmlns:c16="http://schemas.microsoft.com/office/drawing/2014/chart" uri="{C3380CC4-5D6E-409C-BE32-E72D297353CC}">
              <c16:uniqueId val="{0000000F-7B8E-44EC-95AC-08F240310172}"/>
            </c:ext>
          </c:extLst>
        </c:ser>
        <c:ser>
          <c:idx val="6"/>
          <c:order val="6"/>
          <c:tx>
            <c:strRef>
              <c:f>'Pivot table'!$L$3:$L$4</c:f>
              <c:strCache>
                <c:ptCount val="1"/>
                <c:pt idx="0">
                  <c:v>Jul</c:v>
                </c:pt>
              </c:strCache>
            </c:strRef>
          </c:tx>
          <c:spPr>
            <a:solidFill>
              <a:schemeClr val="accent1">
                <a:lumMod val="60000"/>
              </a:schemeClr>
            </a:solidFill>
            <a:ln>
              <a:noFill/>
            </a:ln>
            <a:effectLst/>
          </c:spPr>
          <c:invertIfNegative val="0"/>
          <c:cat>
            <c:strRef>
              <c:f>'Pivot table'!$E$5:$E$11</c:f>
              <c:strCache>
                <c:ptCount val="6"/>
                <c:pt idx="0">
                  <c:v>Cardiology</c:v>
                </c:pt>
                <c:pt idx="1">
                  <c:v>Emergency</c:v>
                </c:pt>
                <c:pt idx="2">
                  <c:v>General Medicine</c:v>
                </c:pt>
                <c:pt idx="3">
                  <c:v>ICU</c:v>
                </c:pt>
                <c:pt idx="4">
                  <c:v>Neurology</c:v>
                </c:pt>
                <c:pt idx="5">
                  <c:v>Orthopedics</c:v>
                </c:pt>
              </c:strCache>
            </c:strRef>
          </c:cat>
          <c:val>
            <c:numRef>
              <c:f>'Pivot table'!$L$5:$L$11</c:f>
              <c:numCache>
                <c:formatCode>General</c:formatCode>
                <c:ptCount val="6"/>
                <c:pt idx="0">
                  <c:v>9</c:v>
                </c:pt>
                <c:pt idx="1">
                  <c:v>12</c:v>
                </c:pt>
                <c:pt idx="2">
                  <c:v>7</c:v>
                </c:pt>
                <c:pt idx="3">
                  <c:v>11</c:v>
                </c:pt>
                <c:pt idx="4">
                  <c:v>15</c:v>
                </c:pt>
                <c:pt idx="5">
                  <c:v>6</c:v>
                </c:pt>
              </c:numCache>
            </c:numRef>
          </c:val>
          <c:extLst>
            <c:ext xmlns:c16="http://schemas.microsoft.com/office/drawing/2014/chart" uri="{C3380CC4-5D6E-409C-BE32-E72D297353CC}">
              <c16:uniqueId val="{00000010-7B8E-44EC-95AC-08F240310172}"/>
            </c:ext>
          </c:extLst>
        </c:ser>
        <c:ser>
          <c:idx val="7"/>
          <c:order val="7"/>
          <c:tx>
            <c:strRef>
              <c:f>'Pivot table'!$M$3:$M$4</c:f>
              <c:strCache>
                <c:ptCount val="1"/>
                <c:pt idx="0">
                  <c:v>Aug</c:v>
                </c:pt>
              </c:strCache>
            </c:strRef>
          </c:tx>
          <c:spPr>
            <a:solidFill>
              <a:schemeClr val="accent2">
                <a:lumMod val="60000"/>
              </a:schemeClr>
            </a:solidFill>
            <a:ln>
              <a:noFill/>
            </a:ln>
            <a:effectLst/>
          </c:spPr>
          <c:invertIfNegative val="0"/>
          <c:cat>
            <c:strRef>
              <c:f>'Pivot table'!$E$5:$E$11</c:f>
              <c:strCache>
                <c:ptCount val="6"/>
                <c:pt idx="0">
                  <c:v>Cardiology</c:v>
                </c:pt>
                <c:pt idx="1">
                  <c:v>Emergency</c:v>
                </c:pt>
                <c:pt idx="2">
                  <c:v>General Medicine</c:v>
                </c:pt>
                <c:pt idx="3">
                  <c:v>ICU</c:v>
                </c:pt>
                <c:pt idx="4">
                  <c:v>Neurology</c:v>
                </c:pt>
                <c:pt idx="5">
                  <c:v>Orthopedics</c:v>
                </c:pt>
              </c:strCache>
            </c:strRef>
          </c:cat>
          <c:val>
            <c:numRef>
              <c:f>'Pivot table'!$M$5:$M$11</c:f>
              <c:numCache>
                <c:formatCode>General</c:formatCode>
                <c:ptCount val="6"/>
                <c:pt idx="0">
                  <c:v>8</c:v>
                </c:pt>
                <c:pt idx="1">
                  <c:v>13</c:v>
                </c:pt>
                <c:pt idx="2">
                  <c:v>13</c:v>
                </c:pt>
                <c:pt idx="3">
                  <c:v>11</c:v>
                </c:pt>
                <c:pt idx="4">
                  <c:v>16</c:v>
                </c:pt>
                <c:pt idx="5">
                  <c:v>13</c:v>
                </c:pt>
              </c:numCache>
            </c:numRef>
          </c:val>
          <c:extLst>
            <c:ext xmlns:c16="http://schemas.microsoft.com/office/drawing/2014/chart" uri="{C3380CC4-5D6E-409C-BE32-E72D297353CC}">
              <c16:uniqueId val="{00000011-7B8E-44EC-95AC-08F240310172}"/>
            </c:ext>
          </c:extLst>
        </c:ser>
        <c:ser>
          <c:idx val="8"/>
          <c:order val="8"/>
          <c:tx>
            <c:strRef>
              <c:f>'Pivot table'!$N$3:$N$4</c:f>
              <c:strCache>
                <c:ptCount val="1"/>
                <c:pt idx="0">
                  <c:v>Sep</c:v>
                </c:pt>
              </c:strCache>
            </c:strRef>
          </c:tx>
          <c:spPr>
            <a:solidFill>
              <a:schemeClr val="accent3">
                <a:lumMod val="60000"/>
              </a:schemeClr>
            </a:solidFill>
            <a:ln>
              <a:noFill/>
            </a:ln>
            <a:effectLst/>
          </c:spPr>
          <c:invertIfNegative val="0"/>
          <c:cat>
            <c:strRef>
              <c:f>'Pivot table'!$E$5:$E$11</c:f>
              <c:strCache>
                <c:ptCount val="6"/>
                <c:pt idx="0">
                  <c:v>Cardiology</c:v>
                </c:pt>
                <c:pt idx="1">
                  <c:v>Emergency</c:v>
                </c:pt>
                <c:pt idx="2">
                  <c:v>General Medicine</c:v>
                </c:pt>
                <c:pt idx="3">
                  <c:v>ICU</c:v>
                </c:pt>
                <c:pt idx="4">
                  <c:v>Neurology</c:v>
                </c:pt>
                <c:pt idx="5">
                  <c:v>Orthopedics</c:v>
                </c:pt>
              </c:strCache>
            </c:strRef>
          </c:cat>
          <c:val>
            <c:numRef>
              <c:f>'Pivot table'!$N$5:$N$11</c:f>
              <c:numCache>
                <c:formatCode>General</c:formatCode>
                <c:ptCount val="6"/>
                <c:pt idx="0">
                  <c:v>11</c:v>
                </c:pt>
                <c:pt idx="1">
                  <c:v>6</c:v>
                </c:pt>
                <c:pt idx="2">
                  <c:v>13</c:v>
                </c:pt>
                <c:pt idx="3">
                  <c:v>16</c:v>
                </c:pt>
                <c:pt idx="4">
                  <c:v>14</c:v>
                </c:pt>
                <c:pt idx="5">
                  <c:v>10</c:v>
                </c:pt>
              </c:numCache>
            </c:numRef>
          </c:val>
          <c:extLst>
            <c:ext xmlns:c16="http://schemas.microsoft.com/office/drawing/2014/chart" uri="{C3380CC4-5D6E-409C-BE32-E72D297353CC}">
              <c16:uniqueId val="{00000012-7B8E-44EC-95AC-08F240310172}"/>
            </c:ext>
          </c:extLst>
        </c:ser>
        <c:ser>
          <c:idx val="9"/>
          <c:order val="9"/>
          <c:tx>
            <c:strRef>
              <c:f>'Pivot table'!$O$3:$O$4</c:f>
              <c:strCache>
                <c:ptCount val="1"/>
                <c:pt idx="0">
                  <c:v>Oct</c:v>
                </c:pt>
              </c:strCache>
            </c:strRef>
          </c:tx>
          <c:spPr>
            <a:solidFill>
              <a:schemeClr val="accent4">
                <a:lumMod val="60000"/>
              </a:schemeClr>
            </a:solidFill>
            <a:ln>
              <a:noFill/>
            </a:ln>
            <a:effectLst/>
          </c:spPr>
          <c:invertIfNegative val="0"/>
          <c:cat>
            <c:strRef>
              <c:f>'Pivot table'!$E$5:$E$11</c:f>
              <c:strCache>
                <c:ptCount val="6"/>
                <c:pt idx="0">
                  <c:v>Cardiology</c:v>
                </c:pt>
                <c:pt idx="1">
                  <c:v>Emergency</c:v>
                </c:pt>
                <c:pt idx="2">
                  <c:v>General Medicine</c:v>
                </c:pt>
                <c:pt idx="3">
                  <c:v>ICU</c:v>
                </c:pt>
                <c:pt idx="4">
                  <c:v>Neurology</c:v>
                </c:pt>
                <c:pt idx="5">
                  <c:v>Orthopedics</c:v>
                </c:pt>
              </c:strCache>
            </c:strRef>
          </c:cat>
          <c:val>
            <c:numRef>
              <c:f>'Pivot table'!$O$5:$O$11</c:f>
              <c:numCache>
                <c:formatCode>General</c:formatCode>
                <c:ptCount val="6"/>
                <c:pt idx="0">
                  <c:v>16</c:v>
                </c:pt>
                <c:pt idx="1">
                  <c:v>9</c:v>
                </c:pt>
                <c:pt idx="2">
                  <c:v>16</c:v>
                </c:pt>
                <c:pt idx="3">
                  <c:v>19</c:v>
                </c:pt>
                <c:pt idx="4">
                  <c:v>12</c:v>
                </c:pt>
                <c:pt idx="5">
                  <c:v>7</c:v>
                </c:pt>
              </c:numCache>
            </c:numRef>
          </c:val>
          <c:extLst>
            <c:ext xmlns:c16="http://schemas.microsoft.com/office/drawing/2014/chart" uri="{C3380CC4-5D6E-409C-BE32-E72D297353CC}">
              <c16:uniqueId val="{00000013-7B8E-44EC-95AC-08F240310172}"/>
            </c:ext>
          </c:extLst>
        </c:ser>
        <c:ser>
          <c:idx val="10"/>
          <c:order val="10"/>
          <c:tx>
            <c:strRef>
              <c:f>'Pivot table'!$P$3:$P$4</c:f>
              <c:strCache>
                <c:ptCount val="1"/>
                <c:pt idx="0">
                  <c:v>Nov</c:v>
                </c:pt>
              </c:strCache>
            </c:strRef>
          </c:tx>
          <c:spPr>
            <a:solidFill>
              <a:schemeClr val="accent5">
                <a:lumMod val="60000"/>
              </a:schemeClr>
            </a:solidFill>
            <a:ln>
              <a:noFill/>
            </a:ln>
            <a:effectLst/>
          </c:spPr>
          <c:invertIfNegative val="0"/>
          <c:cat>
            <c:strRef>
              <c:f>'Pivot table'!$E$5:$E$11</c:f>
              <c:strCache>
                <c:ptCount val="6"/>
                <c:pt idx="0">
                  <c:v>Cardiology</c:v>
                </c:pt>
                <c:pt idx="1">
                  <c:v>Emergency</c:v>
                </c:pt>
                <c:pt idx="2">
                  <c:v>General Medicine</c:v>
                </c:pt>
                <c:pt idx="3">
                  <c:v>ICU</c:v>
                </c:pt>
                <c:pt idx="4">
                  <c:v>Neurology</c:v>
                </c:pt>
                <c:pt idx="5">
                  <c:v>Orthopedics</c:v>
                </c:pt>
              </c:strCache>
            </c:strRef>
          </c:cat>
          <c:val>
            <c:numRef>
              <c:f>'Pivot table'!$P$5:$P$11</c:f>
              <c:numCache>
                <c:formatCode>General</c:formatCode>
                <c:ptCount val="6"/>
                <c:pt idx="0">
                  <c:v>15</c:v>
                </c:pt>
                <c:pt idx="1">
                  <c:v>9</c:v>
                </c:pt>
                <c:pt idx="2">
                  <c:v>11</c:v>
                </c:pt>
                <c:pt idx="3">
                  <c:v>8</c:v>
                </c:pt>
                <c:pt idx="4">
                  <c:v>12</c:v>
                </c:pt>
                <c:pt idx="5">
                  <c:v>13</c:v>
                </c:pt>
              </c:numCache>
            </c:numRef>
          </c:val>
          <c:extLst>
            <c:ext xmlns:c16="http://schemas.microsoft.com/office/drawing/2014/chart" uri="{C3380CC4-5D6E-409C-BE32-E72D297353CC}">
              <c16:uniqueId val="{00000014-7B8E-44EC-95AC-08F240310172}"/>
            </c:ext>
          </c:extLst>
        </c:ser>
        <c:ser>
          <c:idx val="11"/>
          <c:order val="11"/>
          <c:tx>
            <c:strRef>
              <c:f>'Pivot table'!$Q$3:$Q$4</c:f>
              <c:strCache>
                <c:ptCount val="1"/>
                <c:pt idx="0">
                  <c:v>Dec</c:v>
                </c:pt>
              </c:strCache>
            </c:strRef>
          </c:tx>
          <c:spPr>
            <a:solidFill>
              <a:schemeClr val="accent6">
                <a:lumMod val="60000"/>
              </a:schemeClr>
            </a:solidFill>
            <a:ln>
              <a:noFill/>
            </a:ln>
            <a:effectLst/>
          </c:spPr>
          <c:invertIfNegative val="0"/>
          <c:cat>
            <c:strRef>
              <c:f>'Pivot table'!$E$5:$E$11</c:f>
              <c:strCache>
                <c:ptCount val="6"/>
                <c:pt idx="0">
                  <c:v>Cardiology</c:v>
                </c:pt>
                <c:pt idx="1">
                  <c:v>Emergency</c:v>
                </c:pt>
                <c:pt idx="2">
                  <c:v>General Medicine</c:v>
                </c:pt>
                <c:pt idx="3">
                  <c:v>ICU</c:v>
                </c:pt>
                <c:pt idx="4">
                  <c:v>Neurology</c:v>
                </c:pt>
                <c:pt idx="5">
                  <c:v>Orthopedics</c:v>
                </c:pt>
              </c:strCache>
            </c:strRef>
          </c:cat>
          <c:val>
            <c:numRef>
              <c:f>'Pivot table'!$Q$5:$Q$11</c:f>
              <c:numCache>
                <c:formatCode>General</c:formatCode>
                <c:ptCount val="6"/>
                <c:pt idx="0">
                  <c:v>9</c:v>
                </c:pt>
                <c:pt idx="1">
                  <c:v>14</c:v>
                </c:pt>
                <c:pt idx="2">
                  <c:v>17</c:v>
                </c:pt>
                <c:pt idx="3">
                  <c:v>4</c:v>
                </c:pt>
                <c:pt idx="4">
                  <c:v>9</c:v>
                </c:pt>
                <c:pt idx="5">
                  <c:v>12</c:v>
                </c:pt>
              </c:numCache>
            </c:numRef>
          </c:val>
          <c:extLst>
            <c:ext xmlns:c16="http://schemas.microsoft.com/office/drawing/2014/chart" uri="{C3380CC4-5D6E-409C-BE32-E72D297353CC}">
              <c16:uniqueId val="{00000015-7B8E-44EC-95AC-08F240310172}"/>
            </c:ext>
          </c:extLst>
        </c:ser>
        <c:dLbls>
          <c:showLegendKey val="0"/>
          <c:showVal val="0"/>
          <c:showCatName val="0"/>
          <c:showSerName val="0"/>
          <c:showPercent val="0"/>
          <c:showBubbleSize val="0"/>
        </c:dLbls>
        <c:gapWidth val="150"/>
        <c:overlap val="100"/>
        <c:axId val="1053433119"/>
        <c:axId val="1053433951"/>
      </c:barChart>
      <c:catAx>
        <c:axId val="105343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53433951"/>
        <c:crosses val="autoZero"/>
        <c:auto val="1"/>
        <c:lblAlgn val="ctr"/>
        <c:lblOffset val="100"/>
        <c:noMultiLvlLbl val="0"/>
      </c:catAx>
      <c:valAx>
        <c:axId val="105343395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433119"/>
        <c:crosses val="autoZero"/>
        <c:crossBetween val="between"/>
      </c:valAx>
      <c:spPr>
        <a:noFill/>
        <a:ln>
          <a:noFill/>
        </a:ln>
        <a:effectLst/>
      </c:spPr>
    </c:plotArea>
    <c:legend>
      <c:legendPos val="r"/>
      <c:layout>
        <c:manualLayout>
          <c:xMode val="edge"/>
          <c:yMode val="edge"/>
          <c:x val="0.74524658348187756"/>
          <c:y val="0.12811242344706911"/>
          <c:w val="0.21518685028417248"/>
          <c:h val="0.66508145250398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[HealthCare-assesment.xlsx]Pivot table!Most Frequently Diagnosed Diseases</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Most Frequently Diagnosed Diseases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table'!$B$16</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table'!$A$17:$A$23</c:f>
              <c:strCache>
                <c:ptCount val="6"/>
                <c:pt idx="0">
                  <c:v>Fracture</c:v>
                </c:pt>
                <c:pt idx="1">
                  <c:v>Diabetes</c:v>
                </c:pt>
                <c:pt idx="2">
                  <c:v>Flu</c:v>
                </c:pt>
                <c:pt idx="3">
                  <c:v>Heart Disease</c:v>
                </c:pt>
                <c:pt idx="4">
                  <c:v>Hypertension</c:v>
                </c:pt>
                <c:pt idx="5">
                  <c:v>Migraine</c:v>
                </c:pt>
              </c:strCache>
            </c:strRef>
          </c:cat>
          <c:val>
            <c:numRef>
              <c:f>'Pivot table'!$B$17:$B$23</c:f>
              <c:numCache>
                <c:formatCode>General</c:formatCode>
                <c:ptCount val="6"/>
                <c:pt idx="0">
                  <c:v>185</c:v>
                </c:pt>
                <c:pt idx="1">
                  <c:v>173</c:v>
                </c:pt>
                <c:pt idx="2">
                  <c:v>170</c:v>
                </c:pt>
                <c:pt idx="3">
                  <c:v>167</c:v>
                </c:pt>
                <c:pt idx="4">
                  <c:v>157</c:v>
                </c:pt>
                <c:pt idx="5">
                  <c:v>148</c:v>
                </c:pt>
              </c:numCache>
            </c:numRef>
          </c:val>
          <c:extLst>
            <c:ext xmlns:c16="http://schemas.microsoft.com/office/drawing/2014/chart" uri="{C3380CC4-5D6E-409C-BE32-E72D297353CC}">
              <c16:uniqueId val="{00000000-9DBA-4936-B680-AC7945BDAD8A}"/>
            </c:ext>
          </c:extLst>
        </c:ser>
        <c:dLbls>
          <c:dLblPos val="outEnd"/>
          <c:showLegendKey val="0"/>
          <c:showVal val="1"/>
          <c:showCatName val="0"/>
          <c:showSerName val="0"/>
          <c:showPercent val="0"/>
          <c:showBubbleSize val="0"/>
        </c:dLbls>
        <c:gapWidth val="100"/>
        <c:axId val="622176576"/>
        <c:axId val="622172832"/>
      </c:barChart>
      <c:catAx>
        <c:axId val="62217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22172832"/>
        <c:crosses val="autoZero"/>
        <c:auto val="1"/>
        <c:lblAlgn val="ctr"/>
        <c:lblOffset val="100"/>
        <c:noMultiLvlLbl val="0"/>
      </c:catAx>
      <c:valAx>
        <c:axId val="622172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2217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[HealthCare-assesment.xlsx]Pivot table!Average Treatment Cost</c:name>
    <c:fmtId val="2"/>
  </c:pivotSource>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Calibri" panose="020F0502020204030204" pitchFamily="34" charset="0"/>
                <a:ea typeface="+mn-ea"/>
                <a:cs typeface="Calibri" panose="020F0502020204030204" pitchFamily="34" charset="0"/>
              </a:defRPr>
            </a:pPr>
            <a:r>
              <a:rPr lang="en-US" sz="1400" b="1">
                <a:latin typeface="Calibri" panose="020F0502020204030204" pitchFamily="34" charset="0"/>
                <a:cs typeface="Calibri" panose="020F0502020204030204" pitchFamily="34" charset="0"/>
              </a:rPr>
              <a:t>Average Treatment Cost</a:t>
            </a:r>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table'!$G$16</c:f>
              <c:strCache>
                <c:ptCount val="1"/>
                <c:pt idx="0">
                  <c:v>Total</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table'!$F$17:$F$23</c:f>
              <c:strCache>
                <c:ptCount val="6"/>
                <c:pt idx="0">
                  <c:v>Diabetes</c:v>
                </c:pt>
                <c:pt idx="1">
                  <c:v>Flu</c:v>
                </c:pt>
                <c:pt idx="2">
                  <c:v>Fracture</c:v>
                </c:pt>
                <c:pt idx="3">
                  <c:v>Heart Disease</c:v>
                </c:pt>
                <c:pt idx="4">
                  <c:v>Hypertension</c:v>
                </c:pt>
                <c:pt idx="5">
                  <c:v>Migraine</c:v>
                </c:pt>
              </c:strCache>
            </c:strRef>
          </c:cat>
          <c:val>
            <c:numRef>
              <c:f>'Pivot table'!$G$17:$G$23</c:f>
              <c:numCache>
                <c:formatCode>0.00;[Red]0.00</c:formatCode>
                <c:ptCount val="6"/>
                <c:pt idx="0">
                  <c:v>25417.352601156068</c:v>
                </c:pt>
                <c:pt idx="1">
                  <c:v>26497.3</c:v>
                </c:pt>
                <c:pt idx="2">
                  <c:v>28021.789189189189</c:v>
                </c:pt>
                <c:pt idx="3">
                  <c:v>27130.820359281439</c:v>
                </c:pt>
                <c:pt idx="4">
                  <c:v>27084.993630573248</c:v>
                </c:pt>
                <c:pt idx="5">
                  <c:v>26460.027027027027</c:v>
                </c:pt>
              </c:numCache>
            </c:numRef>
          </c:val>
          <c:extLst>
            <c:ext xmlns:c16="http://schemas.microsoft.com/office/drawing/2014/chart" uri="{C3380CC4-5D6E-409C-BE32-E72D297353CC}">
              <c16:uniqueId val="{00000000-7A90-4FE0-B492-A92E1ED0536E}"/>
            </c:ext>
          </c:extLst>
        </c:ser>
        <c:dLbls>
          <c:dLblPos val="outEnd"/>
          <c:showLegendKey val="0"/>
          <c:showVal val="1"/>
          <c:showCatName val="0"/>
          <c:showSerName val="0"/>
          <c:showPercent val="0"/>
          <c:showBubbleSize val="0"/>
        </c:dLbls>
        <c:gapWidth val="164"/>
        <c:overlap val="-22"/>
        <c:axId val="473058032"/>
        <c:axId val="473060112"/>
      </c:barChart>
      <c:catAx>
        <c:axId val="47305803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060112"/>
        <c:crosses val="autoZero"/>
        <c:auto val="1"/>
        <c:lblAlgn val="ctr"/>
        <c:lblOffset val="100"/>
        <c:noMultiLvlLbl val="0"/>
      </c:catAx>
      <c:valAx>
        <c:axId val="473060112"/>
        <c:scaling>
          <c:orientation val="minMax"/>
        </c:scaling>
        <c:delete val="0"/>
        <c:axPos val="l"/>
        <c:majorGridlines>
          <c:spPr>
            <a:ln>
              <a:solidFill>
                <a:schemeClr val="tx1">
                  <a:lumMod val="15000"/>
                  <a:lumOff val="85000"/>
                </a:schemeClr>
              </a:solidFill>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05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[HealthCare-assesment.xlsx]Pivot table!Monthly Hospital Admissions Trend</c:name>
    <c:fmtId val="2"/>
  </c:pivotSource>
  <c:chart>
    <c:title>
      <c:tx>
        <c:rich>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r>
              <a:rPr lang="en-IN" b="1"/>
              <a:t>Monthly Hospital Admissions Trend</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table'!$L$16</c:f>
              <c:strCache>
                <c:ptCount val="1"/>
                <c:pt idx="0">
                  <c:v>Total</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cat>
            <c:strRef>
              <c:f>'Pivot table'!$K$17:$K$29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table'!$L$17:$L$29</c:f>
              <c:numCache>
                <c:formatCode>General</c:formatCode>
                <c:ptCount val="12"/>
                <c:pt idx="0">
                  <c:v>100</c:v>
                </c:pt>
                <c:pt idx="1">
                  <c:v>94</c:v>
                </c:pt>
                <c:pt idx="2">
                  <c:v>114</c:v>
                </c:pt>
                <c:pt idx="3">
                  <c:v>112</c:v>
                </c:pt>
                <c:pt idx="4">
                  <c:v>84</c:v>
                </c:pt>
                <c:pt idx="5">
                  <c:v>80</c:v>
                </c:pt>
                <c:pt idx="6">
                  <c:v>60</c:v>
                </c:pt>
                <c:pt idx="7">
                  <c:v>74</c:v>
                </c:pt>
                <c:pt idx="8">
                  <c:v>70</c:v>
                </c:pt>
                <c:pt idx="9">
                  <c:v>79</c:v>
                </c:pt>
                <c:pt idx="10">
                  <c:v>68</c:v>
                </c:pt>
                <c:pt idx="11">
                  <c:v>65</c:v>
                </c:pt>
              </c:numCache>
            </c:numRef>
          </c:val>
          <c:smooth val="0"/>
          <c:extLst>
            <c:ext xmlns:c16="http://schemas.microsoft.com/office/drawing/2014/chart" uri="{C3380CC4-5D6E-409C-BE32-E72D297353CC}">
              <c16:uniqueId val="{00000007-B5F1-47F3-91A4-51DA7E382F2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31459952"/>
        <c:axId val="731460784"/>
      </c:lineChart>
      <c:catAx>
        <c:axId val="73145995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31460784"/>
        <c:crosses val="autoZero"/>
        <c:auto val="1"/>
        <c:lblAlgn val="ctr"/>
        <c:lblOffset val="100"/>
        <c:noMultiLvlLbl val="0"/>
      </c:catAx>
      <c:valAx>
        <c:axId val="731460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31459952"/>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[HealthCare-assesment.xlsx]Pivot table!Top medication per department</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Top medication per department</a:t>
            </a:r>
          </a:p>
        </c:rich>
      </c:tx>
      <c:layout>
        <c:manualLayout>
          <c:xMode val="edge"/>
          <c:yMode val="edge"/>
          <c:x val="0.25160432028789548"/>
          <c:y val="6.043277579067662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table'!$B$32:$B$33</c:f>
              <c:strCache>
                <c:ptCount val="1"/>
                <c:pt idx="0">
                  <c:v>MedA</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table'!$A$34:$A$40</c:f>
              <c:strCache>
                <c:ptCount val="6"/>
                <c:pt idx="0">
                  <c:v>Cardiology</c:v>
                </c:pt>
                <c:pt idx="1">
                  <c:v>Emergency</c:v>
                </c:pt>
                <c:pt idx="2">
                  <c:v>General Medicine</c:v>
                </c:pt>
                <c:pt idx="3">
                  <c:v>ICU</c:v>
                </c:pt>
                <c:pt idx="4">
                  <c:v>Neurology</c:v>
                </c:pt>
                <c:pt idx="5">
                  <c:v>Orthopedics</c:v>
                </c:pt>
              </c:strCache>
            </c:strRef>
          </c:cat>
          <c:val>
            <c:numRef>
              <c:f>'Pivot table'!$B$34:$B$40</c:f>
              <c:numCache>
                <c:formatCode>General</c:formatCode>
                <c:ptCount val="6"/>
                <c:pt idx="0">
                  <c:v>31</c:v>
                </c:pt>
                <c:pt idx="1">
                  <c:v>35</c:v>
                </c:pt>
                <c:pt idx="2">
                  <c:v>26</c:v>
                </c:pt>
                <c:pt idx="3">
                  <c:v>45</c:v>
                </c:pt>
                <c:pt idx="4">
                  <c:v>25</c:v>
                </c:pt>
                <c:pt idx="5">
                  <c:v>24</c:v>
                </c:pt>
              </c:numCache>
            </c:numRef>
          </c:val>
          <c:extLst>
            <c:ext xmlns:c16="http://schemas.microsoft.com/office/drawing/2014/chart" uri="{C3380CC4-5D6E-409C-BE32-E72D297353CC}">
              <c16:uniqueId val="{00000007-7084-44E5-AA93-E22CFB61D859}"/>
            </c:ext>
          </c:extLst>
        </c:ser>
        <c:ser>
          <c:idx val="1"/>
          <c:order val="1"/>
          <c:tx>
            <c:strRef>
              <c:f>'Pivot table'!$C$32:$C$33</c:f>
              <c:strCache>
                <c:ptCount val="1"/>
                <c:pt idx="0">
                  <c:v>MedB</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table'!$A$34:$A$40</c:f>
              <c:strCache>
                <c:ptCount val="6"/>
                <c:pt idx="0">
                  <c:v>Cardiology</c:v>
                </c:pt>
                <c:pt idx="1">
                  <c:v>Emergency</c:v>
                </c:pt>
                <c:pt idx="2">
                  <c:v>General Medicine</c:v>
                </c:pt>
                <c:pt idx="3">
                  <c:v>ICU</c:v>
                </c:pt>
                <c:pt idx="4">
                  <c:v>Neurology</c:v>
                </c:pt>
                <c:pt idx="5">
                  <c:v>Orthopedics</c:v>
                </c:pt>
              </c:strCache>
            </c:strRef>
          </c:cat>
          <c:val>
            <c:numRef>
              <c:f>'Pivot table'!$C$34:$C$40</c:f>
              <c:numCache>
                <c:formatCode>General</c:formatCode>
                <c:ptCount val="6"/>
                <c:pt idx="0">
                  <c:v>31</c:v>
                </c:pt>
                <c:pt idx="1">
                  <c:v>29</c:v>
                </c:pt>
                <c:pt idx="2">
                  <c:v>37</c:v>
                </c:pt>
                <c:pt idx="3">
                  <c:v>35</c:v>
                </c:pt>
                <c:pt idx="4">
                  <c:v>40</c:v>
                </c:pt>
                <c:pt idx="5">
                  <c:v>25</c:v>
                </c:pt>
              </c:numCache>
            </c:numRef>
          </c:val>
          <c:extLst>
            <c:ext xmlns:c16="http://schemas.microsoft.com/office/drawing/2014/chart" uri="{C3380CC4-5D6E-409C-BE32-E72D297353CC}">
              <c16:uniqueId val="{00000009-7084-44E5-AA93-E22CFB61D859}"/>
            </c:ext>
          </c:extLst>
        </c:ser>
        <c:ser>
          <c:idx val="2"/>
          <c:order val="2"/>
          <c:tx>
            <c:strRef>
              <c:f>'Pivot table'!$D$32:$D$33</c:f>
              <c:strCache>
                <c:ptCount val="1"/>
                <c:pt idx="0">
                  <c:v>MedC</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table'!$A$34:$A$40</c:f>
              <c:strCache>
                <c:ptCount val="6"/>
                <c:pt idx="0">
                  <c:v>Cardiology</c:v>
                </c:pt>
                <c:pt idx="1">
                  <c:v>Emergency</c:v>
                </c:pt>
                <c:pt idx="2">
                  <c:v>General Medicine</c:v>
                </c:pt>
                <c:pt idx="3">
                  <c:v>ICU</c:v>
                </c:pt>
                <c:pt idx="4">
                  <c:v>Neurology</c:v>
                </c:pt>
                <c:pt idx="5">
                  <c:v>Orthopedics</c:v>
                </c:pt>
              </c:strCache>
            </c:strRef>
          </c:cat>
          <c:val>
            <c:numRef>
              <c:f>'Pivot table'!$D$34:$D$40</c:f>
              <c:numCache>
                <c:formatCode>General</c:formatCode>
                <c:ptCount val="6"/>
                <c:pt idx="0">
                  <c:v>34</c:v>
                </c:pt>
                <c:pt idx="1">
                  <c:v>39</c:v>
                </c:pt>
                <c:pt idx="2">
                  <c:v>39</c:v>
                </c:pt>
                <c:pt idx="3">
                  <c:v>27</c:v>
                </c:pt>
                <c:pt idx="4">
                  <c:v>36</c:v>
                </c:pt>
                <c:pt idx="5">
                  <c:v>23</c:v>
                </c:pt>
              </c:numCache>
            </c:numRef>
          </c:val>
          <c:extLst>
            <c:ext xmlns:c16="http://schemas.microsoft.com/office/drawing/2014/chart" uri="{C3380CC4-5D6E-409C-BE32-E72D297353CC}">
              <c16:uniqueId val="{0000000B-7084-44E5-AA93-E22CFB61D859}"/>
            </c:ext>
          </c:extLst>
        </c:ser>
        <c:ser>
          <c:idx val="3"/>
          <c:order val="3"/>
          <c:tx>
            <c:strRef>
              <c:f>'Pivot table'!$E$32:$E$33</c:f>
              <c:strCache>
                <c:ptCount val="1"/>
                <c:pt idx="0">
                  <c:v>MedD</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table'!$A$34:$A$40</c:f>
              <c:strCache>
                <c:ptCount val="6"/>
                <c:pt idx="0">
                  <c:v>Cardiology</c:v>
                </c:pt>
                <c:pt idx="1">
                  <c:v>Emergency</c:v>
                </c:pt>
                <c:pt idx="2">
                  <c:v>General Medicine</c:v>
                </c:pt>
                <c:pt idx="3">
                  <c:v>ICU</c:v>
                </c:pt>
                <c:pt idx="4">
                  <c:v>Neurology</c:v>
                </c:pt>
                <c:pt idx="5">
                  <c:v>Orthopedics</c:v>
                </c:pt>
              </c:strCache>
            </c:strRef>
          </c:cat>
          <c:val>
            <c:numRef>
              <c:f>'Pivot table'!$E$34:$E$40</c:f>
              <c:numCache>
                <c:formatCode>General</c:formatCode>
                <c:ptCount val="6"/>
                <c:pt idx="0">
                  <c:v>35</c:v>
                </c:pt>
                <c:pt idx="1">
                  <c:v>29</c:v>
                </c:pt>
                <c:pt idx="2">
                  <c:v>39</c:v>
                </c:pt>
                <c:pt idx="3">
                  <c:v>35</c:v>
                </c:pt>
                <c:pt idx="4">
                  <c:v>44</c:v>
                </c:pt>
                <c:pt idx="5">
                  <c:v>37</c:v>
                </c:pt>
              </c:numCache>
            </c:numRef>
          </c:val>
          <c:extLst>
            <c:ext xmlns:c16="http://schemas.microsoft.com/office/drawing/2014/chart" uri="{C3380CC4-5D6E-409C-BE32-E72D297353CC}">
              <c16:uniqueId val="{0000000D-7084-44E5-AA93-E22CFB61D859}"/>
            </c:ext>
          </c:extLst>
        </c:ser>
        <c:ser>
          <c:idx val="4"/>
          <c:order val="4"/>
          <c:tx>
            <c:strRef>
              <c:f>'Pivot table'!$F$32:$F$33</c:f>
              <c:strCache>
                <c:ptCount val="1"/>
                <c:pt idx="0">
                  <c:v>MedE</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table'!$A$34:$A$40</c:f>
              <c:strCache>
                <c:ptCount val="6"/>
                <c:pt idx="0">
                  <c:v>Cardiology</c:v>
                </c:pt>
                <c:pt idx="1">
                  <c:v>Emergency</c:v>
                </c:pt>
                <c:pt idx="2">
                  <c:v>General Medicine</c:v>
                </c:pt>
                <c:pt idx="3">
                  <c:v>ICU</c:v>
                </c:pt>
                <c:pt idx="4">
                  <c:v>Neurology</c:v>
                </c:pt>
                <c:pt idx="5">
                  <c:v>Orthopedics</c:v>
                </c:pt>
              </c:strCache>
            </c:strRef>
          </c:cat>
          <c:val>
            <c:numRef>
              <c:f>'Pivot table'!$F$34:$F$40</c:f>
              <c:numCache>
                <c:formatCode>General</c:formatCode>
                <c:ptCount val="6"/>
                <c:pt idx="0">
                  <c:v>34</c:v>
                </c:pt>
                <c:pt idx="1">
                  <c:v>34</c:v>
                </c:pt>
                <c:pt idx="2">
                  <c:v>40</c:v>
                </c:pt>
                <c:pt idx="3">
                  <c:v>37</c:v>
                </c:pt>
                <c:pt idx="4">
                  <c:v>28</c:v>
                </c:pt>
                <c:pt idx="5">
                  <c:v>27</c:v>
                </c:pt>
              </c:numCache>
            </c:numRef>
          </c:val>
          <c:extLst>
            <c:ext xmlns:c16="http://schemas.microsoft.com/office/drawing/2014/chart" uri="{C3380CC4-5D6E-409C-BE32-E72D297353CC}">
              <c16:uniqueId val="{0000000F-7084-44E5-AA93-E22CFB61D859}"/>
            </c:ext>
          </c:extLst>
        </c:ser>
        <c:dLbls>
          <c:dLblPos val="outEnd"/>
          <c:showLegendKey val="0"/>
          <c:showVal val="1"/>
          <c:showCatName val="0"/>
          <c:showSerName val="0"/>
          <c:showPercent val="0"/>
          <c:showBubbleSize val="0"/>
        </c:dLbls>
        <c:gapWidth val="444"/>
        <c:overlap val="-90"/>
        <c:axId val="733930848"/>
        <c:axId val="733937088"/>
      </c:barChart>
      <c:catAx>
        <c:axId val="733930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33937088"/>
        <c:crosses val="autoZero"/>
        <c:auto val="1"/>
        <c:lblAlgn val="ctr"/>
        <c:lblOffset val="100"/>
        <c:noMultiLvlLbl val="0"/>
      </c:catAx>
      <c:valAx>
        <c:axId val="733937088"/>
        <c:scaling>
          <c:orientation val="minMax"/>
        </c:scaling>
        <c:delete val="1"/>
        <c:axPos val="l"/>
        <c:numFmt formatCode="General" sourceLinked="1"/>
        <c:majorTickMark val="none"/>
        <c:minorTickMark val="none"/>
        <c:tickLblPos val="nextTo"/>
        <c:crossAx val="73393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[HealthCare-assesment.xlsx]Pivot table!PivotTable7</c:name>
    <c:fmtId val="4"/>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Insurance Coverage Distribution</a:t>
            </a:r>
          </a:p>
        </c:rich>
      </c:tx>
      <c:layout>
        <c:manualLayout>
          <c:xMode val="edge"/>
          <c:yMode val="edge"/>
          <c:x val="0.22075805819760591"/>
          <c:y val="7.2007494496229327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marker>
          <c:symbol val="none"/>
        </c:marker>
        <c:dLbl>
          <c:idx val="0"/>
          <c:spPr>
            <a:solidFill>
              <a:sysClr val="window" lastClr="FFFFFF">
                <a:alpha val="90000"/>
              </a:sysClr>
            </a:solidFill>
            <a:ln w="12700" cap="flat" cmpd="sng" algn="ctr">
              <a:solidFill>
                <a:srgbClr val="A02B93"/>
              </a:solidFill>
              <a:round/>
            </a:ln>
            <a:effectLst>
              <a:outerShdw blurRad="50800" dist="38100" dir="2700000" algn="tl" rotWithShape="0">
                <a:srgbClr val="A02B9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5">
              <a:shade val="76000"/>
              <a:alpha val="90000"/>
            </a:schemeClr>
          </a:solidFill>
          <a:ln w="19050">
            <a:solidFill>
              <a:schemeClr val="accent5">
                <a:shade val="76000"/>
                <a:lumMod val="75000"/>
              </a:schemeClr>
            </a:solidFill>
          </a:ln>
          <a:effectLst>
            <a:innerShdw blurRad="114300">
              <a:schemeClr val="accent5">
                <a:shade val="76000"/>
                <a:lumMod val="75000"/>
              </a:schemeClr>
            </a:innerShdw>
          </a:effectLst>
          <a:scene3d>
            <a:camera prst="orthographicFront"/>
            <a:lightRig rig="threePt" dir="t"/>
          </a:scene3d>
          <a:sp3d contourW="19050" prstMaterial="flat">
            <a:contourClr>
              <a:schemeClr val="accent5">
                <a:shade val="76000"/>
                <a:lumMod val="75000"/>
              </a:schemeClr>
            </a:contourClr>
          </a:sp3d>
        </c:spPr>
      </c:pivotFmt>
      <c:pivotFmt>
        <c:idx val="6"/>
        <c:spPr>
          <a:solidFill>
            <a:schemeClr val="accent5">
              <a:tint val="77000"/>
              <a:alpha val="90000"/>
            </a:schemeClr>
          </a:solidFill>
          <a:ln w="19050">
            <a:solidFill>
              <a:schemeClr val="accent5">
                <a:tint val="77000"/>
                <a:lumMod val="75000"/>
              </a:schemeClr>
            </a:solidFill>
          </a:ln>
          <a:effectLst>
            <a:innerShdw blurRad="114300">
              <a:schemeClr val="accent5">
                <a:tint val="77000"/>
                <a:lumMod val="75000"/>
              </a:schemeClr>
            </a:innerShdw>
          </a:effectLst>
          <a:scene3d>
            <a:camera prst="orthographicFront"/>
            <a:lightRig rig="threePt" dir="t"/>
          </a:scene3d>
          <a:sp3d contourW="19050" prstMaterial="flat">
            <a:contourClr>
              <a:schemeClr val="accent5">
                <a:tint val="77000"/>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table'!$L$35</c:f>
              <c:strCache>
                <c:ptCount val="1"/>
                <c:pt idx="0">
                  <c:v>Total</c:v>
                </c:pt>
              </c:strCache>
            </c:strRef>
          </c:tx>
          <c:dPt>
            <c:idx val="0"/>
            <c:bubble3D val="0"/>
            <c:spPr>
              <a:solidFill>
                <a:schemeClr val="accent5">
                  <a:shade val="76000"/>
                  <a:alpha val="90000"/>
                </a:schemeClr>
              </a:solidFill>
              <a:ln w="19050">
                <a:solidFill>
                  <a:schemeClr val="accent5">
                    <a:shade val="76000"/>
                    <a:lumMod val="75000"/>
                  </a:schemeClr>
                </a:solidFill>
              </a:ln>
              <a:effectLst>
                <a:innerShdw blurRad="114300">
                  <a:schemeClr val="accent5">
                    <a:shade val="76000"/>
                    <a:lumMod val="75000"/>
                  </a:schemeClr>
                </a:innerShdw>
              </a:effectLst>
              <a:scene3d>
                <a:camera prst="orthographicFront"/>
                <a:lightRig rig="threePt" dir="t"/>
              </a:scene3d>
              <a:sp3d contourW="19050" prstMaterial="flat">
                <a:contourClr>
                  <a:schemeClr val="accent5">
                    <a:shade val="76000"/>
                    <a:lumMod val="75000"/>
                  </a:schemeClr>
                </a:contourClr>
              </a:sp3d>
            </c:spPr>
            <c:extLst>
              <c:ext xmlns:c16="http://schemas.microsoft.com/office/drawing/2014/chart" uri="{C3380CC4-5D6E-409C-BE32-E72D297353CC}">
                <c16:uniqueId val="{00000001-33ED-414D-9C0C-387704C418F6}"/>
              </c:ext>
            </c:extLst>
          </c:dPt>
          <c:dPt>
            <c:idx val="1"/>
            <c:bubble3D val="0"/>
            <c:spPr>
              <a:solidFill>
                <a:schemeClr val="accent5">
                  <a:tint val="77000"/>
                  <a:alpha val="90000"/>
                </a:schemeClr>
              </a:solidFill>
              <a:ln w="19050">
                <a:solidFill>
                  <a:schemeClr val="accent5">
                    <a:tint val="77000"/>
                    <a:lumMod val="75000"/>
                  </a:schemeClr>
                </a:solidFill>
              </a:ln>
              <a:effectLst>
                <a:innerShdw blurRad="114300">
                  <a:schemeClr val="accent5">
                    <a:tint val="77000"/>
                    <a:lumMod val="75000"/>
                  </a:schemeClr>
                </a:innerShdw>
              </a:effectLst>
              <a:scene3d>
                <a:camera prst="orthographicFront"/>
                <a:lightRig rig="threePt" dir="t"/>
              </a:scene3d>
              <a:sp3d contourW="19050" prstMaterial="flat">
                <a:contourClr>
                  <a:schemeClr val="accent5">
                    <a:tint val="77000"/>
                    <a:lumMod val="75000"/>
                  </a:schemeClr>
                </a:contourClr>
              </a:sp3d>
            </c:spPr>
            <c:extLst>
              <c:ext xmlns:c16="http://schemas.microsoft.com/office/drawing/2014/chart" uri="{C3380CC4-5D6E-409C-BE32-E72D297353CC}">
                <c16:uniqueId val="{00000003-33ED-414D-9C0C-387704C418F6}"/>
              </c:ext>
            </c:extLst>
          </c:dPt>
          <c:dLbls>
            <c:spPr>
              <a:solidFill>
                <a:sysClr val="window" lastClr="FFFFFF">
                  <a:alpha val="90000"/>
                </a:sysClr>
              </a:solidFill>
              <a:ln w="12700" cap="flat" cmpd="sng" algn="ctr">
                <a:solidFill>
                  <a:srgbClr val="A02B93"/>
                </a:solidFill>
                <a:round/>
              </a:ln>
              <a:effectLst>
                <a:outerShdw blurRad="50800" dist="38100" dir="2700000" algn="tl" rotWithShape="0">
                  <a:srgbClr val="A02B9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table'!$K$36:$K$38</c:f>
              <c:strCache>
                <c:ptCount val="2"/>
                <c:pt idx="0">
                  <c:v>Yes</c:v>
                </c:pt>
                <c:pt idx="1">
                  <c:v>No</c:v>
                </c:pt>
              </c:strCache>
            </c:strRef>
          </c:cat>
          <c:val>
            <c:numRef>
              <c:f>'Pivot table'!$L$36:$L$38</c:f>
              <c:numCache>
                <c:formatCode>0.00%</c:formatCode>
                <c:ptCount val="2"/>
                <c:pt idx="0">
                  <c:v>0.61699999999999999</c:v>
                </c:pt>
                <c:pt idx="1">
                  <c:v>0.38300000000000001</c:v>
                </c:pt>
              </c:numCache>
            </c:numRef>
          </c:val>
          <c:extLst>
            <c:ext xmlns:c16="http://schemas.microsoft.com/office/drawing/2014/chart" uri="{C3380CC4-5D6E-409C-BE32-E72D297353CC}">
              <c16:uniqueId val="{00000004-33ED-414D-9C0C-387704C418F6}"/>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Doctor-Patient Ratio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6"/>
              <c:pt idx="0">
                <c:v>Cardiology</c:v>
              </c:pt>
              <c:pt idx="1">
                <c:v>Emergency</c:v>
              </c:pt>
              <c:pt idx="2">
                <c:v>General Medicine</c:v>
              </c:pt>
              <c:pt idx="3">
                <c:v>ICU</c:v>
              </c:pt>
              <c:pt idx="4">
                <c:v>Neurology</c:v>
              </c:pt>
              <c:pt idx="5">
                <c:v>Orthopedics</c:v>
              </c:pt>
            </c:strLit>
          </c:cat>
          <c:val>
            <c:numLit>
              <c:formatCode>General</c:formatCode>
              <c:ptCount val="6"/>
              <c:pt idx="0">
                <c:v>33</c:v>
              </c:pt>
              <c:pt idx="1">
                <c:v>33.200000000000003</c:v>
              </c:pt>
              <c:pt idx="2">
                <c:v>36.200000000000003</c:v>
              </c:pt>
              <c:pt idx="3">
                <c:v>35.799999999999997</c:v>
              </c:pt>
              <c:pt idx="4">
                <c:v>34.6</c:v>
              </c:pt>
              <c:pt idx="5">
                <c:v>27.2</c:v>
              </c:pt>
            </c:numLit>
          </c:val>
          <c:extLst>
            <c:ext xmlns:c16="http://schemas.microsoft.com/office/drawing/2014/chart" uri="{C3380CC4-5D6E-409C-BE32-E72D297353CC}">
              <c16:uniqueId val="{00000001-E778-4FDE-A49A-403EACDBB1E9}"/>
            </c:ext>
          </c:extLst>
        </c:ser>
        <c:dLbls>
          <c:dLblPos val="outEnd"/>
          <c:showLegendKey val="0"/>
          <c:showVal val="1"/>
          <c:showCatName val="0"/>
          <c:showSerName val="0"/>
          <c:showPercent val="0"/>
          <c:showBubbleSize val="0"/>
        </c:dLbls>
        <c:gapWidth val="100"/>
        <c:overlap val="-24"/>
        <c:axId val="1192298287"/>
        <c:axId val="1192323663"/>
      </c:barChart>
      <c:catAx>
        <c:axId val="11922982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2323663"/>
        <c:crosses val="autoZero"/>
        <c:auto val="1"/>
        <c:lblAlgn val="ctr"/>
        <c:lblOffset val="100"/>
        <c:noMultiLvlLbl val="0"/>
      </c:catAx>
      <c:valAx>
        <c:axId val="119232366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229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 Highest Rejected Test Type</a:t>
            </a:r>
          </a:p>
        </c:rich>
      </c:tx>
      <c:layout>
        <c:manualLayout>
          <c:xMode val="edge"/>
          <c:yMode val="edge"/>
          <c:x val="0.32652764722773608"/>
          <c:y val="7.42592891719577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pieChart>
        <c:varyColors val="1"/>
        <c:ser>
          <c:idx val="0"/>
          <c:order val="0"/>
          <c:tx>
            <c:strRef>
              <c:f>'Pivot table'!$U$30:$U$31</c:f>
              <c:strCache>
                <c:ptCount val="2"/>
                <c:pt idx="0">
                  <c:v> Test Result</c:v>
                </c:pt>
                <c:pt idx="1">
                  <c:v>  Rejected</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1F91-4A91-A830-CB31565141E0}"/>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1F91-4A91-A830-CB31565141E0}"/>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1F91-4A91-A830-CB31565141E0}"/>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1F91-4A91-A830-CB31565141E0}"/>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1F91-4A91-A830-CB31565141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table'!$T$32:$T$36</c:f>
              <c:strCache>
                <c:ptCount val="5"/>
                <c:pt idx="0">
                  <c:v>Blood Test</c:v>
                </c:pt>
                <c:pt idx="1">
                  <c:v>CT Scan</c:v>
                </c:pt>
                <c:pt idx="2">
                  <c:v>MRI</c:v>
                </c:pt>
                <c:pt idx="3">
                  <c:v>Ultrasound</c:v>
                </c:pt>
                <c:pt idx="4">
                  <c:v>X-Ray</c:v>
                </c:pt>
              </c:strCache>
            </c:strRef>
          </c:cat>
          <c:val>
            <c:numRef>
              <c:f>'Pivot table'!$U$32:$U$36</c:f>
              <c:numCache>
                <c:formatCode>0.00%</c:formatCode>
                <c:ptCount val="5"/>
                <c:pt idx="0">
                  <c:v>7.0270270270270274E-2</c:v>
                </c:pt>
                <c:pt idx="1">
                  <c:v>7.7272727272727271E-2</c:v>
                </c:pt>
                <c:pt idx="2">
                  <c:v>0.11702127659574468</c:v>
                </c:pt>
                <c:pt idx="3">
                  <c:v>8.7155963302752298E-2</c:v>
                </c:pt>
                <c:pt idx="4">
                  <c:v>9.5238095238095233E-2</c:v>
                </c:pt>
              </c:numCache>
            </c:numRef>
          </c:val>
          <c:extLst>
            <c:ext xmlns:c16="http://schemas.microsoft.com/office/drawing/2014/chart" uri="{C3380CC4-5D6E-409C-BE32-E72D297353CC}">
              <c16:uniqueId val="{0000000A-1F91-4A91-A830-CB31565141E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[HealthCare-assesment.xlsx]Pivot table! Staff Utilization Rate by Shift and Department</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 Staff Utilization Rate by Shift and </a:t>
            </a:r>
          </a:p>
          <a:p>
            <a:pPr>
              <a:defRPr/>
            </a:pPr>
            <a:r>
              <a:rPr lang="en-IN"/>
              <a:t>Department</a:t>
            </a:r>
          </a:p>
        </c:rich>
      </c:tx>
      <c:layout>
        <c:manualLayout>
          <c:xMode val="edge"/>
          <c:yMode val="edge"/>
          <c:x val="0.21698163244352683"/>
          <c:y val="2.7808990916824476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table'!$B$44:$B$45</c:f>
              <c:strCache>
                <c:ptCount val="1"/>
                <c:pt idx="0">
                  <c:v>Afternoon</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table'!$A$46:$A$52</c:f>
              <c:strCache>
                <c:ptCount val="6"/>
                <c:pt idx="0">
                  <c:v>Cardiology</c:v>
                </c:pt>
                <c:pt idx="1">
                  <c:v>Emergency</c:v>
                </c:pt>
                <c:pt idx="2">
                  <c:v>General Medicine</c:v>
                </c:pt>
                <c:pt idx="3">
                  <c:v>ICU</c:v>
                </c:pt>
                <c:pt idx="4">
                  <c:v>Neurology</c:v>
                </c:pt>
                <c:pt idx="5">
                  <c:v>Orthopedics</c:v>
                </c:pt>
              </c:strCache>
            </c:strRef>
          </c:cat>
          <c:val>
            <c:numRef>
              <c:f>'Pivot table'!$B$46:$B$52</c:f>
              <c:numCache>
                <c:formatCode>0.00%</c:formatCode>
                <c:ptCount val="6"/>
                <c:pt idx="0">
                  <c:v>0.74897660818713452</c:v>
                </c:pt>
                <c:pt idx="1">
                  <c:v>0.8035714285714286</c:v>
                </c:pt>
                <c:pt idx="2">
                  <c:v>0.79291666666666649</c:v>
                </c:pt>
                <c:pt idx="3">
                  <c:v>0.75736111111111115</c:v>
                </c:pt>
                <c:pt idx="4">
                  <c:v>0.73917748917748904</c:v>
                </c:pt>
                <c:pt idx="5">
                  <c:v>0.83405172413793105</c:v>
                </c:pt>
              </c:numCache>
            </c:numRef>
          </c:val>
          <c:extLst>
            <c:ext xmlns:c16="http://schemas.microsoft.com/office/drawing/2014/chart" uri="{C3380CC4-5D6E-409C-BE32-E72D297353CC}">
              <c16:uniqueId val="{00000000-0EBD-4685-B456-FEC3BF5477B1}"/>
            </c:ext>
          </c:extLst>
        </c:ser>
        <c:ser>
          <c:idx val="1"/>
          <c:order val="1"/>
          <c:tx>
            <c:strRef>
              <c:f>'Pivot table'!$C$44:$C$45</c:f>
              <c:strCache>
                <c:ptCount val="1"/>
                <c:pt idx="0">
                  <c:v>Morning</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table'!$A$46:$A$52</c:f>
              <c:strCache>
                <c:ptCount val="6"/>
                <c:pt idx="0">
                  <c:v>Cardiology</c:v>
                </c:pt>
                <c:pt idx="1">
                  <c:v>Emergency</c:v>
                </c:pt>
                <c:pt idx="2">
                  <c:v>General Medicine</c:v>
                </c:pt>
                <c:pt idx="3">
                  <c:v>ICU</c:v>
                </c:pt>
                <c:pt idx="4">
                  <c:v>Neurology</c:v>
                </c:pt>
                <c:pt idx="5">
                  <c:v>Orthopedics</c:v>
                </c:pt>
              </c:strCache>
            </c:strRef>
          </c:cat>
          <c:val>
            <c:numRef>
              <c:f>'Pivot table'!$C$46:$C$52</c:f>
              <c:numCache>
                <c:formatCode>0.00%</c:formatCode>
                <c:ptCount val="6"/>
                <c:pt idx="0">
                  <c:v>0.78741830065359475</c:v>
                </c:pt>
                <c:pt idx="1">
                  <c:v>0.83236111111111133</c:v>
                </c:pt>
                <c:pt idx="2">
                  <c:v>0.82103825136612008</c:v>
                </c:pt>
                <c:pt idx="3">
                  <c:v>0.79523809523809508</c:v>
                </c:pt>
                <c:pt idx="4">
                  <c:v>0.77898550724637661</c:v>
                </c:pt>
                <c:pt idx="5">
                  <c:v>0.69573170731707334</c:v>
                </c:pt>
              </c:numCache>
            </c:numRef>
          </c:val>
          <c:extLst>
            <c:ext xmlns:c16="http://schemas.microsoft.com/office/drawing/2014/chart" uri="{C3380CC4-5D6E-409C-BE32-E72D297353CC}">
              <c16:uniqueId val="{00000001-0EBD-4685-B456-FEC3BF5477B1}"/>
            </c:ext>
          </c:extLst>
        </c:ser>
        <c:ser>
          <c:idx val="2"/>
          <c:order val="2"/>
          <c:tx>
            <c:strRef>
              <c:f>'Pivot table'!$D$44:$D$45</c:f>
              <c:strCache>
                <c:ptCount val="1"/>
                <c:pt idx="0">
                  <c:v>Night</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table'!$A$46:$A$52</c:f>
              <c:strCache>
                <c:ptCount val="6"/>
                <c:pt idx="0">
                  <c:v>Cardiology</c:v>
                </c:pt>
                <c:pt idx="1">
                  <c:v>Emergency</c:v>
                </c:pt>
                <c:pt idx="2">
                  <c:v>General Medicine</c:v>
                </c:pt>
                <c:pt idx="3">
                  <c:v>ICU</c:v>
                </c:pt>
                <c:pt idx="4">
                  <c:v>Neurology</c:v>
                </c:pt>
                <c:pt idx="5">
                  <c:v>Orthopedics</c:v>
                </c:pt>
              </c:strCache>
            </c:strRef>
          </c:cat>
          <c:val>
            <c:numRef>
              <c:f>'Pivot table'!$D$46:$D$52</c:f>
              <c:numCache>
                <c:formatCode>0.00%</c:formatCode>
                <c:ptCount val="6"/>
                <c:pt idx="0">
                  <c:v>0.83976608187134505</c:v>
                </c:pt>
                <c:pt idx="1">
                  <c:v>0.77800000000000025</c:v>
                </c:pt>
                <c:pt idx="2">
                  <c:v>0.76263888888888887</c:v>
                </c:pt>
                <c:pt idx="3">
                  <c:v>0.73637566137566124</c:v>
                </c:pt>
                <c:pt idx="4">
                  <c:v>0.76950000000000007</c:v>
                </c:pt>
                <c:pt idx="5">
                  <c:v>0.77837837837837831</c:v>
                </c:pt>
              </c:numCache>
            </c:numRef>
          </c:val>
          <c:extLst>
            <c:ext xmlns:c16="http://schemas.microsoft.com/office/drawing/2014/chart" uri="{C3380CC4-5D6E-409C-BE32-E72D297353CC}">
              <c16:uniqueId val="{00000002-0EBD-4685-B456-FEC3BF5477B1}"/>
            </c:ext>
          </c:extLst>
        </c:ser>
        <c:dLbls>
          <c:dLblPos val="outEnd"/>
          <c:showLegendKey val="0"/>
          <c:showVal val="1"/>
          <c:showCatName val="0"/>
          <c:showSerName val="0"/>
          <c:showPercent val="0"/>
          <c:showBubbleSize val="0"/>
        </c:dLbls>
        <c:gapWidth val="444"/>
        <c:overlap val="-90"/>
        <c:axId val="2036339696"/>
        <c:axId val="2036351344"/>
      </c:barChart>
      <c:catAx>
        <c:axId val="2036339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36351344"/>
        <c:crosses val="autoZero"/>
        <c:auto val="1"/>
        <c:lblAlgn val="ctr"/>
        <c:lblOffset val="100"/>
        <c:noMultiLvlLbl val="0"/>
      </c:catAx>
      <c:valAx>
        <c:axId val="2036351344"/>
        <c:scaling>
          <c:orientation val="minMax"/>
        </c:scaling>
        <c:delete val="0"/>
        <c:axPos val="l"/>
        <c:numFmt formatCode="0.0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33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2</xdr:col>
      <xdr:colOff>111299</xdr:colOff>
      <xdr:row>12</xdr:row>
      <xdr:rowOff>46105</xdr:rowOff>
    </xdr:from>
    <xdr:to>
      <xdr:col>4</xdr:col>
      <xdr:colOff>774932</xdr:colOff>
      <xdr:row>23</xdr:row>
      <xdr:rowOff>53494</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394F4F50-56B4-4B24-8920-0060BB3E93A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05844" y="2170469"/>
              <a:ext cx="1825876" cy="1977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1423939</xdr:colOff>
      <xdr:row>44</xdr:row>
      <xdr:rowOff>123152</xdr:rowOff>
    </xdr:from>
    <xdr:ext cx="184731" cy="311496"/>
    <xdr:sp macro="" textlink="">
      <xdr:nvSpPr>
        <xdr:cNvPr id="4" name="TextBox 3">
          <a:extLst>
            <a:ext uri="{FF2B5EF4-FFF2-40B4-BE49-F238E27FC236}">
              <a16:creationId xmlns:a16="http://schemas.microsoft.com/office/drawing/2014/main" id="{F7B9138E-7252-4429-BEDE-987BD66044B1}"/>
            </a:ext>
          </a:extLst>
        </xdr:cNvPr>
        <xdr:cNvSpPr txBox="1"/>
      </xdr:nvSpPr>
      <xdr:spPr>
        <a:xfrm>
          <a:off x="11830242" y="7958667"/>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4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527538</xdr:colOff>
      <xdr:row>77</xdr:row>
      <xdr:rowOff>19538</xdr:rowOff>
    </xdr:to>
    <xdr:sp macro="" textlink="">
      <xdr:nvSpPr>
        <xdr:cNvPr id="3" name="Rectangle 2">
          <a:extLst>
            <a:ext uri="{FF2B5EF4-FFF2-40B4-BE49-F238E27FC236}">
              <a16:creationId xmlns:a16="http://schemas.microsoft.com/office/drawing/2014/main" id="{748F68E6-AF51-41A4-BC80-FACE0A89E6C0}"/>
            </a:ext>
          </a:extLst>
        </xdr:cNvPr>
        <xdr:cNvSpPr/>
      </xdr:nvSpPr>
      <xdr:spPr>
        <a:xfrm>
          <a:off x="0" y="0"/>
          <a:ext cx="19970828" cy="13268506"/>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175260</xdr:colOff>
      <xdr:row>1</xdr:row>
      <xdr:rowOff>45720</xdr:rowOff>
    </xdr:from>
    <xdr:to>
      <xdr:col>5</xdr:col>
      <xdr:colOff>929640</xdr:colOff>
      <xdr:row>16</xdr:row>
      <xdr:rowOff>121920</xdr:rowOff>
    </xdr:to>
    <xdr:graphicFrame macro="">
      <xdr:nvGraphicFramePr>
        <xdr:cNvPr id="2" name="Chart 1">
          <a:extLst>
            <a:ext uri="{FF2B5EF4-FFF2-40B4-BE49-F238E27FC236}">
              <a16:creationId xmlns:a16="http://schemas.microsoft.com/office/drawing/2014/main" id="{315BF58F-CBC7-4487-8C1F-61692C05E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1211580</xdr:colOff>
      <xdr:row>1</xdr:row>
      <xdr:rowOff>76200</xdr:rowOff>
    </xdr:from>
    <xdr:to>
      <xdr:col>13</xdr:col>
      <xdr:colOff>167640</xdr:colOff>
      <xdr:row>16</xdr:row>
      <xdr:rowOff>137160</xdr:rowOff>
    </xdr:to>
    <xdr:graphicFrame macro="">
      <xdr:nvGraphicFramePr>
        <xdr:cNvPr id="4" name="Chart 3">
          <a:extLst>
            <a:ext uri="{FF2B5EF4-FFF2-40B4-BE49-F238E27FC236}">
              <a16:creationId xmlns:a16="http://schemas.microsoft.com/office/drawing/2014/main" id="{9F2678BE-6AD8-402A-989E-9F0FD67E3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472440</xdr:colOff>
      <xdr:row>1</xdr:row>
      <xdr:rowOff>76200</xdr:rowOff>
    </xdr:from>
    <xdr:to>
      <xdr:col>23</xdr:col>
      <xdr:colOff>16565</xdr:colOff>
      <xdr:row>16</xdr:row>
      <xdr:rowOff>140804</xdr:rowOff>
    </xdr:to>
    <xdr:graphicFrame macro="">
      <xdr:nvGraphicFramePr>
        <xdr:cNvPr id="5" name="Chart 4">
          <a:extLst>
            <a:ext uri="{FF2B5EF4-FFF2-40B4-BE49-F238E27FC236}">
              <a16:creationId xmlns:a16="http://schemas.microsoft.com/office/drawing/2014/main" id="{BBEC5800-3EB7-401C-BA34-76A3C0CBB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106857</xdr:colOff>
      <xdr:row>19</xdr:row>
      <xdr:rowOff>127201</xdr:rowOff>
    </xdr:from>
    <xdr:to>
      <xdr:col>5</xdr:col>
      <xdr:colOff>858388</xdr:colOff>
      <xdr:row>35</xdr:row>
      <xdr:rowOff>25008</xdr:rowOff>
    </xdr:to>
    <xdr:graphicFrame macro="">
      <xdr:nvGraphicFramePr>
        <xdr:cNvPr id="6" name="Chart 5">
          <a:extLst>
            <a:ext uri="{FF2B5EF4-FFF2-40B4-BE49-F238E27FC236}">
              <a16:creationId xmlns:a16="http://schemas.microsoft.com/office/drawing/2014/main" id="{73484D63-9153-4C8D-939C-999370E63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1126579</xdr:colOff>
      <xdr:row>19</xdr:row>
      <xdr:rowOff>151545</xdr:rowOff>
    </xdr:from>
    <xdr:to>
      <xdr:col>13</xdr:col>
      <xdr:colOff>113943</xdr:colOff>
      <xdr:row>35</xdr:row>
      <xdr:rowOff>35608</xdr:rowOff>
    </xdr:to>
    <xdr:graphicFrame macro="">
      <xdr:nvGraphicFramePr>
        <xdr:cNvPr id="7" name="Chart 6">
          <a:extLst>
            <a:ext uri="{FF2B5EF4-FFF2-40B4-BE49-F238E27FC236}">
              <a16:creationId xmlns:a16="http://schemas.microsoft.com/office/drawing/2014/main" id="{0AF4D812-C1DF-40E7-BAF0-DD197F75E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448917</xdr:colOff>
      <xdr:row>19</xdr:row>
      <xdr:rowOff>162340</xdr:rowOff>
    </xdr:from>
    <xdr:to>
      <xdr:col>22</xdr:col>
      <xdr:colOff>662608</xdr:colOff>
      <xdr:row>35</xdr:row>
      <xdr:rowOff>74544</xdr:rowOff>
    </xdr:to>
    <xdr:graphicFrame macro="">
      <xdr:nvGraphicFramePr>
        <xdr:cNvPr id="8" name="Chart 7">
          <a:extLst>
            <a:ext uri="{FF2B5EF4-FFF2-40B4-BE49-F238E27FC236}">
              <a16:creationId xmlns:a16="http://schemas.microsoft.com/office/drawing/2014/main" id="{5A7504B7-9047-4AD1-8667-C7839EBA1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25164</xdr:colOff>
      <xdr:row>56</xdr:row>
      <xdr:rowOff>97945</xdr:rowOff>
    </xdr:from>
    <xdr:to>
      <xdr:col>5</xdr:col>
      <xdr:colOff>822935</xdr:colOff>
      <xdr:row>72</xdr:row>
      <xdr:rowOff>13538</xdr:rowOff>
    </xdr:to>
    <xdr:graphicFrame macro="">
      <xdr:nvGraphicFramePr>
        <xdr:cNvPr id="10" name="Chart 9">
          <a:extLst>
            <a:ext uri="{FF2B5EF4-FFF2-40B4-BE49-F238E27FC236}">
              <a16:creationId xmlns:a16="http://schemas.microsoft.com/office/drawing/2014/main" id="{AF2BB73D-062F-46C5-9545-D58F20E2A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355223</xdr:colOff>
      <xdr:row>37</xdr:row>
      <xdr:rowOff>89247</xdr:rowOff>
    </xdr:from>
    <xdr:to>
      <xdr:col>22</xdr:col>
      <xdr:colOff>618434</xdr:colOff>
      <xdr:row>53</xdr:row>
      <xdr:rowOff>21236</xdr:rowOff>
    </xdr:to>
    <xdr:graphicFrame macro="">
      <xdr:nvGraphicFramePr>
        <xdr:cNvPr id="9" name="Chart 8">
          <a:extLst>
            <a:ext uri="{FF2B5EF4-FFF2-40B4-BE49-F238E27FC236}">
              <a16:creationId xmlns:a16="http://schemas.microsoft.com/office/drawing/2014/main" id="{C67F4776-15BA-42EE-A458-062F2077E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102622</xdr:colOff>
      <xdr:row>37</xdr:row>
      <xdr:rowOff>75395</xdr:rowOff>
    </xdr:from>
    <xdr:to>
      <xdr:col>5</xdr:col>
      <xdr:colOff>846667</xdr:colOff>
      <xdr:row>52</xdr:row>
      <xdr:rowOff>156298</xdr:rowOff>
    </xdr:to>
    <xdr:graphicFrame macro="">
      <xdr:nvGraphicFramePr>
        <xdr:cNvPr id="12" name="Chart 11">
          <a:extLst>
            <a:ext uri="{FF2B5EF4-FFF2-40B4-BE49-F238E27FC236}">
              <a16:creationId xmlns:a16="http://schemas.microsoft.com/office/drawing/2014/main" id="{FA865244-41F2-48E3-82B4-ADA5DEB9E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1116059</xdr:colOff>
      <xdr:row>37</xdr:row>
      <xdr:rowOff>92363</xdr:rowOff>
    </xdr:from>
    <xdr:to>
      <xdr:col>13</xdr:col>
      <xdr:colOff>38484</xdr:colOff>
      <xdr:row>52</xdr:row>
      <xdr:rowOff>177029</xdr:rowOff>
    </xdr:to>
    <xdr:graphicFrame macro="">
      <xdr:nvGraphicFramePr>
        <xdr:cNvPr id="13" name="Chart 12">
          <a:extLst>
            <a:ext uri="{FF2B5EF4-FFF2-40B4-BE49-F238E27FC236}">
              <a16:creationId xmlns:a16="http://schemas.microsoft.com/office/drawing/2014/main" id="{9D6AFDF5-D272-44FB-9087-B18C64048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xdr:colOff>
      <xdr:row>0</xdr:row>
      <xdr:rowOff>0</xdr:rowOff>
    </xdr:from>
    <xdr:to>
      <xdr:col>3</xdr:col>
      <xdr:colOff>677086</xdr:colOff>
      <xdr:row>6</xdr:row>
      <xdr:rowOff>114461</xdr:rowOff>
    </xdr:to>
    <xdr:sp macro="" textlink="">
      <xdr:nvSpPr>
        <xdr:cNvPr id="15" name="Rectangle: Rounded Corners 14">
          <a:extLst>
            <a:ext uri="{FF2B5EF4-FFF2-40B4-BE49-F238E27FC236}">
              <a16:creationId xmlns:a16="http://schemas.microsoft.com/office/drawing/2014/main" id="{B6F5CE6B-695B-4DC0-8E49-106B12C6B054}"/>
            </a:ext>
          </a:extLst>
        </xdr:cNvPr>
        <xdr:cNvSpPr/>
      </xdr:nvSpPr>
      <xdr:spPr>
        <a:xfrm>
          <a:off x="1" y="0"/>
          <a:ext cx="3602182" cy="1146848"/>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400"/>
            <a:t>How many emergency cases were handled :-</a:t>
          </a:r>
        </a:p>
      </xdr:txBody>
    </xdr:sp>
    <xdr:clientData/>
  </xdr:twoCellAnchor>
  <xdr:twoCellAnchor>
    <xdr:from>
      <xdr:col>6</xdr:col>
      <xdr:colOff>503902</xdr:colOff>
      <xdr:row>57</xdr:row>
      <xdr:rowOff>172062</xdr:rowOff>
    </xdr:from>
    <xdr:to>
      <xdr:col>10</xdr:col>
      <xdr:colOff>294967</xdr:colOff>
      <xdr:row>69</xdr:row>
      <xdr:rowOff>110612</xdr:rowOff>
    </xdr:to>
    <xdr:sp macro="" textlink="">
      <xdr:nvSpPr>
        <xdr:cNvPr id="16" name="Rectangle: Rounded Corners 15">
          <a:extLst>
            <a:ext uri="{FF2B5EF4-FFF2-40B4-BE49-F238E27FC236}">
              <a16:creationId xmlns:a16="http://schemas.microsoft.com/office/drawing/2014/main" id="{352460FE-598D-4294-8F4C-F28FFF08B92E}"/>
            </a:ext>
          </a:extLst>
        </xdr:cNvPr>
        <xdr:cNvSpPr/>
      </xdr:nvSpPr>
      <xdr:spPr>
        <a:xfrm>
          <a:off x="7152967" y="9979739"/>
          <a:ext cx="3797710" cy="200332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1800"/>
            <a:t>How many emergency cases were handled :-</a:t>
          </a:r>
        </a:p>
        <a:p>
          <a:pPr algn="l"/>
          <a:endParaRPr lang="en-IN" sz="1800"/>
        </a:p>
        <a:p>
          <a:r>
            <a:rPr lang="en-IN" sz="1800" b="1" i="0">
              <a:solidFill>
                <a:schemeClr val="dk1"/>
              </a:solidFill>
              <a:effectLst/>
              <a:latin typeface="+mn-lt"/>
              <a:ea typeface="+mn-ea"/>
              <a:cs typeface="+mn-cs"/>
            </a:rPr>
            <a:t>Case Type</a:t>
          </a:r>
          <a:r>
            <a:rPr lang="en-IN" sz="1800">
              <a:solidFill>
                <a:schemeClr val="dk1"/>
              </a:solidFill>
              <a:effectLst/>
              <a:latin typeface="+mn-lt"/>
              <a:ea typeface="+mn-ea"/>
              <a:cs typeface="+mn-cs"/>
            </a:rPr>
            <a:t>         </a:t>
          </a:r>
          <a:r>
            <a:rPr lang="en-IN" sz="1800" b="1" i="0">
              <a:solidFill>
                <a:schemeClr val="dk1"/>
              </a:solidFill>
              <a:effectLst/>
              <a:latin typeface="+mn-lt"/>
              <a:ea typeface="+mn-ea"/>
              <a:cs typeface="+mn-cs"/>
            </a:rPr>
            <a:t>Count of Patient ID</a:t>
          </a:r>
          <a:r>
            <a:rPr lang="en-IN" sz="1800">
              <a:solidFill>
                <a:schemeClr val="dk1"/>
              </a:solidFill>
              <a:effectLst/>
              <a:latin typeface="+mn-lt"/>
              <a:ea typeface="+mn-ea"/>
              <a:cs typeface="+mn-cs"/>
            </a:rPr>
            <a:t> </a:t>
          </a:r>
          <a:endParaRPr lang="en-IN" sz="1800">
            <a:effectLst/>
          </a:endParaRPr>
        </a:p>
        <a:p>
          <a:r>
            <a:rPr lang="en-IN" sz="1800" b="0" i="0">
              <a:solidFill>
                <a:schemeClr val="dk1"/>
              </a:solidFill>
              <a:effectLst/>
              <a:latin typeface="+mn-lt"/>
              <a:ea typeface="+mn-ea"/>
              <a:cs typeface="+mn-cs"/>
            </a:rPr>
            <a:t>Emergency</a:t>
          </a:r>
          <a:r>
            <a:rPr lang="en-IN" sz="1800">
              <a:solidFill>
                <a:schemeClr val="dk1"/>
              </a:solidFill>
              <a:effectLst/>
              <a:latin typeface="+mn-lt"/>
              <a:ea typeface="+mn-ea"/>
              <a:cs typeface="+mn-cs"/>
            </a:rPr>
            <a:t>                       </a:t>
          </a:r>
          <a:r>
            <a:rPr lang="en-IN" sz="1800" b="0" i="0">
              <a:solidFill>
                <a:schemeClr val="dk1"/>
              </a:solidFill>
              <a:effectLst/>
              <a:latin typeface="+mn-lt"/>
              <a:ea typeface="+mn-ea"/>
              <a:cs typeface="+mn-cs"/>
            </a:rPr>
            <a:t>299</a:t>
          </a:r>
          <a:r>
            <a:rPr lang="en-IN" sz="1800">
              <a:solidFill>
                <a:schemeClr val="dk1"/>
              </a:solidFill>
              <a:effectLst/>
              <a:latin typeface="+mn-lt"/>
              <a:ea typeface="+mn-ea"/>
              <a:cs typeface="+mn-cs"/>
            </a:rPr>
            <a:t> </a:t>
          </a:r>
          <a:endParaRPr lang="en-IN" sz="1800">
            <a:effectLst/>
          </a:endParaRPr>
        </a:p>
        <a:p>
          <a:pPr algn="l"/>
          <a:endParaRPr lang="en-IN" sz="1800"/>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5.388359490738" backgroundQuery="1" createdVersion="7" refreshedVersion="7" minRefreshableVersion="3" recordCount="0" supportSubquery="1" supportAdvancedDrill="1" xr:uid="{A1BC95EC-4DE2-4F41-8919-D9562314CD3E}">
  <cacheSource type="external" connectionId="1"/>
  <cacheFields count="3">
    <cacheField name="[Table1].[Department].[Department]" caption="Department" numFmtId="0" hierarchy="3" level="1">
      <sharedItems count="6">
        <s v="Cardiology"/>
        <s v="Emergency"/>
        <s v="General Medicine"/>
        <s v="ICU"/>
        <s v="Neurology"/>
        <s v="Orthopedics"/>
      </sharedItems>
    </cacheField>
    <cacheField name="[Measures].[Count of Patient ID]" caption="Count of Patient ID" numFmtId="0" hierarchy="26" level="32767"/>
    <cacheField name="[Measures].[Distinct Count of Doctor]" caption="Distinct Count of Doctor" numFmtId="0" hierarchy="27" level="32767"/>
  </cacheFields>
  <cacheHierarchies count="28">
    <cacheHierarchy uniqueName="[Table1].[Patient ID]" caption="Patient ID" attribute="1" defaultMemberUniqueName="[Table1].[Patient ID].[All]" allUniqueName="[Table1].[Patient I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Admission Date]" caption="Admission Date" attribute="1" time="1" defaultMemberUniqueName="[Table1].[Admission Date].[All]" allUniqueName="[Table1].[Admission Date].[All]" dimensionUniqueName="[Table1]" displayFolder="" count="0" memberValueDatatype="7" unbalanced="0"/>
    <cacheHierarchy uniqueName="[Table1].[Discharge Date]" caption="Discharge Date" attribute="1" time="1" defaultMemberUniqueName="[Table1].[Discharge Date].[All]" allUniqueName="[Table1].[Discharge Date].[All]" dimensionUniqueName="[Table1]" displayFolder="" count="0" memberValueDatatype="7" unbalanced="0"/>
    <cacheHierarchy uniqueName="[Table1].[Stay Duration (days)]" caption="Stay Duration (days)" attribute="1" defaultMemberUniqueName="[Table1].[Stay Duration (days)].[All]" allUniqueName="[Table1].[Stay Duration (days)].[All]" dimensionUniqueName="[Table1]" displayFolder="" count="0" memberValueDatatype="20" unbalanced="0"/>
    <cacheHierarchy uniqueName="[Table1].[Disease/Condition]" caption="Disease/Condition" attribute="1" defaultMemberUniqueName="[Table1].[Disease/Condition].[All]" allUniqueName="[Table1].[Disease/Condition].[All]" dimensionUniqueName="[Table1]" displayFolder="" count="0" memberValueDatatype="130" unbalanced="0"/>
    <cacheHierarchy uniqueName="[Table1].[Satisfaction Score]" caption="Satisfaction Score" attribute="1" defaultMemberUniqueName="[Table1].[Satisfaction Score].[All]" allUniqueName="[Table1].[Satisfaction Score].[All]" dimensionUniqueName="[Table1]" displayFolder="" count="0" memberValueDatatype="20" unbalanced="0"/>
    <cacheHierarchy uniqueName="[Table1].[Doctor]" caption="Doctor" attribute="1" defaultMemberUniqueName="[Table1].[Doctor].[All]" allUniqueName="[Table1].[Doctor].[All]" dimensionUniqueName="[Table1]" displayFolder="" count="0" memberValueDatatype="130" unbalanced="0"/>
    <cacheHierarchy uniqueName="[Table1].[Treatment Cost]" caption="Treatment Cost" attribute="1" defaultMemberUniqueName="[Table1].[Treatment Cost].[All]" allUniqueName="[Table1].[Treatment Cost].[All]" dimensionUniqueName="[Table1]" displayFolder="" count="0" memberValueDatatype="20" unbalanced="0"/>
    <cacheHierarchy uniqueName="[Table1].[Medication]" caption="Medication" attribute="1" defaultMemberUniqueName="[Table1].[Medication].[All]" allUniqueName="[Table1].[Medication].[All]" dimensionUniqueName="[Table1]" displayFolder="" count="0" memberValueDatatype="130" unbalanced="0"/>
    <cacheHierarchy uniqueName="[Table1].[Has Insurance]" caption="Has Insurance" attribute="1" defaultMemberUniqueName="[Table1].[Has Insurance].[All]" allUniqueName="[Table1].[Has Insurance].[All]" dimensionUniqueName="[Table1]" displayFolder="" count="0" memberValueDatatype="130" unbalanced="0"/>
    <cacheHierarchy uniqueName="[Table1].[Case Type]" caption="Case Type" attribute="1" defaultMemberUniqueName="[Table1].[Case Type].[All]" allUniqueName="[Table1].[Case Type].[All]" dimensionUniqueName="[Table1]" displayFolder="" count="0" memberValueDatatype="130" unbalanced="0"/>
    <cacheHierarchy uniqueName="[Table1].[Appointment Date]" caption="Appointment Date" attribute="1" time="1" defaultMemberUniqueName="[Table1].[Appointment Date].[All]" allUniqueName="[Table1].[Appointment Date].[All]" dimensionUniqueName="[Table1]" displayFolder="" count="0" memberValueDatatype="7" unbalanced="0"/>
    <cacheHierarchy uniqueName="[Table1].[Consultation Date]" caption="Consultation Date" attribute="1" time="1" defaultMemberUniqueName="[Table1].[Consultation Date].[All]" allUniqueName="[Table1].[Consultation Date].[All]" dimensionUniqueName="[Table1]" displayFolder="" count="0" memberValueDatatype="7" unbalanced="0"/>
    <cacheHierarchy uniqueName="[Table1].[Waiting Time]" caption="Waiting Time" attribute="1" time="1" defaultMemberUniqueName="[Table1].[Waiting Time].[All]" allUniqueName="[Table1].[Waiting Time].[All]" dimensionUniqueName="[Table1]" displayFolder="" count="0" memberValueDatatype="7" unbalanced="0"/>
    <cacheHierarchy uniqueName="[Table1].[Test Type]" caption="Test Type" attribute="1" defaultMemberUniqueName="[Table1].[Test Type].[All]" allUniqueName="[Table1].[Test Type].[All]" dimensionUniqueName="[Table1]" displayFolder="" count="0" memberValueDatatype="130" unbalanced="0"/>
    <cacheHierarchy uniqueName="[Table1].[Test Result]" caption="Test Result" attribute="1" defaultMemberUniqueName="[Table1].[Test Result].[All]" allUniqueName="[Table1].[Test Result].[All]" dimensionUniqueName="[Table1]" displayFolder="" count="0" memberValueDatatype="130" unbalanced="0"/>
    <cacheHierarchy uniqueName="[Table1].[Shift]" caption="Shift" attribute="1" defaultMemberUniqueName="[Table1].[Shift].[All]" allUniqueName="[Table1].[Shift].[All]" dimensionUniqueName="[Table1]" displayFolder="" count="0" memberValueDatatype="130" unbalanced="0"/>
    <cacheHierarchy uniqueName="[Table1].[Staff Hours Worked]" caption="Staff Hours Worked" attribute="1" defaultMemberUniqueName="[Table1].[Staff Hours Worked].[All]" allUniqueName="[Table1].[Staff Hours Worked].[All]" dimensionUniqueName="[Table1]" displayFolder="" count="0" memberValueDatatype="20" unbalanced="0"/>
    <cacheHierarchy uniqueName="[Table1].[Staff Available Hours]" caption="Staff Available Hours" attribute="1" defaultMemberUniqueName="[Table1].[Staff Available Hours].[All]" allUniqueName="[Table1].[Staff Available Hours].[All]" dimensionUniqueName="[Table1]" displayFolder="" count="0" memberValueDatatype="20" unbalanced="0"/>
    <cacheHierarchy uniqueName="[Table1].[Treatment Plan]" caption="Treatment Plan" attribute="1" defaultMemberUniqueName="[Table1].[Treatment Plan].[All]" allUniqueName="[Table1].[Treatment Pla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Doctor]" caption="Count of Doctor" measure="1" displayFolder="" measureGroup="Table1" count="0" hidden="1">
      <extLst>
        <ext xmlns:x15="http://schemas.microsoft.com/office/spreadsheetml/2010/11/main" uri="{B97F6D7D-B522-45F9-BDA1-12C45D357490}">
          <x15:cacheHierarchy aggregatedColumn="9"/>
        </ext>
      </extLst>
    </cacheHierarchy>
    <cacheHierarchy uniqueName="[Measures].[Count of Patient ID]" caption="Count of Patient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Doctor]" caption="Distinct Count of Doctor"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6.47915983796" createdVersion="7" refreshedVersion="7" minRefreshableVersion="3" recordCount="1000" xr:uid="{7D611D38-E299-4D4C-8F26-DB7827703B7A}">
  <cacheSource type="worksheet">
    <worksheetSource name="Table1"/>
  </cacheSource>
  <cacheFields count="26">
    <cacheField name="Patient ID" numFmtId="0">
      <sharedItems/>
    </cacheField>
    <cacheField name="Age" numFmtId="0">
      <sharedItems containsSemiMixedTypes="0" containsString="0" containsNumber="1" containsInteger="1" minValue="1" maxValue="89"/>
    </cacheField>
    <cacheField name="Age Group" numFmtId="0">
      <sharedItems count="5">
        <s v="51-65"/>
        <s v="0-18"/>
        <s v="65+"/>
        <s v="19-35"/>
        <s v="36-50"/>
      </sharedItems>
    </cacheField>
    <cacheField name="Department" numFmtId="0">
      <sharedItems count="6">
        <s v="Neurology"/>
        <s v="ICU"/>
        <s v="General Medicine"/>
        <s v="Emergency"/>
        <s v="Cardiology"/>
        <s v="Orthopedics"/>
      </sharedItems>
    </cacheField>
    <cacheField name="Admission Date" numFmtId="14">
      <sharedItems containsSemiMixedTypes="0" containsNonDate="0" containsDate="1" containsString="0" minDate="2023-01-01T00:00:00" maxDate="2024-12-06T00:00:00" count="470">
        <d v="2023-04-25T00:00:00"/>
        <d v="2023-01-26T00:00:00"/>
        <d v="2023-09-10T00:00:00"/>
        <d v="2023-08-09T00:00:00"/>
        <d v="2023-08-17T00:00:00"/>
        <d v="2023-05-23T00:00:00"/>
        <d v="2023-04-15T00:00:00"/>
        <d v="2023-03-31T00:00:00"/>
        <d v="2024-08-03T00:00:00"/>
        <d v="2023-02-02T00:00:00"/>
        <d v="2023-01-31T00:00:00"/>
        <d v="2023-06-04T00:00:00"/>
        <d v="2023-12-08T00:00:00"/>
        <d v="2023-08-27T00:00:00"/>
        <d v="2024-01-06T00:00:00"/>
        <d v="2023-01-28T00:00:00"/>
        <d v="2023-07-23T00:00:00"/>
        <d v="2024-05-03T00:00:00"/>
        <d v="2023-08-14T00:00:00"/>
        <d v="2024-04-04T00:00:00"/>
        <d v="2023-12-10T00:00:00"/>
        <d v="2023-07-01T00:00:00"/>
        <d v="2023-06-13T00:00:00"/>
        <d v="2023-12-15T00:00:00"/>
        <d v="2023-09-06T00:00:00"/>
        <d v="2023-09-08T00:00:00"/>
        <d v="2023-11-12T00:00:00"/>
        <d v="2023-05-04T00:00:00"/>
        <d v="2024-01-25T00:00:00"/>
        <d v="2023-10-04T00:00:00"/>
        <d v="2024-03-01T00:00:00"/>
        <d v="2023-12-19T00:00:00"/>
        <d v="2023-09-28T00:00:00"/>
        <d v="2023-02-14T00:00:00"/>
        <d v="2024-04-15T00:00:00"/>
        <d v="2023-08-05T00:00:00"/>
        <d v="2024-01-23T00:00:00"/>
        <d v="2023-03-22T00:00:00"/>
        <d v="2023-10-28T00:00:00"/>
        <d v="2024-06-01T00:00:00"/>
        <d v="2023-07-16T00:00:00"/>
        <d v="2023-03-13T00:00:00"/>
        <d v="2023-02-16T00:00:00"/>
        <d v="2023-08-22T00:00:00"/>
        <d v="2023-10-24T00:00:00"/>
        <d v="2023-03-23T00:00:00"/>
        <d v="2023-04-14T00:00:00"/>
        <d v="2024-09-04T00:00:00"/>
        <d v="2024-09-01T00:00:00"/>
        <d v="2023-06-16T00:00:00"/>
        <d v="2024-01-15T00:00:00"/>
        <d v="2023-12-30T00:00:00"/>
        <d v="2023-03-08T00:00:00"/>
        <d v="2023-01-10T00:00:00"/>
        <d v="2023-03-15T00:00:00"/>
        <d v="2023-06-25T00:00:00"/>
        <d v="2023-06-17T00:00:00"/>
        <d v="2024-04-18T00:00:00"/>
        <d v="2024-01-24T00:00:00"/>
        <d v="2023-04-10T00:00:00"/>
        <d v="2023-08-13T00:00:00"/>
        <d v="2023-11-29T00:00:00"/>
        <d v="2023-02-27T00:00:00"/>
        <d v="2023-08-23T00:00:00"/>
        <d v="2023-11-20T00:00:00"/>
        <d v="2024-02-15T00:00:00"/>
        <d v="2023-02-10T00:00:00"/>
        <d v="2023-09-03T00:00:00"/>
        <d v="2023-05-08T00:00:00"/>
        <d v="2023-11-19T00:00:00"/>
        <d v="2023-06-08T00:00:00"/>
        <d v="2024-05-26T00:00:00"/>
        <d v="2024-10-02T00:00:00"/>
        <d v="2024-04-14T00:00:00"/>
        <d v="2023-05-27T00:00:00"/>
        <d v="2023-09-29T00:00:00"/>
        <d v="2023-10-09T00:00:00"/>
        <d v="2023-09-27T00:00:00"/>
        <d v="2024-03-14T00:00:00"/>
        <d v="2024-02-13T00:00:00"/>
        <d v="2023-05-22T00:00:00"/>
        <d v="2024-05-06T00:00:00"/>
        <d v="2024-05-20T00:00:00"/>
        <d v="2023-04-04T00:00:00"/>
        <d v="2023-02-18T00:00:00"/>
        <d v="2023-04-23T00:00:00"/>
        <d v="2023-06-06T00:00:00"/>
        <d v="2023-07-03T00:00:00"/>
        <d v="2024-01-30T00:00:00"/>
        <d v="2024-01-26T00:00:00"/>
        <d v="2024-04-24T00:00:00"/>
        <d v="2023-09-15T00:00:00"/>
        <d v="2023-12-01T00:00:00"/>
        <d v="2023-04-28T00:00:00"/>
        <d v="2024-03-21T00:00:00"/>
        <d v="2023-11-06T00:00:00"/>
        <d v="2023-04-01T00:00:00"/>
        <d v="2024-05-27T00:00:00"/>
        <d v="2023-02-07T00:00:00"/>
        <d v="2024-03-06T00:00:00"/>
        <d v="2023-04-19T00:00:00"/>
        <d v="2023-02-11T00:00:00"/>
        <d v="2024-01-18T00:00:00"/>
        <d v="2023-06-15T00:00:00"/>
        <d v="2023-01-01T00:00:00"/>
        <d v="2023-11-28T00:00:00"/>
        <d v="2024-05-15T00:00:00"/>
        <d v="2023-01-20T00:00:00"/>
        <d v="2024-07-01T00:00:00"/>
        <d v="2023-11-11T00:00:00"/>
        <d v="2023-03-09T00:00:00"/>
        <d v="2023-01-03T00:00:00"/>
        <d v="2023-04-09T00:00:00"/>
        <d v="2023-03-29T00:00:00"/>
        <d v="2024-12-05T00:00:00"/>
        <d v="2023-12-03T00:00:00"/>
        <d v="2023-09-05T00:00:00"/>
        <d v="2023-12-05T00:00:00"/>
        <d v="2024-01-05T00:00:00"/>
        <d v="2023-06-19T00:00:00"/>
        <d v="2024-06-24T00:00:00"/>
        <d v="2024-09-03T00:00:00"/>
        <d v="2023-07-25T00:00:00"/>
        <d v="2023-11-16T00:00:00"/>
        <d v="2024-03-24T00:00:00"/>
        <d v="2024-06-13T00:00:00"/>
        <d v="2024-07-04T00:00:00"/>
        <d v="2023-04-05T00:00:00"/>
        <d v="2023-11-09T00:00:00"/>
        <d v="2023-08-19T00:00:00"/>
        <d v="2023-12-13T00:00:00"/>
        <d v="2023-01-22T00:00:00"/>
        <d v="2023-08-24T00:00:00"/>
        <d v="2023-08-01T00:00:00"/>
        <d v="2023-03-14T00:00:00"/>
        <d v="2023-02-03T00:00:00"/>
        <d v="2023-11-03T00:00:00"/>
        <d v="2023-05-12T00:00:00"/>
        <d v="2024-10-06T00:00:00"/>
        <d v="2023-01-09T00:00:00"/>
        <d v="2023-10-13T00:00:00"/>
        <d v="2023-08-08T00:00:00"/>
        <d v="2023-05-16T00:00:00"/>
        <d v="2024-04-29T00:00:00"/>
        <d v="2023-06-09T00:00:00"/>
        <d v="2024-02-21T00:00:00"/>
        <d v="2023-07-14T00:00:00"/>
        <d v="2023-07-04T00:00:00"/>
        <d v="2024-03-17T00:00:00"/>
        <d v="2023-12-29T00:00:00"/>
        <d v="2024-02-25T00:00:00"/>
        <d v="2024-04-23T00:00:00"/>
        <d v="2023-02-25T00:00:00"/>
        <d v="2023-11-04T00:00:00"/>
        <d v="2023-04-03T00:00:00"/>
        <d v="2024-02-17T00:00:00"/>
        <d v="2023-12-14T00:00:00"/>
        <d v="2023-04-22T00:00:00"/>
        <d v="2023-12-09T00:00:00"/>
        <d v="2023-05-24T00:00:00"/>
        <d v="2023-07-07T00:00:00"/>
        <d v="2023-09-13T00:00:00"/>
        <d v="2023-03-19T00:00:00"/>
        <d v="2024-03-29T00:00:00"/>
        <d v="2023-02-21T00:00:00"/>
        <d v="2023-01-16T00:00:00"/>
        <d v="2023-08-31T00:00:00"/>
        <d v="2023-06-20T00:00:00"/>
        <d v="2024-07-05T00:00:00"/>
        <d v="2023-07-08T00:00:00"/>
        <d v="2023-06-18T00:00:00"/>
        <d v="2023-03-01T00:00:00"/>
        <d v="2024-04-02T00:00:00"/>
        <d v="2024-10-04T00:00:00"/>
        <d v="2023-10-20T00:00:00"/>
        <d v="2024-05-13T00:00:00"/>
        <d v="2023-08-06T00:00:00"/>
        <d v="2023-10-31T00:00:00"/>
        <d v="2023-11-08T00:00:00"/>
        <d v="2023-11-18T00:00:00"/>
        <d v="2023-02-28T00:00:00"/>
        <d v="2024-03-05T00:00:00"/>
        <d v="2024-05-29T00:00:00"/>
        <d v="2024-04-06T00:00:00"/>
        <d v="2023-03-24T00:00:00"/>
        <d v="2023-10-07T00:00:00"/>
        <d v="2023-08-29T00:00:00"/>
        <d v="2024-02-18T00:00:00"/>
        <d v="2023-03-05T00:00:00"/>
        <d v="2023-10-02T00:00:00"/>
        <d v="2023-03-25T00:00:00"/>
        <d v="2024-06-19T00:00:00"/>
        <d v="2023-09-25T00:00:00"/>
        <d v="2023-07-29T00:00:00"/>
        <d v="2023-02-09T00:00:00"/>
        <d v="2023-05-15T00:00:00"/>
        <d v="2023-04-11T00:00:00"/>
        <d v="2024-04-13T00:00:00"/>
        <d v="2023-03-16T00:00:00"/>
        <d v="2023-10-01T00:00:00"/>
        <d v="2023-04-13T00:00:00"/>
        <d v="2023-03-17T00:00:00"/>
        <d v="2024-02-06T00:00:00"/>
        <d v="2023-12-24T00:00:00"/>
        <d v="2024-01-14T00:00:00"/>
        <d v="2023-10-19T00:00:00"/>
        <d v="2023-06-11T00:00:00"/>
        <d v="2023-09-01T00:00:00"/>
        <d v="2023-03-11T00:00:00"/>
        <d v="2023-04-17T00:00:00"/>
        <d v="2023-05-18T00:00:00"/>
        <d v="2023-04-29T00:00:00"/>
        <d v="2023-04-20T00:00:00"/>
        <d v="2023-06-10T00:00:00"/>
        <d v="2023-10-16T00:00:00"/>
        <d v="2023-04-08T00:00:00"/>
        <d v="2023-12-18T00:00:00"/>
        <d v="2023-07-28T00:00:00"/>
        <d v="2023-02-22T00:00:00"/>
        <d v="2023-11-10T00:00:00"/>
        <d v="2023-02-15T00:00:00"/>
        <d v="2023-08-12T00:00:00"/>
        <d v="2023-05-14T00:00:00"/>
        <d v="2023-09-26T00:00:00"/>
        <d v="2024-03-28T00:00:00"/>
        <d v="2024-03-13T00:00:00"/>
        <d v="2023-02-06T00:00:00"/>
        <d v="2023-06-02T00:00:00"/>
        <d v="2023-01-06T00:00:00"/>
        <d v="2024-03-16T00:00:00"/>
        <d v="2023-11-05T00:00:00"/>
        <d v="2023-12-02T00:00:00"/>
        <d v="2023-12-11T00:00:00"/>
        <d v="2024-02-01T00:00:00"/>
        <d v="2023-04-16T00:00:00"/>
        <d v="2023-01-07T00:00:00"/>
        <d v="2024-02-27T00:00:00"/>
        <d v="2023-03-07T00:00:00"/>
        <d v="2023-07-12T00:00:00"/>
        <d v="2024-02-26T00:00:00"/>
        <d v="2023-04-21T00:00:00"/>
        <d v="2024-01-27T00:00:00"/>
        <d v="2023-09-02T00:00:00"/>
        <d v="2024-04-26T00:00:00"/>
        <d v="2023-08-16T00:00:00"/>
        <d v="2023-07-24T00:00:00"/>
        <d v="2024-04-16T00:00:00"/>
        <d v="2023-12-25T00:00:00"/>
        <d v="2023-09-11T00:00:00"/>
        <d v="2023-01-25T00:00:00"/>
        <d v="2023-07-17T00:00:00"/>
        <d v="2023-03-12T00:00:00"/>
        <d v="2023-12-26T00:00:00"/>
        <d v="2024-02-14T00:00:00"/>
        <d v="2023-06-12T00:00:00"/>
        <d v="2023-01-29T00:00:00"/>
        <d v="2024-03-20T00:00:00"/>
        <d v="2023-12-20T00:00:00"/>
        <d v="2024-03-22T00:00:00"/>
        <d v="2024-07-06T00:00:00"/>
        <d v="2023-09-18T00:00:00"/>
        <d v="2023-02-01T00:00:00"/>
        <d v="2024-06-16T00:00:00"/>
        <d v="2023-07-21T00:00:00"/>
        <d v="2024-08-01T00:00:00"/>
        <d v="2023-11-13T00:00:00"/>
        <d v="2024-02-23T00:00:00"/>
        <d v="2023-01-12T00:00:00"/>
        <d v="2023-10-30T00:00:00"/>
        <d v="2024-06-03T00:00:00"/>
        <d v="2023-06-28T00:00:00"/>
        <d v="2023-05-11T00:00:00"/>
        <d v="2024-02-20T00:00:00"/>
        <d v="2023-08-11T00:00:00"/>
        <d v="2023-10-21T00:00:00"/>
        <d v="2023-11-26T00:00:00"/>
        <d v="2024-04-21T00:00:00"/>
        <d v="2023-06-23T00:00:00"/>
        <d v="2023-03-28T00:00:00"/>
        <d v="2023-10-18T00:00:00"/>
        <d v="2024-11-06T00:00:00"/>
        <d v="2023-10-12T00:00:00"/>
        <d v="2023-11-14T00:00:00"/>
        <d v="2023-05-31T00:00:00"/>
        <d v="2023-02-17T00:00:00"/>
        <d v="2024-11-04T00:00:00"/>
        <d v="2024-02-29T00:00:00"/>
        <d v="2023-07-19T00:00:00"/>
        <d v="2024-01-29T00:00:00"/>
        <d v="2024-05-21T00:00:00"/>
        <d v="2023-07-09T00:00:00"/>
        <d v="2023-06-01T00:00:00"/>
        <d v="2024-11-03T00:00:00"/>
        <d v="2023-06-30T00:00:00"/>
        <d v="2024-06-14T00:00:00"/>
        <d v="2024-04-20T00:00:00"/>
        <d v="2023-05-05T00:00:00"/>
        <d v="2024-12-04T00:00:00"/>
        <d v="2023-05-17T00:00:00"/>
        <d v="2023-11-21T00:00:00"/>
        <d v="2024-05-31T00:00:00"/>
        <d v="2024-12-03T00:00:00"/>
        <d v="2024-01-04T00:00:00"/>
        <d v="2023-12-06T00:00:00"/>
        <d v="2024-05-04T00:00:00"/>
        <d v="2023-09-23T00:00:00"/>
        <d v="2024-06-17T00:00:00"/>
        <d v="2024-11-05T00:00:00"/>
        <d v="2024-03-26T00:00:00"/>
        <d v="2023-03-21T00:00:00"/>
        <d v="2023-11-24T00:00:00"/>
        <d v="2023-04-06T00:00:00"/>
        <d v="2023-08-25T00:00:00"/>
        <d v="2024-01-28T00:00:00"/>
        <d v="2024-02-22T00:00:00"/>
        <d v="2024-04-22T00:00:00"/>
        <d v="2024-01-03T00:00:00"/>
        <d v="2023-05-03T00:00:00"/>
        <d v="2023-07-31T00:00:00"/>
        <d v="2024-03-02T00:00:00"/>
        <d v="2023-01-21T00:00:00"/>
        <d v="2023-12-27T00:00:00"/>
        <d v="2024-05-14T00:00:00"/>
        <d v="2023-07-10T00:00:00"/>
        <d v="2023-01-30T00:00:00"/>
        <d v="2024-02-19T00:00:00"/>
        <d v="2024-08-02T00:00:00"/>
        <d v="2023-03-27T00:00:00"/>
        <d v="2023-05-19T00:00:00"/>
        <d v="2024-04-17T00:00:00"/>
        <d v="2023-06-07T00:00:00"/>
        <d v="2023-09-24T00:00:00"/>
        <d v="2023-02-12T00:00:00"/>
        <d v="2023-12-12T00:00:00"/>
        <d v="2024-07-03T00:00:00"/>
        <d v="2023-09-16T00:00:00"/>
        <d v="2023-02-23T00:00:00"/>
        <d v="2023-08-18T00:00:00"/>
        <d v="2023-11-02T00:00:00"/>
        <d v="2023-01-02T00:00:00"/>
        <d v="2023-10-05T00:00:00"/>
        <d v="2023-09-20T00:00:00"/>
        <d v="2024-01-13T00:00:00"/>
        <d v="2023-06-21T00:00:00"/>
        <d v="2023-11-15T00:00:00"/>
        <d v="2023-01-27T00:00:00"/>
        <d v="2024-01-20T00:00:00"/>
        <d v="2024-11-02T00:00:00"/>
        <d v="2023-12-22T00:00:00"/>
        <d v="2023-12-16T00:00:00"/>
        <d v="2023-01-13T00:00:00"/>
        <d v="2024-05-16T00:00:00"/>
        <d v="2024-03-19T00:00:00"/>
        <d v="2024-06-18T00:00:00"/>
        <d v="2024-10-05T00:00:00"/>
        <d v="2023-11-27T00:00:00"/>
        <d v="2023-09-09T00:00:00"/>
        <d v="2023-03-30T00:00:00"/>
        <d v="2024-06-04T00:00:00"/>
        <d v="2023-09-22T00:00:00"/>
        <d v="2023-10-14T00:00:00"/>
        <d v="2023-10-10T00:00:00"/>
        <d v="2023-11-01T00:00:00"/>
        <d v="2023-07-15T00:00:00"/>
        <d v="2023-05-09T00:00:00"/>
        <d v="2024-02-05T00:00:00"/>
        <d v="2024-05-17T00:00:00"/>
        <d v="2024-03-04T00:00:00"/>
        <d v="2023-01-18T00:00:00"/>
        <d v="2023-10-29T00:00:00"/>
        <d v="2023-08-15T00:00:00"/>
        <d v="2023-10-11T00:00:00"/>
        <d v="2023-05-10T00:00:00"/>
        <d v="2023-09-07T00:00:00"/>
        <d v="2023-10-08T00:00:00"/>
        <d v="2024-06-21T00:00:00"/>
        <d v="2023-10-17T00:00:00"/>
        <d v="2023-07-18T00:00:00"/>
        <d v="2023-08-21T00:00:00"/>
        <d v="2024-05-01T00:00:00"/>
        <d v="2023-01-15T00:00:00"/>
        <d v="2023-08-10T00:00:00"/>
        <d v="2023-10-27T00:00:00"/>
        <d v="2024-04-25T00:00:00"/>
        <d v="2024-05-05T00:00:00"/>
        <d v="2024-03-27T00:00:00"/>
        <d v="2023-08-07T00:00:00"/>
        <d v="2024-04-05T00:00:00"/>
        <d v="2023-04-27T00:00:00"/>
        <d v="2023-08-03T00:00:00"/>
        <d v="2024-05-18T00:00:00"/>
        <d v="2023-02-24T00:00:00"/>
        <d v="2023-05-06T00:00:00"/>
        <d v="2023-02-05T00:00:00"/>
        <d v="2024-02-03T00:00:00"/>
        <d v="2023-08-20T00:00:00"/>
        <d v="2023-01-11T00:00:00"/>
        <d v="2024-03-15T00:00:00"/>
        <d v="2023-03-03T00:00:00"/>
        <d v="2023-12-04T00:00:00"/>
        <d v="2023-01-08T00:00:00"/>
        <d v="2023-10-06T00:00:00"/>
        <d v="2023-06-27T00:00:00"/>
        <d v="2023-03-18T00:00:00"/>
        <d v="2023-10-26T00:00:00"/>
        <d v="2023-03-02T00:00:00"/>
        <d v="2023-08-26T00:00:00"/>
        <d v="2023-10-23T00:00:00"/>
        <d v="2023-08-28T00:00:00"/>
        <d v="2023-07-22T00:00:00"/>
        <d v="2023-09-30T00:00:00"/>
        <d v="2023-05-26T00:00:00"/>
        <d v="2024-03-25T00:00:00"/>
        <d v="2024-03-18T00:00:00"/>
        <d v="2023-09-14T00:00:00"/>
        <d v="2023-03-10T00:00:00"/>
        <d v="2023-06-29T00:00:00"/>
        <d v="2024-06-15T00:00:00"/>
        <d v="2023-05-07T00:00:00"/>
        <d v="2023-12-23T00:00:00"/>
        <d v="2023-11-25T00:00:00"/>
        <d v="2023-04-18T00:00:00"/>
        <d v="2023-06-14T00:00:00"/>
        <d v="2023-04-12T00:00:00"/>
        <d v="2024-05-22T00:00:00"/>
        <d v="2023-07-02T00:00:00"/>
        <d v="2023-01-04T00:00:00"/>
        <d v="2024-02-28T00:00:00"/>
        <d v="2023-12-07T00:00:00"/>
        <d v="2024-05-25T00:00:00"/>
        <d v="2023-10-22T00:00:00"/>
        <d v="2023-01-05T00:00:00"/>
        <d v="2023-07-06T00:00:00"/>
        <d v="2024-09-05T00:00:00"/>
        <d v="2024-04-28T00:00:00"/>
        <d v="2023-05-29T00:00:00"/>
        <d v="2023-05-20T00:00:00"/>
        <d v="2024-02-04T00:00:00"/>
        <d v="2024-01-22T00:00:00"/>
        <d v="2023-07-13T00:00:00"/>
        <d v="2023-11-22T00:00:00"/>
        <d v="2024-01-31T00:00:00"/>
        <d v="2024-06-22T00:00:00"/>
        <d v="2023-05-28T00:00:00"/>
        <d v="2024-02-24T00:00:00"/>
        <d v="2024-12-02T00:00:00"/>
        <d v="2023-03-04T00:00:00"/>
        <d v="2024-03-30T00:00:00"/>
        <d v="2024-01-19T00:00:00"/>
        <d v="2023-05-30T00:00:00"/>
        <d v="2023-04-07T00:00:00"/>
        <d v="2023-06-24T00:00:00"/>
        <d v="2024-05-24T00:00:00"/>
        <d v="2023-09-19T00:00:00"/>
        <d v="2024-10-03T00:00:00"/>
        <d v="2023-01-23T00:00:00"/>
        <d v="2023-02-20T00:00:00"/>
        <d v="2024-05-23T00:00:00"/>
        <d v="2023-05-21T00:00:00"/>
        <d v="2023-04-02T00:00:00"/>
        <d v="2024-10-01T00:00:00"/>
        <d v="2024-05-28T00:00:00"/>
        <d v="2023-09-21T00:00:00"/>
        <d v="2024-08-05T00:00:00"/>
        <d v="2023-05-25T00:00:00"/>
        <d v="2024-09-02T00:00:00"/>
        <d v="2023-07-05T00:00:00"/>
        <d v="2024-01-16T00:00:00"/>
        <d v="2024-04-27T00:00:00"/>
        <d v="2023-06-03T00:00:00"/>
      </sharedItems>
      <fieldGroup par="25" base="4">
        <rangePr groupBy="months" startDate="2023-01-01T00:00:00" endDate="2024-12-06T00:00:00"/>
        <groupItems count="14">
          <s v="&lt;01-01-2023"/>
          <s v="Jan"/>
          <s v="Feb"/>
          <s v="Mar"/>
          <s v="Apr"/>
          <s v="May"/>
          <s v="Jun"/>
          <s v="Jul"/>
          <s v="Aug"/>
          <s v="Sep"/>
          <s v="Oct"/>
          <s v="Nov"/>
          <s v="Dec"/>
          <s v="&gt;06-12-2024"/>
        </groupItems>
      </fieldGroup>
    </cacheField>
    <cacheField name="Discharge Date" numFmtId="14">
      <sharedItems containsSemiMixedTypes="0" containsNonDate="0" containsDate="1" containsString="0" minDate="2023-01-02T00:00:00" maxDate="2024-12-07T00:00:00"/>
    </cacheField>
    <cacheField name="Stay Duration (days)" numFmtId="0">
      <sharedItems containsSemiMixedTypes="0" containsString="0" containsNumber="1" containsInteger="1" minValue="1" maxValue="15"/>
    </cacheField>
    <cacheField name="Disease/Condition" numFmtId="0">
      <sharedItems count="6">
        <s v="Heart Disease"/>
        <s v="Fracture"/>
        <s v="Hypertension"/>
        <s v="Diabetes"/>
        <s v="Flu"/>
        <s v="Migraine"/>
      </sharedItems>
    </cacheField>
    <cacheField name="Satisfaction Score" numFmtId="0">
      <sharedItems containsSemiMixedTypes="0" containsString="0" containsNumber="1" containsInteger="1" minValue="1" maxValue="5"/>
    </cacheField>
    <cacheField name="Doctor" numFmtId="0">
      <sharedItems/>
    </cacheField>
    <cacheField name="Treatment Cost" numFmtId="0">
      <sharedItems containsSemiMixedTypes="0" containsString="0" containsNumber="1" containsInteger="1" minValue="5002" maxValue="49990"/>
    </cacheField>
    <cacheField name="Medication" numFmtId="0">
      <sharedItems count="5">
        <s v="MedC"/>
        <s v="MedE"/>
        <s v="MedA"/>
        <s v="MedD"/>
        <s v="MedB"/>
      </sharedItems>
    </cacheField>
    <cacheField name="Has Insurance" numFmtId="0">
      <sharedItems count="2">
        <s v="No"/>
        <s v="Yes"/>
      </sharedItems>
    </cacheField>
    <cacheField name="Case Type" numFmtId="0">
      <sharedItems count="2">
        <s v="Routine"/>
        <s v="Emergency"/>
      </sharedItems>
    </cacheField>
    <cacheField name="Appointment Date" numFmtId="22">
      <sharedItems containsSemiMixedTypes="0" containsNonDate="0" containsDate="1" containsString="0" minDate="2022-12-28T00:00:00" maxDate="2024-12-06T00:00:00"/>
    </cacheField>
    <cacheField name="Consultation Date" numFmtId="22">
      <sharedItems containsSemiMixedTypes="0" containsNonDate="0" containsDate="1" containsString="0" minDate="2022-12-28T17:00:00" maxDate="2024-12-06T21:00:00"/>
    </cacheField>
    <cacheField name="Waiting Time" numFmtId="20">
      <sharedItems containsSemiMixedTypes="0" containsNonDate="0" containsDate="1" containsString="0" minDate="1899-12-31T00:00:00" maxDate="1921-02-19T00:00:00"/>
    </cacheField>
    <cacheField name="Test Type" numFmtId="0">
      <sharedItems count="5">
        <s v="X-Ray"/>
        <s v="Blood Test"/>
        <s v="CT Scan"/>
        <s v="Ultrasound"/>
        <s v="MRI"/>
      </sharedItems>
    </cacheField>
    <cacheField name="Test Result" numFmtId="0">
      <sharedItems count="2">
        <s v="Accepted"/>
        <s v="Rejected"/>
      </sharedItems>
    </cacheField>
    <cacheField name="Shift" numFmtId="0">
      <sharedItems count="3">
        <s v="Afternoon"/>
        <s v="Morning"/>
        <s v="Night"/>
      </sharedItems>
    </cacheField>
    <cacheField name="Staff Hours Worked" numFmtId="0">
      <sharedItems containsSemiMixedTypes="0" containsString="0" containsNumber="1" containsInteger="1" minValue="4" maxValue="11"/>
    </cacheField>
    <cacheField name="Staff Available Hours" numFmtId="0">
      <sharedItems containsSemiMixedTypes="0" containsString="0" containsNumber="1" containsInteger="1" minValue="8" maxValue="12"/>
    </cacheField>
    <cacheField name="Staff Utilization Rate" numFmtId="10">
      <sharedItems containsSemiMixedTypes="0" containsString="0" containsNumber="1" minValue="0.33333333333333331" maxValue="1.375"/>
    </cacheField>
    <cacheField name="Treatment Plan" numFmtId="0">
      <sharedItems/>
    </cacheField>
    <cacheField name="Quarters" numFmtId="0" databaseField="0">
      <fieldGroup base="4">
        <rangePr groupBy="quarters" startDate="2023-01-01T00:00:00" endDate="2024-12-06T00:00:00"/>
        <groupItems count="6">
          <s v="&lt;01-01-2023"/>
          <s v="Qtr1"/>
          <s v="Qtr2"/>
          <s v="Qtr3"/>
          <s v="Qtr4"/>
          <s v="&gt;06-12-2024"/>
        </groupItems>
      </fieldGroup>
    </cacheField>
    <cacheField name="Years" numFmtId="0" databaseField="0">
      <fieldGroup base="4">
        <rangePr groupBy="years" startDate="2023-01-01T00:00:00" endDate="2024-12-06T00:00:00"/>
        <groupItems count="4">
          <s v="&lt;01-01-2023"/>
          <s v="2023"/>
          <s v="2024"/>
          <s v="&gt;06-12-2024"/>
        </groupItems>
      </fieldGroup>
    </cacheField>
  </cacheFields>
  <extLst>
    <ext xmlns:x14="http://schemas.microsoft.com/office/spreadsheetml/2009/9/main" uri="{725AE2AE-9491-48be-B2B4-4EB974FC3084}">
      <x14:pivotCacheDefinition pivotCacheId="6360333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AT5000"/>
    <n v="52"/>
    <x v="0"/>
    <x v="0"/>
    <x v="0"/>
    <d v="2023-06-05T00:00:00"/>
    <n v="11"/>
    <x v="0"/>
    <n v="3"/>
    <s v="Dr. Mehta"/>
    <n v="40901"/>
    <x v="0"/>
    <x v="0"/>
    <x v="0"/>
    <d v="2023-04-22T00:00:00"/>
    <d v="2023-04-22T12:00:00"/>
    <d v="1900-01-11T00:00:00"/>
    <x v="0"/>
    <x v="0"/>
    <x v="0"/>
    <n v="9"/>
    <n v="12"/>
    <n v="0.75"/>
    <s v="Plan B"/>
  </r>
  <r>
    <s v="PAT5001"/>
    <n v="15"/>
    <x v="1"/>
    <x v="1"/>
    <x v="1"/>
    <d v="2023-02-02T00:00:00"/>
    <n v="7"/>
    <x v="1"/>
    <n v="2"/>
    <s v="Dr. Sharma"/>
    <n v="49380"/>
    <x v="1"/>
    <x v="0"/>
    <x v="0"/>
    <d v="2023-01-22T00:00:00"/>
    <d v="2023-01-22T21:00:00"/>
    <d v="1900-01-20T00:00:00"/>
    <x v="1"/>
    <x v="1"/>
    <x v="0"/>
    <n v="9"/>
    <n v="10"/>
    <n v="0.9"/>
    <s v="Plan B"/>
  </r>
  <r>
    <s v="PAT5002"/>
    <n v="72"/>
    <x v="2"/>
    <x v="0"/>
    <x v="2"/>
    <d v="2023-11-10T00:00:00"/>
    <n v="2"/>
    <x v="2"/>
    <n v="5"/>
    <s v="Dr. Mehta"/>
    <n v="25493"/>
    <x v="0"/>
    <x v="0"/>
    <x v="1"/>
    <d v="2023-09-10T00:00:00"/>
    <d v="2023-09-10T02:00:00"/>
    <d v="1900-01-01T00:00:00"/>
    <x v="2"/>
    <x v="1"/>
    <x v="1"/>
    <n v="10"/>
    <n v="10"/>
    <n v="1"/>
    <s v="Plan B"/>
  </r>
  <r>
    <s v="PAT5003"/>
    <n v="61"/>
    <x v="0"/>
    <x v="2"/>
    <x v="3"/>
    <d v="2023-11-09T00:00:00"/>
    <n v="3"/>
    <x v="1"/>
    <n v="3"/>
    <s v="Dr. Gupta"/>
    <n v="23595"/>
    <x v="0"/>
    <x v="0"/>
    <x v="0"/>
    <d v="2023-04-09T00:00:00"/>
    <d v="2023-04-09T14:00:00"/>
    <d v="1900-01-13T00:00:00"/>
    <x v="2"/>
    <x v="0"/>
    <x v="2"/>
    <n v="7"/>
    <n v="12"/>
    <n v="0.58333333333333337"/>
    <s v="Plan C"/>
  </r>
  <r>
    <s v="PAT5004"/>
    <n v="21"/>
    <x v="3"/>
    <x v="3"/>
    <x v="4"/>
    <d v="2023-08-18T00:00:00"/>
    <n v="1"/>
    <x v="3"/>
    <n v="1"/>
    <s v="Dr. Gupta"/>
    <n v="26923"/>
    <x v="1"/>
    <x v="0"/>
    <x v="1"/>
    <d v="2023-08-16T00:00:00"/>
    <d v="2023-08-17T14:00:00"/>
    <d v="1900-02-06T00:00:00"/>
    <x v="2"/>
    <x v="0"/>
    <x v="2"/>
    <n v="5"/>
    <n v="10"/>
    <n v="0.5"/>
    <s v="Plan B"/>
  </r>
  <r>
    <s v="PAT5005"/>
    <n v="83"/>
    <x v="2"/>
    <x v="4"/>
    <x v="5"/>
    <d v="2023-05-24T00:00:00"/>
    <n v="1"/>
    <x v="3"/>
    <n v="3"/>
    <s v="Dr. Mehta"/>
    <n v="14735"/>
    <x v="2"/>
    <x v="1"/>
    <x v="0"/>
    <d v="2023-05-18T00:00:00"/>
    <d v="2023-05-18T10:00:00"/>
    <d v="1900-01-09T00:00:00"/>
    <x v="3"/>
    <x v="1"/>
    <x v="1"/>
    <n v="9"/>
    <n v="12"/>
    <n v="0.75"/>
    <s v="Plan C"/>
  </r>
  <r>
    <s v="PAT5006"/>
    <n v="87"/>
    <x v="2"/>
    <x v="4"/>
    <x v="6"/>
    <d v="2023-04-20T00:00:00"/>
    <n v="5"/>
    <x v="4"/>
    <n v="1"/>
    <s v="Dr. Sharma"/>
    <n v="39457"/>
    <x v="0"/>
    <x v="1"/>
    <x v="1"/>
    <d v="2023-12-04T00:00:00"/>
    <d v="2024-04-13T22:00:00"/>
    <d v="1908-08-31T00:00:00"/>
    <x v="0"/>
    <x v="0"/>
    <x v="0"/>
    <n v="10"/>
    <n v="8"/>
    <n v="1.25"/>
    <s v="Plan B"/>
  </r>
  <r>
    <s v="PAT5007"/>
    <n v="75"/>
    <x v="2"/>
    <x v="1"/>
    <x v="7"/>
    <d v="2023-08-04T00:00:00"/>
    <n v="8"/>
    <x v="3"/>
    <n v="5"/>
    <s v="Dr. Mehta"/>
    <n v="47531"/>
    <x v="0"/>
    <x v="1"/>
    <x v="1"/>
    <d v="2023-03-29T00:00:00"/>
    <d v="2023-03-30T02:00:00"/>
    <d v="1900-01-25T00:00:00"/>
    <x v="3"/>
    <x v="0"/>
    <x v="0"/>
    <n v="4"/>
    <n v="8"/>
    <n v="0.5"/>
    <s v="Plan C"/>
  </r>
  <r>
    <s v="PAT5008"/>
    <n v="75"/>
    <x v="2"/>
    <x v="2"/>
    <x v="8"/>
    <d v="2024-10-03T00:00:00"/>
    <n v="2"/>
    <x v="1"/>
    <n v="5"/>
    <s v="Dr. Mehta"/>
    <n v="12727"/>
    <x v="3"/>
    <x v="1"/>
    <x v="0"/>
    <d v="2024-06-03T00:00:00"/>
    <d v="2024-06-03T05:00:00"/>
    <d v="1900-01-04T00:00:00"/>
    <x v="3"/>
    <x v="0"/>
    <x v="2"/>
    <n v="9"/>
    <n v="12"/>
    <n v="0.75"/>
    <s v="Plan C"/>
  </r>
  <r>
    <s v="PAT5009"/>
    <n v="88"/>
    <x v="2"/>
    <x v="5"/>
    <x v="9"/>
    <d v="2023-04-02T00:00:00"/>
    <n v="2"/>
    <x v="5"/>
    <n v="4"/>
    <s v="Dr. Mehta"/>
    <n v="12764"/>
    <x v="1"/>
    <x v="1"/>
    <x v="0"/>
    <d v="2023-01-30T00:00:00"/>
    <d v="2023-01-30T20:00:00"/>
    <d v="1900-01-19T00:00:00"/>
    <x v="4"/>
    <x v="0"/>
    <x v="2"/>
    <n v="6"/>
    <n v="8"/>
    <n v="0.75"/>
    <s v="Plan C"/>
  </r>
  <r>
    <s v="PAT5010"/>
    <n v="24"/>
    <x v="3"/>
    <x v="2"/>
    <x v="10"/>
    <d v="2023-04-02T00:00:00"/>
    <n v="4"/>
    <x v="5"/>
    <n v="4"/>
    <s v="Dr. Rao"/>
    <n v="32599"/>
    <x v="4"/>
    <x v="0"/>
    <x v="0"/>
    <d v="2023-01-31T00:00:00"/>
    <d v="2023-01-31T11:00:00"/>
    <d v="1900-01-10T00:00:00"/>
    <x v="0"/>
    <x v="0"/>
    <x v="2"/>
    <n v="6"/>
    <n v="10"/>
    <n v="0.6"/>
    <s v="Plan A"/>
  </r>
  <r>
    <s v="PAT5011"/>
    <n v="3"/>
    <x v="1"/>
    <x v="4"/>
    <x v="11"/>
    <d v="2023-04-21T00:00:00"/>
    <n v="15"/>
    <x v="4"/>
    <n v="4"/>
    <s v="Dr. Gupta"/>
    <n v="5818"/>
    <x v="2"/>
    <x v="0"/>
    <x v="1"/>
    <d v="2023-02-04T00:00:00"/>
    <d v="2023-03-04T13:00:00"/>
    <d v="1901-11-15T00:00:00"/>
    <x v="2"/>
    <x v="0"/>
    <x v="2"/>
    <n v="4"/>
    <n v="8"/>
    <n v="0.5"/>
    <s v="Plan B"/>
  </r>
  <r>
    <s v="PAT5012"/>
    <n v="22"/>
    <x v="3"/>
    <x v="4"/>
    <x v="12"/>
    <d v="2023-08-21T00:00:00"/>
    <n v="9"/>
    <x v="0"/>
    <n v="5"/>
    <s v="Dr. Patel"/>
    <n v="42289"/>
    <x v="2"/>
    <x v="1"/>
    <x v="0"/>
    <d v="2023-11-08T00:00:00"/>
    <d v="2023-11-08T16:00:00"/>
    <d v="1900-01-15T00:00:00"/>
    <x v="1"/>
    <x v="0"/>
    <x v="2"/>
    <n v="11"/>
    <n v="8"/>
    <n v="1.375"/>
    <s v="Plan A"/>
  </r>
  <r>
    <s v="PAT5013"/>
    <n v="53"/>
    <x v="0"/>
    <x v="3"/>
    <x v="13"/>
    <d v="2023-08-30T00:00:00"/>
    <n v="3"/>
    <x v="1"/>
    <n v="2"/>
    <s v="Dr. Patel"/>
    <n v="38892"/>
    <x v="1"/>
    <x v="1"/>
    <x v="0"/>
    <d v="2023-08-23T00:00:00"/>
    <d v="2023-08-24T13:00:00"/>
    <d v="1900-02-05T00:00:00"/>
    <x v="2"/>
    <x v="0"/>
    <x v="0"/>
    <n v="7"/>
    <n v="12"/>
    <n v="0.58333333333333337"/>
    <s v="Plan B"/>
  </r>
  <r>
    <s v="PAT5014"/>
    <n v="2"/>
    <x v="1"/>
    <x v="2"/>
    <x v="14"/>
    <d v="2024-08-06T00:00:00"/>
    <n v="7"/>
    <x v="1"/>
    <n v="5"/>
    <s v="Dr. Rao"/>
    <n v="10660"/>
    <x v="3"/>
    <x v="0"/>
    <x v="0"/>
    <d v="2024-05-30T00:00:00"/>
    <d v="2024-05-31T01:00:00"/>
    <d v="1900-01-24T00:00:00"/>
    <x v="3"/>
    <x v="0"/>
    <x v="0"/>
    <n v="11"/>
    <n v="10"/>
    <n v="1.1000000000000001"/>
    <s v="Plan B"/>
  </r>
  <r>
    <s v="PAT5015"/>
    <n v="88"/>
    <x v="2"/>
    <x v="2"/>
    <x v="15"/>
    <d v="2023-05-02T00:00:00"/>
    <n v="8"/>
    <x v="3"/>
    <n v="3"/>
    <s v="Dr. Mehta"/>
    <n v="34521"/>
    <x v="3"/>
    <x v="1"/>
    <x v="1"/>
    <d v="2023-01-25T00:00:00"/>
    <d v="2023-01-26T20:00:00"/>
    <d v="1900-02-12T00:00:00"/>
    <x v="0"/>
    <x v="0"/>
    <x v="0"/>
    <n v="5"/>
    <n v="8"/>
    <n v="0.625"/>
    <s v="Plan A"/>
  </r>
  <r>
    <s v="PAT5016"/>
    <n v="30"/>
    <x v="3"/>
    <x v="4"/>
    <x v="16"/>
    <d v="2023-07-29T00:00:00"/>
    <n v="6"/>
    <x v="1"/>
    <n v="5"/>
    <s v="Dr. Rao"/>
    <n v="43409"/>
    <x v="1"/>
    <x v="0"/>
    <x v="0"/>
    <d v="2023-07-21T00:00:00"/>
    <d v="2023-07-22T11:00:00"/>
    <d v="1900-02-03T00:00:00"/>
    <x v="0"/>
    <x v="0"/>
    <x v="0"/>
    <n v="11"/>
    <n v="8"/>
    <n v="1.375"/>
    <s v="Plan C"/>
  </r>
  <r>
    <s v="PAT5017"/>
    <n v="38"/>
    <x v="4"/>
    <x v="5"/>
    <x v="17"/>
    <d v="2024-03-16T00:00:00"/>
    <n v="11"/>
    <x v="2"/>
    <n v="5"/>
    <s v="Dr. Rao"/>
    <n v="39470"/>
    <x v="3"/>
    <x v="1"/>
    <x v="1"/>
    <d v="2024-02-29T00:00:00"/>
    <d v="2024-02-29T22:00:00"/>
    <d v="1900-01-21T00:00:00"/>
    <x v="0"/>
    <x v="0"/>
    <x v="1"/>
    <n v="5"/>
    <n v="12"/>
    <n v="0.41666666666666669"/>
    <s v="Plan B"/>
  </r>
  <r>
    <s v="PAT5018"/>
    <n v="2"/>
    <x v="1"/>
    <x v="1"/>
    <x v="18"/>
    <d v="2023-08-26T00:00:00"/>
    <n v="12"/>
    <x v="0"/>
    <n v="1"/>
    <s v="Dr. Sharma"/>
    <n v="23385"/>
    <x v="2"/>
    <x v="0"/>
    <x v="0"/>
    <d v="2023-12-08T00:00:00"/>
    <d v="2023-08-13T01:00:00"/>
    <d v="1907-09-07T00:00:00"/>
    <x v="4"/>
    <x v="0"/>
    <x v="0"/>
    <n v="9"/>
    <n v="12"/>
    <n v="0.75"/>
    <s v="Plan C"/>
  </r>
  <r>
    <s v="PAT5019"/>
    <n v="64"/>
    <x v="0"/>
    <x v="1"/>
    <x v="19"/>
    <d v="2024-04-16T00:00:00"/>
    <n v="12"/>
    <x v="3"/>
    <n v="1"/>
    <s v="Dr. Gupta"/>
    <n v="28296"/>
    <x v="2"/>
    <x v="1"/>
    <x v="0"/>
    <d v="2024-03-04T00:00:00"/>
    <d v="2024-05-04T00:00:00"/>
    <d v="1904-01-03T00:00:00"/>
    <x v="2"/>
    <x v="0"/>
    <x v="1"/>
    <n v="6"/>
    <n v="10"/>
    <n v="0.6"/>
    <s v="Plan A"/>
  </r>
  <r>
    <s v="PAT5020"/>
    <n v="60"/>
    <x v="0"/>
    <x v="2"/>
    <x v="20"/>
    <d v="2023-10-21T00:00:00"/>
    <n v="9"/>
    <x v="2"/>
    <n v="1"/>
    <s v="Dr. Patel"/>
    <n v="28616"/>
    <x v="4"/>
    <x v="0"/>
    <x v="0"/>
    <d v="2023-12-10T00:00:00"/>
    <d v="2023-12-10T09:00:00"/>
    <d v="1900-01-08T00:00:00"/>
    <x v="4"/>
    <x v="0"/>
    <x v="0"/>
    <n v="7"/>
    <n v="8"/>
    <n v="0.875"/>
    <s v="Plan C"/>
  </r>
  <r>
    <s v="PAT5021"/>
    <n v="21"/>
    <x v="3"/>
    <x v="1"/>
    <x v="21"/>
    <d v="2023-01-14T00:00:00"/>
    <n v="7"/>
    <x v="4"/>
    <n v="5"/>
    <s v="Dr. Mehta"/>
    <n v="31382"/>
    <x v="1"/>
    <x v="1"/>
    <x v="0"/>
    <d v="2023-07-01T00:00:00"/>
    <d v="2023-08-01T21:00:00"/>
    <d v="1902-02-03T00:00:00"/>
    <x v="1"/>
    <x v="0"/>
    <x v="2"/>
    <n v="7"/>
    <n v="12"/>
    <n v="0.58333333333333337"/>
    <s v="Plan B"/>
  </r>
  <r>
    <s v="PAT5022"/>
    <n v="33"/>
    <x v="3"/>
    <x v="4"/>
    <x v="22"/>
    <d v="2023-06-23T00:00:00"/>
    <n v="10"/>
    <x v="5"/>
    <n v="2"/>
    <s v="Dr. Patel"/>
    <n v="16139"/>
    <x v="0"/>
    <x v="1"/>
    <x v="0"/>
    <d v="2023-08-06T00:00:00"/>
    <d v="2023-09-06T23:00:00"/>
    <d v="1902-02-05T00:00:00"/>
    <x v="3"/>
    <x v="0"/>
    <x v="2"/>
    <n v="7"/>
    <n v="12"/>
    <n v="0.58333333333333337"/>
    <s v="Plan B"/>
  </r>
  <r>
    <s v="PAT5023"/>
    <n v="76"/>
    <x v="2"/>
    <x v="4"/>
    <x v="8"/>
    <d v="2024-03-20T00:00:00"/>
    <n v="12"/>
    <x v="4"/>
    <n v="3"/>
    <s v="Dr. Patel"/>
    <n v="37060"/>
    <x v="0"/>
    <x v="1"/>
    <x v="0"/>
    <d v="2024-07-03T00:00:00"/>
    <d v="2024-07-03T06:00:00"/>
    <d v="1900-01-05T00:00:00"/>
    <x v="4"/>
    <x v="0"/>
    <x v="2"/>
    <n v="9"/>
    <n v="12"/>
    <n v="0.75"/>
    <s v="Plan B"/>
  </r>
  <r>
    <s v="PAT5024"/>
    <n v="58"/>
    <x v="0"/>
    <x v="2"/>
    <x v="23"/>
    <d v="2023-12-27T00:00:00"/>
    <n v="12"/>
    <x v="5"/>
    <n v="3"/>
    <s v="Dr. Gupta"/>
    <n v="27419"/>
    <x v="4"/>
    <x v="1"/>
    <x v="0"/>
    <d v="2023-12-12T00:00:00"/>
    <d v="2023-12-13T09:00:00"/>
    <d v="1900-02-01T00:00:00"/>
    <x v="4"/>
    <x v="0"/>
    <x v="1"/>
    <n v="5"/>
    <n v="10"/>
    <n v="0.5"/>
    <s v="Plan A"/>
  </r>
  <r>
    <s v="PAT5025"/>
    <n v="22"/>
    <x v="3"/>
    <x v="2"/>
    <x v="20"/>
    <d v="2023-10-15T00:00:00"/>
    <n v="3"/>
    <x v="4"/>
    <n v="2"/>
    <s v="Dr. Patel"/>
    <n v="32785"/>
    <x v="4"/>
    <x v="0"/>
    <x v="0"/>
    <d v="2023-08-10T00:00:00"/>
    <d v="2023-10-10T00:00:00"/>
    <d v="1904-01-03T00:00:00"/>
    <x v="3"/>
    <x v="0"/>
    <x v="0"/>
    <n v="7"/>
    <n v="12"/>
    <n v="0.58333333333333337"/>
    <s v="Plan B"/>
  </r>
  <r>
    <s v="PAT5026"/>
    <n v="89"/>
    <x v="2"/>
    <x v="3"/>
    <x v="24"/>
    <d v="2023-06-24T00:00:00"/>
    <n v="15"/>
    <x v="1"/>
    <n v="2"/>
    <s v="Dr. Patel"/>
    <n v="20702"/>
    <x v="3"/>
    <x v="0"/>
    <x v="0"/>
    <d v="2023-06-06T00:00:00"/>
    <d v="2023-06-06T23:00:00"/>
    <d v="1900-01-22T00:00:00"/>
    <x v="0"/>
    <x v="0"/>
    <x v="0"/>
    <n v="9"/>
    <n v="10"/>
    <n v="0.9"/>
    <s v="Plan A"/>
  </r>
  <r>
    <s v="PAT5027"/>
    <n v="49"/>
    <x v="4"/>
    <x v="2"/>
    <x v="25"/>
    <d v="2023-08-16T00:00:00"/>
    <n v="7"/>
    <x v="2"/>
    <n v="3"/>
    <s v="Dr. Rao"/>
    <n v="34217"/>
    <x v="4"/>
    <x v="1"/>
    <x v="0"/>
    <d v="2023-05-08T00:00:00"/>
    <d v="2023-05-08T04:00:00"/>
    <d v="1900-01-03T00:00:00"/>
    <x v="3"/>
    <x v="0"/>
    <x v="1"/>
    <n v="9"/>
    <n v="10"/>
    <n v="0.9"/>
    <s v="Plan C"/>
  </r>
  <r>
    <s v="PAT5028"/>
    <n v="59"/>
    <x v="0"/>
    <x v="5"/>
    <x v="26"/>
    <d v="2023-12-22T00:00:00"/>
    <n v="11"/>
    <x v="5"/>
    <n v="4"/>
    <s v="Dr. Gupta"/>
    <n v="44291"/>
    <x v="4"/>
    <x v="1"/>
    <x v="0"/>
    <d v="2023-11-12T00:00:00"/>
    <d v="2023-11-12T07:00:00"/>
    <d v="1900-01-06T00:00:00"/>
    <x v="2"/>
    <x v="0"/>
    <x v="1"/>
    <n v="4"/>
    <n v="8"/>
    <n v="0.5"/>
    <s v="Plan B"/>
  </r>
  <r>
    <s v="PAT5029"/>
    <n v="42"/>
    <x v="4"/>
    <x v="1"/>
    <x v="6"/>
    <d v="2023-04-17T00:00:00"/>
    <n v="2"/>
    <x v="3"/>
    <n v="1"/>
    <s v="Dr. Sharma"/>
    <n v="17397"/>
    <x v="0"/>
    <x v="1"/>
    <x v="0"/>
    <d v="2023-04-13T00:00:00"/>
    <d v="2023-04-14T04:00:00"/>
    <d v="1900-01-27T00:00:00"/>
    <x v="3"/>
    <x v="0"/>
    <x v="1"/>
    <n v="8"/>
    <n v="8"/>
    <n v="1"/>
    <s v="Plan B"/>
  </r>
  <r>
    <s v="PAT5030"/>
    <n v="60"/>
    <x v="0"/>
    <x v="2"/>
    <x v="27"/>
    <d v="2023-04-19T00:00:00"/>
    <n v="14"/>
    <x v="2"/>
    <n v="1"/>
    <s v="Dr. Mehta"/>
    <n v="45879"/>
    <x v="3"/>
    <x v="0"/>
    <x v="0"/>
    <d v="2023-03-04T00:00:00"/>
    <d v="2023-03-04T15:00:00"/>
    <d v="1900-01-14T00:00:00"/>
    <x v="0"/>
    <x v="0"/>
    <x v="1"/>
    <n v="11"/>
    <n v="10"/>
    <n v="1.1000000000000001"/>
    <s v="Plan B"/>
  </r>
  <r>
    <s v="PAT5031"/>
    <n v="80"/>
    <x v="2"/>
    <x v="0"/>
    <x v="28"/>
    <d v="2024-02-02T00:00:00"/>
    <n v="8"/>
    <x v="3"/>
    <n v="3"/>
    <s v="Dr. Patel"/>
    <n v="40169"/>
    <x v="4"/>
    <x v="0"/>
    <x v="0"/>
    <d v="2024-01-20T00:00:00"/>
    <d v="2024-01-20T05:00:00"/>
    <d v="1900-01-04T00:00:00"/>
    <x v="3"/>
    <x v="0"/>
    <x v="1"/>
    <n v="7"/>
    <n v="8"/>
    <n v="0.875"/>
    <s v="Plan C"/>
  </r>
  <r>
    <s v="PAT5032"/>
    <n v="15"/>
    <x v="1"/>
    <x v="3"/>
    <x v="29"/>
    <d v="2023-04-20T00:00:00"/>
    <n v="10"/>
    <x v="2"/>
    <n v="2"/>
    <s v="Dr. Mehta"/>
    <n v="31940"/>
    <x v="4"/>
    <x v="1"/>
    <x v="1"/>
    <d v="2023-07-04T00:00:00"/>
    <d v="2023-07-04T22:00:00"/>
    <d v="1900-01-21T00:00:00"/>
    <x v="4"/>
    <x v="1"/>
    <x v="2"/>
    <n v="8"/>
    <n v="8"/>
    <n v="1"/>
    <s v="Plan B"/>
  </r>
  <r>
    <s v="PAT5033"/>
    <n v="62"/>
    <x v="0"/>
    <x v="0"/>
    <x v="30"/>
    <d v="2024-10-01T00:00:00"/>
    <n v="7"/>
    <x v="2"/>
    <n v="4"/>
    <s v="Dr. Sharma"/>
    <n v="47249"/>
    <x v="3"/>
    <x v="0"/>
    <x v="0"/>
    <d v="2024-02-01T00:00:00"/>
    <d v="2024-03-01T15:00:00"/>
    <d v="1901-12-11T00:00:00"/>
    <x v="1"/>
    <x v="0"/>
    <x v="0"/>
    <n v="5"/>
    <n v="12"/>
    <n v="0.41666666666666669"/>
    <s v="Plan A"/>
  </r>
  <r>
    <s v="PAT5034"/>
    <n v="62"/>
    <x v="0"/>
    <x v="4"/>
    <x v="31"/>
    <d v="2023-12-24T00:00:00"/>
    <n v="5"/>
    <x v="4"/>
    <n v="3"/>
    <s v="Dr. Mehta"/>
    <n v="33341"/>
    <x v="1"/>
    <x v="0"/>
    <x v="0"/>
    <d v="2023-12-15T00:00:00"/>
    <d v="2023-12-16T16:00:00"/>
    <d v="1900-02-08T00:00:00"/>
    <x v="4"/>
    <x v="0"/>
    <x v="1"/>
    <n v="9"/>
    <n v="8"/>
    <n v="1.125"/>
    <s v="Plan C"/>
  </r>
  <r>
    <s v="PAT5035"/>
    <n v="47"/>
    <x v="4"/>
    <x v="1"/>
    <x v="32"/>
    <d v="2023-09-29T00:00:00"/>
    <n v="1"/>
    <x v="5"/>
    <n v="1"/>
    <s v="Dr. Sharma"/>
    <n v="15067"/>
    <x v="3"/>
    <x v="0"/>
    <x v="1"/>
    <d v="2023-09-26T00:00:00"/>
    <d v="2023-09-27T15:00:00"/>
    <d v="1900-02-07T00:00:00"/>
    <x v="1"/>
    <x v="0"/>
    <x v="2"/>
    <n v="10"/>
    <n v="10"/>
    <n v="1"/>
    <s v="Plan C"/>
  </r>
  <r>
    <s v="PAT5036"/>
    <n v="62"/>
    <x v="0"/>
    <x v="2"/>
    <x v="33"/>
    <d v="2023-02-26T00:00:00"/>
    <n v="12"/>
    <x v="5"/>
    <n v="5"/>
    <s v="Dr. Rao"/>
    <n v="18824"/>
    <x v="0"/>
    <x v="0"/>
    <x v="1"/>
    <d v="2023-09-02T00:00:00"/>
    <d v="2023-10-02T02:00:00"/>
    <d v="1901-12-22T00:00:00"/>
    <x v="3"/>
    <x v="0"/>
    <x v="1"/>
    <n v="11"/>
    <n v="8"/>
    <n v="1.375"/>
    <s v="Plan C"/>
  </r>
  <r>
    <s v="PAT5037"/>
    <n v="51"/>
    <x v="0"/>
    <x v="0"/>
    <x v="34"/>
    <d v="2024-04-21T00:00:00"/>
    <n v="6"/>
    <x v="2"/>
    <n v="2"/>
    <s v="Dr. Patel"/>
    <n v="18444"/>
    <x v="1"/>
    <x v="0"/>
    <x v="0"/>
    <d v="2024-12-04T00:00:00"/>
    <d v="2024-12-04T21:00:00"/>
    <d v="1900-01-20T00:00:00"/>
    <x v="2"/>
    <x v="0"/>
    <x v="2"/>
    <n v="11"/>
    <n v="12"/>
    <n v="0.91666666666666663"/>
    <s v="Plan C"/>
  </r>
  <r>
    <s v="PAT5038"/>
    <n v="55"/>
    <x v="0"/>
    <x v="1"/>
    <x v="35"/>
    <d v="2023-12-05T00:00:00"/>
    <n v="4"/>
    <x v="1"/>
    <n v="5"/>
    <s v="Dr. Sharma"/>
    <n v="38307"/>
    <x v="2"/>
    <x v="0"/>
    <x v="0"/>
    <d v="2023-07-05T00:00:00"/>
    <d v="2023-07-05T02:00:00"/>
    <d v="1900-01-01T00:00:00"/>
    <x v="3"/>
    <x v="0"/>
    <x v="1"/>
    <n v="7"/>
    <n v="10"/>
    <n v="0.7"/>
    <s v="Plan C"/>
  </r>
  <r>
    <s v="PAT5039"/>
    <n v="64"/>
    <x v="0"/>
    <x v="4"/>
    <x v="36"/>
    <d v="2024-01-31T00:00:00"/>
    <n v="8"/>
    <x v="1"/>
    <n v="3"/>
    <s v="Dr. Mehta"/>
    <n v="15974"/>
    <x v="3"/>
    <x v="1"/>
    <x v="0"/>
    <d v="2024-01-23T00:00:00"/>
    <d v="2024-01-24T17:00:00"/>
    <d v="1900-02-09T00:00:00"/>
    <x v="0"/>
    <x v="0"/>
    <x v="0"/>
    <n v="10"/>
    <n v="8"/>
    <n v="1.25"/>
    <s v="Plan A"/>
  </r>
  <r>
    <s v="PAT5040"/>
    <n v="3"/>
    <x v="1"/>
    <x v="5"/>
    <x v="37"/>
    <d v="2023-03-30T00:00:00"/>
    <n v="8"/>
    <x v="3"/>
    <n v="1"/>
    <s v="Dr. Patel"/>
    <n v="43383"/>
    <x v="0"/>
    <x v="0"/>
    <x v="1"/>
    <d v="2023-03-21T00:00:00"/>
    <d v="2023-03-21T18:00:00"/>
    <d v="1900-01-17T00:00:00"/>
    <x v="3"/>
    <x v="0"/>
    <x v="1"/>
    <n v="6"/>
    <n v="10"/>
    <n v="0.6"/>
    <s v="Plan C"/>
  </r>
  <r>
    <s v="PAT5041"/>
    <n v="51"/>
    <x v="0"/>
    <x v="3"/>
    <x v="38"/>
    <d v="2023-01-11T00:00:00"/>
    <n v="4"/>
    <x v="3"/>
    <n v="4"/>
    <s v="Dr. Rao"/>
    <n v="34290"/>
    <x v="1"/>
    <x v="1"/>
    <x v="0"/>
    <d v="2023-10-28T00:00:00"/>
    <d v="2023-10-29T05:00:00"/>
    <d v="1900-01-28T00:00:00"/>
    <x v="1"/>
    <x v="0"/>
    <x v="1"/>
    <n v="5"/>
    <n v="8"/>
    <n v="0.625"/>
    <s v="Plan B"/>
  </r>
  <r>
    <s v="PAT5042"/>
    <n v="7"/>
    <x v="1"/>
    <x v="1"/>
    <x v="39"/>
    <d v="2024-01-20T00:00:00"/>
    <n v="14"/>
    <x v="4"/>
    <n v="5"/>
    <s v="Dr. Patel"/>
    <n v="21016"/>
    <x v="3"/>
    <x v="1"/>
    <x v="1"/>
    <d v="2024-03-01T00:00:00"/>
    <d v="2024-04-01T08:00:00"/>
    <d v="1902-01-21T00:00:00"/>
    <x v="4"/>
    <x v="0"/>
    <x v="0"/>
    <n v="4"/>
    <n v="12"/>
    <n v="0.33333333333333331"/>
    <s v="Plan C"/>
  </r>
  <r>
    <s v="PAT5043"/>
    <n v="21"/>
    <x v="3"/>
    <x v="1"/>
    <x v="40"/>
    <d v="2023-07-22T00:00:00"/>
    <n v="6"/>
    <x v="2"/>
    <n v="4"/>
    <s v="Dr. Sharma"/>
    <n v="37112"/>
    <x v="4"/>
    <x v="1"/>
    <x v="0"/>
    <d v="2023-07-15T00:00:00"/>
    <d v="2023-07-15T15:00:00"/>
    <d v="1900-01-14T00:00:00"/>
    <x v="2"/>
    <x v="0"/>
    <x v="0"/>
    <n v="4"/>
    <n v="8"/>
    <n v="0.5"/>
    <s v="Plan C"/>
  </r>
  <r>
    <s v="PAT5044"/>
    <n v="73"/>
    <x v="2"/>
    <x v="5"/>
    <x v="41"/>
    <d v="2023-03-15T00:00:00"/>
    <n v="2"/>
    <x v="3"/>
    <n v="1"/>
    <s v="Dr. Rao"/>
    <n v="33513"/>
    <x v="3"/>
    <x v="0"/>
    <x v="1"/>
    <d v="2023-08-03T00:00:00"/>
    <d v="2023-08-03T23:00:00"/>
    <d v="1900-01-22T00:00:00"/>
    <x v="3"/>
    <x v="1"/>
    <x v="1"/>
    <n v="8"/>
    <n v="10"/>
    <n v="0.8"/>
    <s v="Plan C"/>
  </r>
  <r>
    <s v="PAT5045"/>
    <n v="39"/>
    <x v="4"/>
    <x v="1"/>
    <x v="42"/>
    <d v="2023-02-27T00:00:00"/>
    <n v="11"/>
    <x v="3"/>
    <n v="5"/>
    <s v="Dr. Mehta"/>
    <n v="7956"/>
    <x v="2"/>
    <x v="1"/>
    <x v="1"/>
    <d v="2023-02-13T00:00:00"/>
    <d v="2023-02-14T12:00:00"/>
    <d v="1900-02-04T00:00:00"/>
    <x v="3"/>
    <x v="0"/>
    <x v="0"/>
    <n v="9"/>
    <n v="10"/>
    <n v="0.9"/>
    <s v="Plan C"/>
  </r>
  <r>
    <s v="PAT5046"/>
    <n v="18"/>
    <x v="1"/>
    <x v="4"/>
    <x v="43"/>
    <d v="2023-08-28T00:00:00"/>
    <n v="6"/>
    <x v="0"/>
    <n v="4"/>
    <s v="Dr. Rao"/>
    <n v="13077"/>
    <x v="3"/>
    <x v="1"/>
    <x v="1"/>
    <d v="2023-08-22T00:00:00"/>
    <d v="2023-08-23T01:00:00"/>
    <d v="1900-01-24T00:00:00"/>
    <x v="4"/>
    <x v="0"/>
    <x v="0"/>
    <n v="8"/>
    <n v="10"/>
    <n v="0.8"/>
    <s v="Plan C"/>
  </r>
  <r>
    <s v="PAT5047"/>
    <n v="4"/>
    <x v="1"/>
    <x v="4"/>
    <x v="44"/>
    <d v="2023-02-11T00:00:00"/>
    <n v="9"/>
    <x v="2"/>
    <n v="4"/>
    <s v="Dr. Rao"/>
    <n v="41490"/>
    <x v="1"/>
    <x v="1"/>
    <x v="0"/>
    <d v="2023-10-19T00:00:00"/>
    <d v="2023-10-20T04:00:00"/>
    <d v="1900-01-27T00:00:00"/>
    <x v="2"/>
    <x v="0"/>
    <x v="2"/>
    <n v="6"/>
    <n v="8"/>
    <n v="0.75"/>
    <s v="Plan A"/>
  </r>
  <r>
    <s v="PAT5048"/>
    <n v="89"/>
    <x v="2"/>
    <x v="5"/>
    <x v="45"/>
    <d v="2023-07-04T00:00:00"/>
    <n v="15"/>
    <x v="4"/>
    <n v="5"/>
    <s v="Dr. Gupta"/>
    <n v="49827"/>
    <x v="1"/>
    <x v="1"/>
    <x v="1"/>
    <d v="2023-03-21T00:00:00"/>
    <d v="2023-03-21T12:00:00"/>
    <d v="1900-01-11T00:00:00"/>
    <x v="3"/>
    <x v="0"/>
    <x v="0"/>
    <n v="6"/>
    <n v="8"/>
    <n v="0.75"/>
    <s v="Plan A"/>
  </r>
  <r>
    <s v="PAT5049"/>
    <n v="60"/>
    <x v="0"/>
    <x v="3"/>
    <x v="13"/>
    <d v="2023-07-09T00:00:00"/>
    <n v="11"/>
    <x v="3"/>
    <n v="1"/>
    <s v="Dr. Rao"/>
    <n v="42855"/>
    <x v="3"/>
    <x v="1"/>
    <x v="0"/>
    <d v="2023-08-22T00:00:00"/>
    <d v="2023-08-23T20:00:00"/>
    <d v="1900-02-12T00:00:00"/>
    <x v="3"/>
    <x v="0"/>
    <x v="0"/>
    <n v="11"/>
    <n v="8"/>
    <n v="1.375"/>
    <s v="Plan C"/>
  </r>
  <r>
    <s v="PAT5050"/>
    <n v="14"/>
    <x v="1"/>
    <x v="2"/>
    <x v="46"/>
    <d v="2023-04-20T00:00:00"/>
    <n v="6"/>
    <x v="4"/>
    <n v="4"/>
    <s v="Dr. Rao"/>
    <n v="48106"/>
    <x v="1"/>
    <x v="0"/>
    <x v="0"/>
    <d v="2023-12-04T00:00:00"/>
    <d v="2023-04-13T14:00:00"/>
    <d v="1915-05-27T00:00:00"/>
    <x v="1"/>
    <x v="0"/>
    <x v="1"/>
    <n v="4"/>
    <n v="12"/>
    <n v="0.33333333333333331"/>
    <s v="Plan A"/>
  </r>
  <r>
    <s v="PAT5051"/>
    <n v="9"/>
    <x v="1"/>
    <x v="0"/>
    <x v="28"/>
    <d v="2024-01-26T00:00:00"/>
    <n v="1"/>
    <x v="5"/>
    <n v="3"/>
    <s v="Dr. Patel"/>
    <n v="39938"/>
    <x v="4"/>
    <x v="0"/>
    <x v="0"/>
    <d v="2024-01-20T00:00:00"/>
    <d v="2024-01-21T19:00:00"/>
    <d v="1900-02-11T00:00:00"/>
    <x v="1"/>
    <x v="0"/>
    <x v="1"/>
    <n v="10"/>
    <n v="12"/>
    <n v="0.83333333333333337"/>
    <s v="Plan B"/>
  </r>
  <r>
    <s v="PAT5052"/>
    <n v="53"/>
    <x v="0"/>
    <x v="2"/>
    <x v="20"/>
    <d v="2023-10-19T00:00:00"/>
    <n v="7"/>
    <x v="4"/>
    <n v="5"/>
    <s v="Dr. Mehta"/>
    <n v="41159"/>
    <x v="3"/>
    <x v="1"/>
    <x v="0"/>
    <d v="2023-12-10T00:00:00"/>
    <d v="2023-10-13T01:00:00"/>
    <d v="1903-10-22T00:00:00"/>
    <x v="0"/>
    <x v="1"/>
    <x v="2"/>
    <n v="7"/>
    <n v="12"/>
    <n v="0.58333333333333337"/>
    <s v="Plan C"/>
  </r>
  <r>
    <s v="PAT5053"/>
    <n v="2"/>
    <x v="1"/>
    <x v="1"/>
    <x v="47"/>
    <d v="2024-04-14T00:00:00"/>
    <n v="5"/>
    <x v="1"/>
    <n v="2"/>
    <s v="Dr. Patel"/>
    <n v="44710"/>
    <x v="4"/>
    <x v="0"/>
    <x v="0"/>
    <d v="2024-05-04T00:00:00"/>
    <d v="2024-05-04T06:00:00"/>
    <d v="1900-01-05T00:00:00"/>
    <x v="4"/>
    <x v="0"/>
    <x v="1"/>
    <n v="4"/>
    <n v="10"/>
    <n v="0.4"/>
    <s v="Plan B"/>
  </r>
  <r>
    <s v="PAT5054"/>
    <n v="84"/>
    <x v="2"/>
    <x v="0"/>
    <x v="48"/>
    <d v="2024-01-13T00:00:00"/>
    <n v="4"/>
    <x v="1"/>
    <n v="2"/>
    <s v="Dr. Patel"/>
    <n v="23000"/>
    <x v="4"/>
    <x v="0"/>
    <x v="1"/>
    <d v="2024-05-01T00:00:00"/>
    <d v="2024-06-01T16:00:00"/>
    <d v="1902-01-29T00:00:00"/>
    <x v="2"/>
    <x v="0"/>
    <x v="0"/>
    <n v="4"/>
    <n v="10"/>
    <n v="0.4"/>
    <s v="Plan B"/>
  </r>
  <r>
    <s v="PAT5055"/>
    <n v="60"/>
    <x v="0"/>
    <x v="5"/>
    <x v="49"/>
    <d v="2023-06-18T00:00:00"/>
    <n v="2"/>
    <x v="4"/>
    <n v="1"/>
    <s v="Dr. Sharma"/>
    <n v="18806"/>
    <x v="0"/>
    <x v="1"/>
    <x v="0"/>
    <d v="2023-06-14T00:00:00"/>
    <d v="2023-06-14T19:00:00"/>
    <d v="1900-01-18T00:00:00"/>
    <x v="3"/>
    <x v="0"/>
    <x v="0"/>
    <n v="10"/>
    <n v="10"/>
    <n v="1"/>
    <s v="Plan C"/>
  </r>
  <r>
    <s v="PAT5056"/>
    <n v="71"/>
    <x v="2"/>
    <x v="5"/>
    <x v="50"/>
    <d v="2024-01-29T00:00:00"/>
    <n v="14"/>
    <x v="1"/>
    <n v="3"/>
    <s v="Dr. Patel"/>
    <n v="17809"/>
    <x v="3"/>
    <x v="0"/>
    <x v="1"/>
    <d v="2024-01-13T00:00:00"/>
    <d v="2024-01-13T16:00:00"/>
    <d v="1900-01-15T00:00:00"/>
    <x v="3"/>
    <x v="0"/>
    <x v="0"/>
    <n v="11"/>
    <n v="10"/>
    <n v="1.1000000000000001"/>
    <s v="Plan B"/>
  </r>
  <r>
    <s v="PAT5057"/>
    <n v="44"/>
    <x v="4"/>
    <x v="3"/>
    <x v="51"/>
    <d v="2024-01-13T00:00:00"/>
    <n v="14"/>
    <x v="5"/>
    <n v="4"/>
    <s v="Dr. Gupta"/>
    <n v="19855"/>
    <x v="1"/>
    <x v="0"/>
    <x v="1"/>
    <d v="2023-12-29T00:00:00"/>
    <d v="2023-12-30T22:00:00"/>
    <d v="1900-02-14T00:00:00"/>
    <x v="0"/>
    <x v="0"/>
    <x v="1"/>
    <n v="11"/>
    <n v="10"/>
    <n v="1.1000000000000001"/>
    <s v="Plan B"/>
  </r>
  <r>
    <s v="PAT5058"/>
    <n v="8"/>
    <x v="1"/>
    <x v="0"/>
    <x v="52"/>
    <d v="2023-11-08T00:00:00"/>
    <n v="8"/>
    <x v="2"/>
    <n v="2"/>
    <s v="Dr. Gupta"/>
    <n v="46876"/>
    <x v="4"/>
    <x v="1"/>
    <x v="0"/>
    <d v="2023-07-29T00:00:00"/>
    <d v="2023-07-29T05:00:00"/>
    <d v="1900-01-04T00:00:00"/>
    <x v="3"/>
    <x v="0"/>
    <x v="0"/>
    <n v="10"/>
    <n v="8"/>
    <n v="1.25"/>
    <s v="Plan B"/>
  </r>
  <r>
    <s v="PAT5059"/>
    <n v="47"/>
    <x v="4"/>
    <x v="4"/>
    <x v="53"/>
    <d v="2023-03-10T00:00:00"/>
    <n v="2"/>
    <x v="1"/>
    <n v="1"/>
    <s v="Dr. Sharma"/>
    <n v="34388"/>
    <x v="0"/>
    <x v="1"/>
    <x v="0"/>
    <d v="2023-09-26T00:00:00"/>
    <d v="2023-09-26T06:00:00"/>
    <d v="1900-01-05T00:00:00"/>
    <x v="4"/>
    <x v="0"/>
    <x v="0"/>
    <n v="6"/>
    <n v="10"/>
    <n v="0.6"/>
    <s v="Plan C"/>
  </r>
  <r>
    <s v="PAT5060"/>
    <n v="35"/>
    <x v="3"/>
    <x v="0"/>
    <x v="54"/>
    <d v="2023-03-26T00:00:00"/>
    <n v="11"/>
    <x v="1"/>
    <n v="3"/>
    <s v="Dr. Mehta"/>
    <n v="11458"/>
    <x v="3"/>
    <x v="0"/>
    <x v="0"/>
    <d v="2023-10-03T00:00:00"/>
    <d v="2023-10-03T18:00:00"/>
    <d v="1900-01-17T00:00:00"/>
    <x v="0"/>
    <x v="0"/>
    <x v="2"/>
    <n v="10"/>
    <n v="8"/>
    <n v="1.25"/>
    <s v="Plan C"/>
  </r>
  <r>
    <s v="PAT5061"/>
    <n v="78"/>
    <x v="2"/>
    <x v="1"/>
    <x v="55"/>
    <d v="2023-06-29T00:00:00"/>
    <n v="4"/>
    <x v="4"/>
    <n v="3"/>
    <s v="Dr. Mehta"/>
    <n v="40524"/>
    <x v="3"/>
    <x v="1"/>
    <x v="0"/>
    <d v="2023-06-20T00:00:00"/>
    <d v="2023-06-20T10:00:00"/>
    <d v="1900-01-09T00:00:00"/>
    <x v="4"/>
    <x v="0"/>
    <x v="2"/>
    <n v="8"/>
    <n v="12"/>
    <n v="0.66666666666666663"/>
    <s v="Plan B"/>
  </r>
  <r>
    <s v="PAT5062"/>
    <n v="81"/>
    <x v="2"/>
    <x v="4"/>
    <x v="3"/>
    <d v="2023-09-19T00:00:00"/>
    <n v="11"/>
    <x v="5"/>
    <n v="1"/>
    <s v="Dr. Patel"/>
    <n v="11853"/>
    <x v="2"/>
    <x v="1"/>
    <x v="0"/>
    <d v="2023-07-09T00:00:00"/>
    <d v="2023-08-09T01:00:00"/>
    <d v="1902-01-14T00:00:00"/>
    <x v="0"/>
    <x v="0"/>
    <x v="2"/>
    <n v="6"/>
    <n v="12"/>
    <n v="0.5"/>
    <s v="Plan C"/>
  </r>
  <r>
    <s v="PAT5063"/>
    <n v="36"/>
    <x v="4"/>
    <x v="5"/>
    <x v="56"/>
    <d v="2023-06-28T00:00:00"/>
    <n v="11"/>
    <x v="2"/>
    <n v="1"/>
    <s v="Dr. Patel"/>
    <n v="45477"/>
    <x v="2"/>
    <x v="1"/>
    <x v="1"/>
    <d v="2023-06-15T00:00:00"/>
    <d v="2023-06-16T22:00:00"/>
    <d v="1900-02-14T00:00:00"/>
    <x v="3"/>
    <x v="0"/>
    <x v="1"/>
    <n v="10"/>
    <n v="12"/>
    <n v="0.83333333333333337"/>
    <s v="Plan C"/>
  </r>
  <r>
    <s v="PAT5064"/>
    <n v="50"/>
    <x v="4"/>
    <x v="0"/>
    <x v="57"/>
    <d v="2024-04-28T00:00:00"/>
    <n v="10"/>
    <x v="4"/>
    <n v="4"/>
    <s v="Dr. Patel"/>
    <n v="37222"/>
    <x v="4"/>
    <x v="1"/>
    <x v="1"/>
    <d v="2024-04-14T00:00:00"/>
    <d v="2024-04-15T17:00:00"/>
    <d v="1900-02-09T00:00:00"/>
    <x v="0"/>
    <x v="0"/>
    <x v="0"/>
    <n v="9"/>
    <n v="12"/>
    <n v="0.75"/>
    <s v="Plan B"/>
  </r>
  <r>
    <s v="PAT5065"/>
    <n v="4"/>
    <x v="1"/>
    <x v="2"/>
    <x v="58"/>
    <d v="2024-01-25T00:00:00"/>
    <n v="1"/>
    <x v="4"/>
    <n v="1"/>
    <s v="Dr. Mehta"/>
    <n v="23320"/>
    <x v="2"/>
    <x v="0"/>
    <x v="1"/>
    <d v="2024-01-23T00:00:00"/>
    <d v="2024-01-23T10:00:00"/>
    <d v="1900-01-09T00:00:00"/>
    <x v="1"/>
    <x v="0"/>
    <x v="0"/>
    <n v="6"/>
    <n v="12"/>
    <n v="0.5"/>
    <s v="Plan C"/>
  </r>
  <r>
    <s v="PAT5066"/>
    <n v="2"/>
    <x v="1"/>
    <x v="3"/>
    <x v="59"/>
    <d v="2023-05-10T00:00:00"/>
    <n v="1"/>
    <x v="0"/>
    <n v="4"/>
    <s v="Dr. Rao"/>
    <n v="33618"/>
    <x v="4"/>
    <x v="1"/>
    <x v="1"/>
    <d v="2023-04-10T00:00:00"/>
    <d v="2023-06-10T00:00:00"/>
    <d v="1904-01-03T00:00:00"/>
    <x v="2"/>
    <x v="0"/>
    <x v="0"/>
    <n v="6"/>
    <n v="10"/>
    <n v="0.6"/>
    <s v="Plan A"/>
  </r>
  <r>
    <s v="PAT5067"/>
    <n v="6"/>
    <x v="1"/>
    <x v="2"/>
    <x v="60"/>
    <d v="2023-08-26T00:00:00"/>
    <n v="13"/>
    <x v="5"/>
    <n v="4"/>
    <s v="Dr. Gupta"/>
    <n v="22352"/>
    <x v="1"/>
    <x v="1"/>
    <x v="0"/>
    <d v="2023-12-08T00:00:00"/>
    <d v="2023-08-13T01:00:00"/>
    <d v="1907-09-07T00:00:00"/>
    <x v="3"/>
    <x v="0"/>
    <x v="2"/>
    <n v="4"/>
    <n v="10"/>
    <n v="0.4"/>
    <s v="Plan C"/>
  </r>
  <r>
    <s v="PAT5068"/>
    <n v="54"/>
    <x v="0"/>
    <x v="3"/>
    <x v="61"/>
    <d v="2023-05-12T00:00:00"/>
    <n v="6"/>
    <x v="2"/>
    <n v="5"/>
    <s v="Dr. Rao"/>
    <n v="12297"/>
    <x v="4"/>
    <x v="0"/>
    <x v="0"/>
    <d v="2023-11-28T00:00:00"/>
    <d v="2023-11-28T21:00:00"/>
    <d v="1900-01-20T00:00:00"/>
    <x v="2"/>
    <x v="0"/>
    <x v="0"/>
    <n v="7"/>
    <n v="10"/>
    <n v="0.7"/>
    <s v="Plan A"/>
  </r>
  <r>
    <s v="PAT5069"/>
    <n v="4"/>
    <x v="1"/>
    <x v="1"/>
    <x v="62"/>
    <d v="2023-03-03T00:00:00"/>
    <n v="4"/>
    <x v="5"/>
    <n v="3"/>
    <s v="Dr. Rao"/>
    <n v="32940"/>
    <x v="2"/>
    <x v="1"/>
    <x v="1"/>
    <d v="2023-02-26T00:00:00"/>
    <d v="2023-02-27T00:00:00"/>
    <d v="1900-01-23T00:00:00"/>
    <x v="3"/>
    <x v="0"/>
    <x v="0"/>
    <n v="4"/>
    <n v="12"/>
    <n v="0.33333333333333331"/>
    <s v="Plan B"/>
  </r>
  <r>
    <s v="PAT5070"/>
    <n v="54"/>
    <x v="0"/>
    <x v="2"/>
    <x v="63"/>
    <d v="2023-08-26T00:00:00"/>
    <n v="3"/>
    <x v="2"/>
    <n v="3"/>
    <s v="Dr. Mehta"/>
    <n v="8203"/>
    <x v="1"/>
    <x v="1"/>
    <x v="0"/>
    <d v="2023-08-20T00:00:00"/>
    <d v="2023-08-20T07:00:00"/>
    <d v="1900-01-06T00:00:00"/>
    <x v="2"/>
    <x v="0"/>
    <x v="0"/>
    <n v="5"/>
    <n v="12"/>
    <n v="0.41666666666666669"/>
    <s v="Plan C"/>
  </r>
  <r>
    <s v="PAT5071"/>
    <n v="63"/>
    <x v="0"/>
    <x v="0"/>
    <x v="9"/>
    <d v="2023-02-15T00:00:00"/>
    <n v="13"/>
    <x v="5"/>
    <n v="3"/>
    <s v="Dr. Rao"/>
    <n v="44267"/>
    <x v="2"/>
    <x v="1"/>
    <x v="0"/>
    <d v="2023-02-02T00:00:00"/>
    <d v="2023-02-02T06:00:00"/>
    <d v="1900-01-05T00:00:00"/>
    <x v="1"/>
    <x v="0"/>
    <x v="0"/>
    <n v="6"/>
    <n v="8"/>
    <n v="0.75"/>
    <s v="Plan B"/>
  </r>
  <r>
    <s v="PAT5072"/>
    <n v="18"/>
    <x v="1"/>
    <x v="0"/>
    <x v="64"/>
    <d v="2023-11-30T00:00:00"/>
    <n v="10"/>
    <x v="4"/>
    <n v="5"/>
    <s v="Dr. Sharma"/>
    <n v="42941"/>
    <x v="4"/>
    <x v="0"/>
    <x v="1"/>
    <d v="2023-11-18T00:00:00"/>
    <d v="2023-11-18T01:00:00"/>
    <d v="1899-12-31T00:00:00"/>
    <x v="2"/>
    <x v="0"/>
    <x v="0"/>
    <n v="10"/>
    <n v="10"/>
    <n v="1"/>
    <s v="Plan B"/>
  </r>
  <r>
    <s v="PAT5073"/>
    <n v="44"/>
    <x v="4"/>
    <x v="2"/>
    <x v="65"/>
    <d v="2024-02-19T00:00:00"/>
    <n v="4"/>
    <x v="4"/>
    <n v="4"/>
    <s v="Dr. Patel"/>
    <n v="22273"/>
    <x v="0"/>
    <x v="1"/>
    <x v="1"/>
    <d v="2024-11-02T00:00:00"/>
    <d v="2024-11-02T20:00:00"/>
    <d v="1900-01-19T00:00:00"/>
    <x v="0"/>
    <x v="0"/>
    <x v="1"/>
    <n v="10"/>
    <n v="12"/>
    <n v="0.83333333333333337"/>
    <s v="Plan B"/>
  </r>
  <r>
    <s v="PAT5074"/>
    <n v="34"/>
    <x v="3"/>
    <x v="0"/>
    <x v="66"/>
    <d v="2023-04-10T00:00:00"/>
    <n v="2"/>
    <x v="3"/>
    <n v="4"/>
    <s v="Dr. Sharma"/>
    <n v="30368"/>
    <x v="3"/>
    <x v="1"/>
    <x v="1"/>
    <d v="2023-09-28T00:00:00"/>
    <d v="2023-09-29T05:00:00"/>
    <d v="1900-01-28T00:00:00"/>
    <x v="2"/>
    <x v="0"/>
    <x v="0"/>
    <n v="10"/>
    <n v="12"/>
    <n v="0.83333333333333337"/>
    <s v="Plan B"/>
  </r>
  <r>
    <s v="PAT5075"/>
    <n v="74"/>
    <x v="2"/>
    <x v="1"/>
    <x v="67"/>
    <d v="2023-03-23T00:00:00"/>
    <n v="14"/>
    <x v="1"/>
    <n v="1"/>
    <s v="Dr. Gupta"/>
    <n v="16650"/>
    <x v="2"/>
    <x v="1"/>
    <x v="1"/>
    <d v="2023-07-03T00:00:00"/>
    <d v="2023-08-03T00:00:00"/>
    <d v="1902-01-13T00:00:00"/>
    <x v="3"/>
    <x v="0"/>
    <x v="1"/>
    <n v="6"/>
    <n v="12"/>
    <n v="0.5"/>
    <s v="Plan B"/>
  </r>
  <r>
    <s v="PAT5076"/>
    <n v="62"/>
    <x v="0"/>
    <x v="4"/>
    <x v="68"/>
    <d v="2023-08-18T00:00:00"/>
    <n v="13"/>
    <x v="0"/>
    <n v="5"/>
    <s v="Dr. Patel"/>
    <n v="35984"/>
    <x v="4"/>
    <x v="1"/>
    <x v="1"/>
    <d v="2023-02-08T00:00:00"/>
    <d v="2023-02-08T18:00:00"/>
    <d v="1900-01-17T00:00:00"/>
    <x v="4"/>
    <x v="0"/>
    <x v="0"/>
    <n v="10"/>
    <n v="8"/>
    <n v="1.25"/>
    <s v="Plan C"/>
  </r>
  <r>
    <s v="PAT5077"/>
    <n v="14"/>
    <x v="1"/>
    <x v="1"/>
    <x v="69"/>
    <d v="2023-11-28T00:00:00"/>
    <n v="9"/>
    <x v="5"/>
    <n v="1"/>
    <s v="Dr. Rao"/>
    <n v="46941"/>
    <x v="1"/>
    <x v="1"/>
    <x v="0"/>
    <d v="2023-11-15T00:00:00"/>
    <d v="2023-11-15T07:00:00"/>
    <d v="1900-01-06T00:00:00"/>
    <x v="2"/>
    <x v="0"/>
    <x v="1"/>
    <n v="5"/>
    <n v="12"/>
    <n v="0.41666666666666669"/>
    <s v="Plan A"/>
  </r>
  <r>
    <s v="PAT5078"/>
    <n v="48"/>
    <x v="4"/>
    <x v="3"/>
    <x v="70"/>
    <d v="2023-10-08T00:00:00"/>
    <n v="4"/>
    <x v="0"/>
    <n v="5"/>
    <s v="Dr. Gupta"/>
    <n v="12382"/>
    <x v="2"/>
    <x v="1"/>
    <x v="1"/>
    <d v="2023-05-08T00:00:00"/>
    <d v="2023-05-08T09:00:00"/>
    <d v="1900-01-08T00:00:00"/>
    <x v="2"/>
    <x v="0"/>
    <x v="0"/>
    <n v="6"/>
    <n v="8"/>
    <n v="0.75"/>
    <s v="Plan C"/>
  </r>
  <r>
    <s v="PAT5079"/>
    <n v="15"/>
    <x v="1"/>
    <x v="1"/>
    <x v="71"/>
    <d v="2024-05-06T00:00:00"/>
    <n v="10"/>
    <x v="3"/>
    <n v="1"/>
    <s v="Dr. Patel"/>
    <n v="5801"/>
    <x v="2"/>
    <x v="0"/>
    <x v="0"/>
    <d v="2024-05-22T00:00:00"/>
    <d v="2024-05-22T06:00:00"/>
    <d v="1900-01-05T00:00:00"/>
    <x v="2"/>
    <x v="0"/>
    <x v="0"/>
    <n v="10"/>
    <n v="8"/>
    <n v="1.25"/>
    <s v="Plan C"/>
  </r>
  <r>
    <s v="PAT5080"/>
    <n v="72"/>
    <x v="2"/>
    <x v="3"/>
    <x v="72"/>
    <d v="2024-02-14T00:00:00"/>
    <n v="4"/>
    <x v="1"/>
    <n v="2"/>
    <s v="Dr. Rao"/>
    <n v="46002"/>
    <x v="3"/>
    <x v="1"/>
    <x v="0"/>
    <d v="2024-10-02T00:00:00"/>
    <d v="2024-10-02T12:00:00"/>
    <d v="1900-01-11T00:00:00"/>
    <x v="3"/>
    <x v="0"/>
    <x v="0"/>
    <n v="6"/>
    <n v="10"/>
    <n v="0.6"/>
    <s v="Plan C"/>
  </r>
  <r>
    <s v="PAT5081"/>
    <n v="78"/>
    <x v="2"/>
    <x v="0"/>
    <x v="73"/>
    <d v="2024-04-28T00:00:00"/>
    <n v="14"/>
    <x v="5"/>
    <n v="3"/>
    <s v="Dr. Sharma"/>
    <n v="24733"/>
    <x v="4"/>
    <x v="0"/>
    <x v="0"/>
    <d v="2024-04-14T00:00:00"/>
    <d v="2024-04-15T04:00:00"/>
    <d v="1900-01-27T00:00:00"/>
    <x v="2"/>
    <x v="0"/>
    <x v="0"/>
    <n v="9"/>
    <n v="12"/>
    <n v="0.75"/>
    <s v="Plan C"/>
  </r>
  <r>
    <s v="PAT5082"/>
    <n v="87"/>
    <x v="2"/>
    <x v="4"/>
    <x v="74"/>
    <d v="2023-10-06T00:00:00"/>
    <n v="14"/>
    <x v="2"/>
    <n v="3"/>
    <s v="Dr. Patel"/>
    <n v="14969"/>
    <x v="0"/>
    <x v="1"/>
    <x v="0"/>
    <d v="2023-05-25T00:00:00"/>
    <d v="2023-05-26T05:00:00"/>
    <d v="1900-01-28T00:00:00"/>
    <x v="3"/>
    <x v="0"/>
    <x v="2"/>
    <n v="6"/>
    <n v="8"/>
    <n v="0.75"/>
    <s v="Plan A"/>
  </r>
  <r>
    <s v="PAT5083"/>
    <n v="62"/>
    <x v="0"/>
    <x v="0"/>
    <x v="75"/>
    <d v="2023-03-10T00:00:00"/>
    <n v="4"/>
    <x v="1"/>
    <n v="4"/>
    <s v="Dr. Rao"/>
    <n v="40969"/>
    <x v="1"/>
    <x v="0"/>
    <x v="1"/>
    <d v="2023-09-26T00:00:00"/>
    <d v="2023-09-27T12:00:00"/>
    <d v="1900-02-04T00:00:00"/>
    <x v="3"/>
    <x v="0"/>
    <x v="0"/>
    <n v="5"/>
    <n v="12"/>
    <n v="0.41666666666666669"/>
    <s v="Plan C"/>
  </r>
  <r>
    <s v="PAT5084"/>
    <n v="40"/>
    <x v="4"/>
    <x v="5"/>
    <x v="5"/>
    <d v="2023-05-29T00:00:00"/>
    <n v="6"/>
    <x v="4"/>
    <n v="2"/>
    <s v="Dr. Sharma"/>
    <n v="21733"/>
    <x v="4"/>
    <x v="1"/>
    <x v="0"/>
    <d v="2023-05-18T00:00:00"/>
    <d v="2023-05-19T12:00:00"/>
    <d v="1900-02-04T00:00:00"/>
    <x v="4"/>
    <x v="0"/>
    <x v="1"/>
    <n v="4"/>
    <n v="10"/>
    <n v="0.4"/>
    <s v="Plan B"/>
  </r>
  <r>
    <s v="PAT5085"/>
    <n v="85"/>
    <x v="2"/>
    <x v="0"/>
    <x v="76"/>
    <d v="2023-09-23T00:00:00"/>
    <n v="13"/>
    <x v="3"/>
    <n v="3"/>
    <s v="Dr. Gupta"/>
    <n v="37449"/>
    <x v="1"/>
    <x v="0"/>
    <x v="0"/>
    <d v="2023-05-09T00:00:00"/>
    <d v="2023-06-09T09:00:00"/>
    <d v="1902-01-22T00:00:00"/>
    <x v="0"/>
    <x v="0"/>
    <x v="2"/>
    <n v="6"/>
    <n v="10"/>
    <n v="0.6"/>
    <s v="Plan C"/>
  </r>
  <r>
    <s v="PAT5086"/>
    <n v="80"/>
    <x v="2"/>
    <x v="3"/>
    <x v="77"/>
    <d v="2023-09-30T00:00:00"/>
    <n v="3"/>
    <x v="1"/>
    <n v="4"/>
    <s v="Dr. Gupta"/>
    <n v="31143"/>
    <x v="2"/>
    <x v="1"/>
    <x v="1"/>
    <d v="2023-09-24T00:00:00"/>
    <d v="2023-09-25T03:00:00"/>
    <d v="1900-01-26T00:00:00"/>
    <x v="3"/>
    <x v="0"/>
    <x v="2"/>
    <n v="7"/>
    <n v="8"/>
    <n v="0.875"/>
    <s v="Plan C"/>
  </r>
  <r>
    <s v="PAT5087"/>
    <n v="82"/>
    <x v="2"/>
    <x v="0"/>
    <x v="78"/>
    <d v="2024-03-27T00:00:00"/>
    <n v="13"/>
    <x v="1"/>
    <n v="2"/>
    <s v="Dr. Gupta"/>
    <n v="30705"/>
    <x v="3"/>
    <x v="1"/>
    <x v="1"/>
    <d v="2024-10-03T00:00:00"/>
    <d v="2024-10-03T07:00:00"/>
    <d v="1900-01-06T00:00:00"/>
    <x v="1"/>
    <x v="0"/>
    <x v="0"/>
    <n v="5"/>
    <n v="10"/>
    <n v="0.5"/>
    <s v="Plan A"/>
  </r>
  <r>
    <s v="PAT5088"/>
    <n v="53"/>
    <x v="0"/>
    <x v="0"/>
    <x v="79"/>
    <d v="2024-02-28T00:00:00"/>
    <n v="15"/>
    <x v="4"/>
    <n v="3"/>
    <s v="Dr. Gupta"/>
    <n v="33363"/>
    <x v="3"/>
    <x v="1"/>
    <x v="0"/>
    <d v="2024-10-02T00:00:00"/>
    <d v="2024-10-02T02:00:00"/>
    <d v="1900-01-01T00:00:00"/>
    <x v="2"/>
    <x v="0"/>
    <x v="1"/>
    <n v="8"/>
    <n v="10"/>
    <n v="0.8"/>
    <s v="Plan A"/>
  </r>
  <r>
    <s v="PAT5089"/>
    <n v="24"/>
    <x v="3"/>
    <x v="4"/>
    <x v="39"/>
    <d v="2024-01-16T00:00:00"/>
    <n v="10"/>
    <x v="5"/>
    <n v="1"/>
    <s v="Dr. Mehta"/>
    <n v="35720"/>
    <x v="0"/>
    <x v="0"/>
    <x v="0"/>
    <d v="2024-03-01T00:00:00"/>
    <d v="2024-03-01T06:00:00"/>
    <d v="1900-01-05T00:00:00"/>
    <x v="1"/>
    <x v="0"/>
    <x v="1"/>
    <n v="9"/>
    <n v="10"/>
    <n v="0.9"/>
    <s v="Plan B"/>
  </r>
  <r>
    <s v="PAT5090"/>
    <n v="26"/>
    <x v="3"/>
    <x v="0"/>
    <x v="60"/>
    <d v="2023-08-14T00:00:00"/>
    <n v="1"/>
    <x v="2"/>
    <n v="5"/>
    <s v="Dr. Patel"/>
    <n v="14972"/>
    <x v="3"/>
    <x v="1"/>
    <x v="0"/>
    <d v="2023-09-08T00:00:00"/>
    <d v="2023-09-08T23:00:00"/>
    <d v="1900-01-22T00:00:00"/>
    <x v="2"/>
    <x v="0"/>
    <x v="2"/>
    <n v="5"/>
    <n v="12"/>
    <n v="0.41666666666666669"/>
    <s v="Plan C"/>
  </r>
  <r>
    <s v="PAT5091"/>
    <n v="89"/>
    <x v="2"/>
    <x v="4"/>
    <x v="80"/>
    <d v="2023-05-27T00:00:00"/>
    <n v="5"/>
    <x v="4"/>
    <n v="2"/>
    <s v="Dr. Patel"/>
    <n v="38351"/>
    <x v="2"/>
    <x v="1"/>
    <x v="0"/>
    <d v="2023-05-22T00:00:00"/>
    <d v="2023-05-23T12:00:00"/>
    <d v="1900-02-04T00:00:00"/>
    <x v="4"/>
    <x v="0"/>
    <x v="1"/>
    <n v="4"/>
    <n v="12"/>
    <n v="0.33333333333333331"/>
    <s v="Plan C"/>
  </r>
  <r>
    <s v="PAT5092"/>
    <n v="60"/>
    <x v="0"/>
    <x v="2"/>
    <x v="81"/>
    <d v="2024-06-19T00:00:00"/>
    <n v="14"/>
    <x v="2"/>
    <n v="4"/>
    <s v="Dr. Mehta"/>
    <n v="41145"/>
    <x v="0"/>
    <x v="0"/>
    <x v="0"/>
    <d v="2024-04-06T00:00:00"/>
    <d v="2024-04-06T06:00:00"/>
    <d v="1900-01-05T00:00:00"/>
    <x v="3"/>
    <x v="0"/>
    <x v="0"/>
    <n v="10"/>
    <n v="8"/>
    <n v="1.25"/>
    <s v="Plan C"/>
  </r>
  <r>
    <s v="PAT5093"/>
    <n v="41"/>
    <x v="4"/>
    <x v="5"/>
    <x v="82"/>
    <d v="2024-05-23T00:00:00"/>
    <n v="3"/>
    <x v="5"/>
    <n v="2"/>
    <s v="Dr. Rao"/>
    <n v="27412"/>
    <x v="4"/>
    <x v="1"/>
    <x v="1"/>
    <d v="2024-05-18T00:00:00"/>
    <d v="2024-05-19T15:00:00"/>
    <d v="1900-02-07T00:00:00"/>
    <x v="0"/>
    <x v="1"/>
    <x v="0"/>
    <n v="10"/>
    <n v="8"/>
    <n v="1.25"/>
    <s v="Plan B"/>
  </r>
  <r>
    <s v="PAT5094"/>
    <n v="29"/>
    <x v="3"/>
    <x v="4"/>
    <x v="83"/>
    <d v="2023-07-04T00:00:00"/>
    <n v="3"/>
    <x v="1"/>
    <n v="4"/>
    <s v="Dr. Rao"/>
    <n v="29078"/>
    <x v="3"/>
    <x v="0"/>
    <x v="0"/>
    <d v="2023-03-30T00:00:00"/>
    <d v="2023-03-31T15:00:00"/>
    <d v="1900-02-07T00:00:00"/>
    <x v="3"/>
    <x v="0"/>
    <x v="0"/>
    <n v="5"/>
    <n v="10"/>
    <n v="0.5"/>
    <s v="Plan A"/>
  </r>
  <r>
    <s v="PAT5095"/>
    <n v="15"/>
    <x v="1"/>
    <x v="3"/>
    <x v="84"/>
    <d v="2023-02-27T00:00:00"/>
    <n v="9"/>
    <x v="2"/>
    <n v="2"/>
    <s v="Dr. Gupta"/>
    <n v="27580"/>
    <x v="0"/>
    <x v="0"/>
    <x v="1"/>
    <d v="2023-02-18T00:00:00"/>
    <d v="2023-02-18T21:00:00"/>
    <d v="1900-01-20T00:00:00"/>
    <x v="2"/>
    <x v="0"/>
    <x v="0"/>
    <n v="8"/>
    <n v="10"/>
    <n v="0.8"/>
    <s v="Plan B"/>
  </r>
  <r>
    <s v="PAT5096"/>
    <n v="45"/>
    <x v="4"/>
    <x v="2"/>
    <x v="85"/>
    <d v="2023-04-28T00:00:00"/>
    <n v="5"/>
    <x v="3"/>
    <n v="4"/>
    <s v="Dr. Sharma"/>
    <n v="19855"/>
    <x v="2"/>
    <x v="0"/>
    <x v="1"/>
    <d v="2023-04-20T00:00:00"/>
    <d v="2023-04-21T01:00:00"/>
    <d v="1900-01-24T00:00:00"/>
    <x v="0"/>
    <x v="0"/>
    <x v="0"/>
    <n v="10"/>
    <n v="8"/>
    <n v="1.25"/>
    <s v="Plan C"/>
  </r>
  <r>
    <s v="PAT5097"/>
    <n v="65"/>
    <x v="0"/>
    <x v="4"/>
    <x v="86"/>
    <d v="2023-06-19T00:00:00"/>
    <n v="13"/>
    <x v="3"/>
    <n v="3"/>
    <s v="Dr. Rao"/>
    <n v="41169"/>
    <x v="1"/>
    <x v="1"/>
    <x v="0"/>
    <d v="2023-03-06T00:00:00"/>
    <d v="2023-03-06T01:00:00"/>
    <d v="1899-12-31T00:00:00"/>
    <x v="3"/>
    <x v="1"/>
    <x v="2"/>
    <n v="9"/>
    <n v="10"/>
    <n v="0.9"/>
    <s v="Plan A"/>
  </r>
  <r>
    <s v="PAT5098"/>
    <n v="89"/>
    <x v="2"/>
    <x v="4"/>
    <x v="22"/>
    <d v="2023-06-16T00:00:00"/>
    <n v="3"/>
    <x v="4"/>
    <n v="1"/>
    <s v="Dr. Sharma"/>
    <n v="24569"/>
    <x v="1"/>
    <x v="1"/>
    <x v="0"/>
    <d v="2023-08-06T00:00:00"/>
    <d v="2023-08-06T19:00:00"/>
    <d v="1900-01-18T00:00:00"/>
    <x v="0"/>
    <x v="1"/>
    <x v="0"/>
    <n v="7"/>
    <n v="8"/>
    <n v="0.875"/>
    <s v="Plan A"/>
  </r>
  <r>
    <s v="PAT5099"/>
    <n v="71"/>
    <x v="2"/>
    <x v="5"/>
    <x v="8"/>
    <d v="2024-10-03T00:00:00"/>
    <n v="2"/>
    <x v="5"/>
    <n v="3"/>
    <s v="Dr. Patel"/>
    <n v="30738"/>
    <x v="2"/>
    <x v="1"/>
    <x v="0"/>
    <d v="2024-04-03T00:00:00"/>
    <d v="2024-05-03T03:00:00"/>
    <d v="1901-12-23T00:00:00"/>
    <x v="2"/>
    <x v="0"/>
    <x v="0"/>
    <n v="8"/>
    <n v="12"/>
    <n v="0.66666666666666663"/>
    <s v="Plan B"/>
  </r>
  <r>
    <s v="PAT5100"/>
    <n v="9"/>
    <x v="1"/>
    <x v="3"/>
    <x v="87"/>
    <d v="2023-03-18T00:00:00"/>
    <n v="11"/>
    <x v="4"/>
    <n v="1"/>
    <s v="Dr. Sharma"/>
    <n v="11772"/>
    <x v="2"/>
    <x v="0"/>
    <x v="0"/>
    <d v="2023-05-03T00:00:00"/>
    <d v="2023-06-03T01:00:00"/>
    <d v="1902-01-14T00:00:00"/>
    <x v="4"/>
    <x v="0"/>
    <x v="2"/>
    <n v="11"/>
    <n v="10"/>
    <n v="1.1000000000000001"/>
    <s v="Plan A"/>
  </r>
  <r>
    <s v="PAT5101"/>
    <n v="88"/>
    <x v="2"/>
    <x v="1"/>
    <x v="88"/>
    <d v="2024-02-13T00:00:00"/>
    <n v="14"/>
    <x v="4"/>
    <n v="3"/>
    <s v="Dr. Patel"/>
    <n v="29874"/>
    <x v="1"/>
    <x v="1"/>
    <x v="0"/>
    <d v="2024-01-29T00:00:00"/>
    <d v="2024-01-29T06:00:00"/>
    <d v="1900-01-05T00:00:00"/>
    <x v="4"/>
    <x v="0"/>
    <x v="2"/>
    <n v="11"/>
    <n v="10"/>
    <n v="1.1000000000000001"/>
    <s v="Plan A"/>
  </r>
  <r>
    <s v="PAT5102"/>
    <n v="1"/>
    <x v="1"/>
    <x v="1"/>
    <x v="89"/>
    <d v="2024-01-27T00:00:00"/>
    <n v="1"/>
    <x v="0"/>
    <n v="3"/>
    <s v="Dr. Mehta"/>
    <n v="24731"/>
    <x v="0"/>
    <x v="1"/>
    <x v="1"/>
    <d v="2024-01-22T00:00:00"/>
    <d v="2024-01-23T23:00:00"/>
    <d v="1900-02-15T00:00:00"/>
    <x v="3"/>
    <x v="0"/>
    <x v="2"/>
    <n v="5"/>
    <n v="10"/>
    <n v="0.5"/>
    <s v="Plan C"/>
  </r>
  <r>
    <s v="PAT5103"/>
    <n v="8"/>
    <x v="1"/>
    <x v="4"/>
    <x v="90"/>
    <d v="2024-04-27T00:00:00"/>
    <n v="3"/>
    <x v="4"/>
    <n v="2"/>
    <s v="Dr. Mehta"/>
    <n v="15131"/>
    <x v="1"/>
    <x v="0"/>
    <x v="1"/>
    <d v="2024-04-19T00:00:00"/>
    <d v="2024-04-20T12:00:00"/>
    <d v="1900-02-04T00:00:00"/>
    <x v="1"/>
    <x v="0"/>
    <x v="1"/>
    <n v="8"/>
    <n v="12"/>
    <n v="0.66666666666666663"/>
    <s v="Plan C"/>
  </r>
  <r>
    <s v="PAT5104"/>
    <n v="88"/>
    <x v="2"/>
    <x v="0"/>
    <x v="91"/>
    <d v="2023-09-16T00:00:00"/>
    <n v="1"/>
    <x v="0"/>
    <n v="5"/>
    <s v="Dr. Gupta"/>
    <n v="5788"/>
    <x v="2"/>
    <x v="1"/>
    <x v="1"/>
    <d v="2023-11-09T00:00:00"/>
    <d v="2023-11-09T16:00:00"/>
    <d v="1900-01-15T00:00:00"/>
    <x v="2"/>
    <x v="0"/>
    <x v="1"/>
    <n v="10"/>
    <n v="12"/>
    <n v="0.83333333333333337"/>
    <s v="Plan A"/>
  </r>
  <r>
    <s v="PAT5105"/>
    <n v="63"/>
    <x v="0"/>
    <x v="3"/>
    <x v="92"/>
    <d v="2023-01-18T00:00:00"/>
    <n v="6"/>
    <x v="3"/>
    <n v="4"/>
    <s v="Dr. Rao"/>
    <n v="21184"/>
    <x v="3"/>
    <x v="0"/>
    <x v="0"/>
    <d v="2023-11-01T00:00:00"/>
    <d v="2023-12-01T13:00:00"/>
    <d v="1902-01-02T00:00:00"/>
    <x v="3"/>
    <x v="0"/>
    <x v="0"/>
    <n v="10"/>
    <n v="10"/>
    <n v="1"/>
    <s v="Plan A"/>
  </r>
  <r>
    <s v="PAT5106"/>
    <n v="11"/>
    <x v="1"/>
    <x v="2"/>
    <x v="93"/>
    <d v="2023-11-05T00:00:00"/>
    <n v="13"/>
    <x v="3"/>
    <n v="4"/>
    <s v="Dr. Gupta"/>
    <n v="35897"/>
    <x v="4"/>
    <x v="0"/>
    <x v="0"/>
    <d v="2023-04-27T00:00:00"/>
    <d v="2023-04-28T10:00:00"/>
    <d v="1900-02-02T00:00:00"/>
    <x v="3"/>
    <x v="0"/>
    <x v="0"/>
    <n v="5"/>
    <n v="8"/>
    <n v="0.625"/>
    <s v="Plan B"/>
  </r>
  <r>
    <s v="PAT5107"/>
    <n v="81"/>
    <x v="2"/>
    <x v="0"/>
    <x v="53"/>
    <d v="2023-10-14T00:00:00"/>
    <n v="13"/>
    <x v="4"/>
    <n v="4"/>
    <s v="Dr. Patel"/>
    <n v="7889"/>
    <x v="3"/>
    <x v="0"/>
    <x v="0"/>
    <d v="2023-09-28T00:00:00"/>
    <d v="2023-09-28T11:00:00"/>
    <d v="1900-01-10T00:00:00"/>
    <x v="4"/>
    <x v="0"/>
    <x v="0"/>
    <n v="10"/>
    <n v="12"/>
    <n v="0.83333333333333337"/>
    <s v="Plan B"/>
  </r>
  <r>
    <s v="PAT5108"/>
    <n v="8"/>
    <x v="1"/>
    <x v="0"/>
    <x v="23"/>
    <d v="2023-12-19T00:00:00"/>
    <n v="4"/>
    <x v="3"/>
    <n v="1"/>
    <s v="Dr. Gupta"/>
    <n v="14569"/>
    <x v="3"/>
    <x v="0"/>
    <x v="0"/>
    <d v="2023-11-12T00:00:00"/>
    <d v="2023-12-12T20:00:00"/>
    <d v="1902-01-09T00:00:00"/>
    <x v="0"/>
    <x v="0"/>
    <x v="1"/>
    <n v="10"/>
    <n v="10"/>
    <n v="1"/>
    <s v="Plan A"/>
  </r>
  <r>
    <s v="PAT5109"/>
    <n v="35"/>
    <x v="3"/>
    <x v="3"/>
    <x v="0"/>
    <d v="2023-05-05T00:00:00"/>
    <n v="10"/>
    <x v="5"/>
    <n v="4"/>
    <s v="Dr. Sharma"/>
    <n v="26657"/>
    <x v="2"/>
    <x v="1"/>
    <x v="0"/>
    <d v="2023-04-25T00:00:00"/>
    <d v="2023-04-26T01:00:00"/>
    <d v="1900-01-24T00:00:00"/>
    <x v="2"/>
    <x v="0"/>
    <x v="0"/>
    <n v="7"/>
    <n v="10"/>
    <n v="0.7"/>
    <s v="Plan C"/>
  </r>
  <r>
    <s v="PAT5110"/>
    <n v="35"/>
    <x v="3"/>
    <x v="4"/>
    <x v="38"/>
    <d v="2023-03-11T00:00:00"/>
    <n v="6"/>
    <x v="0"/>
    <n v="4"/>
    <s v="Dr. Patel"/>
    <n v="15141"/>
    <x v="1"/>
    <x v="1"/>
    <x v="1"/>
    <d v="2023-10-28T00:00:00"/>
    <d v="2023-10-28T11:00:00"/>
    <d v="1900-01-10T00:00:00"/>
    <x v="0"/>
    <x v="0"/>
    <x v="0"/>
    <n v="7"/>
    <n v="12"/>
    <n v="0.58333333333333337"/>
    <s v="Plan A"/>
  </r>
  <r>
    <s v="PAT5111"/>
    <n v="33"/>
    <x v="3"/>
    <x v="4"/>
    <x v="94"/>
    <d v="2024-03-22T00:00:00"/>
    <n v="1"/>
    <x v="0"/>
    <n v="2"/>
    <s v="Dr. Mehta"/>
    <n v="24656"/>
    <x v="0"/>
    <x v="0"/>
    <x v="1"/>
    <d v="2024-03-17T00:00:00"/>
    <d v="2024-03-17T09:00:00"/>
    <d v="1900-01-08T00:00:00"/>
    <x v="2"/>
    <x v="0"/>
    <x v="1"/>
    <n v="4"/>
    <n v="8"/>
    <n v="0.5"/>
    <s v="Plan A"/>
  </r>
  <r>
    <s v="PAT5112"/>
    <n v="5"/>
    <x v="1"/>
    <x v="4"/>
    <x v="95"/>
    <d v="2023-06-14T00:00:00"/>
    <n v="3"/>
    <x v="4"/>
    <n v="3"/>
    <s v="Dr. Rao"/>
    <n v="26618"/>
    <x v="3"/>
    <x v="1"/>
    <x v="0"/>
    <d v="2023-10-06T00:00:00"/>
    <d v="2023-10-06T18:00:00"/>
    <d v="1900-01-17T00:00:00"/>
    <x v="1"/>
    <x v="0"/>
    <x v="2"/>
    <n v="7"/>
    <n v="10"/>
    <n v="0.7"/>
    <s v="Plan C"/>
  </r>
  <r>
    <s v="PAT5113"/>
    <n v="41"/>
    <x v="4"/>
    <x v="4"/>
    <x v="47"/>
    <d v="2024-04-14T00:00:00"/>
    <n v="5"/>
    <x v="3"/>
    <n v="4"/>
    <s v="Dr. Patel"/>
    <n v="16934"/>
    <x v="1"/>
    <x v="1"/>
    <x v="0"/>
    <d v="2024-07-04T00:00:00"/>
    <d v="2024-07-04T20:00:00"/>
    <d v="1900-01-19T00:00:00"/>
    <x v="4"/>
    <x v="0"/>
    <x v="1"/>
    <n v="6"/>
    <n v="8"/>
    <n v="0.75"/>
    <s v="Plan C"/>
  </r>
  <r>
    <s v="PAT5114"/>
    <n v="28"/>
    <x v="3"/>
    <x v="1"/>
    <x v="96"/>
    <d v="2023-05-01T00:00:00"/>
    <n v="1"/>
    <x v="2"/>
    <n v="5"/>
    <s v="Dr. Patel"/>
    <n v="47537"/>
    <x v="0"/>
    <x v="0"/>
    <x v="0"/>
    <d v="2023-03-01T00:00:00"/>
    <d v="2023-03-01T18:00:00"/>
    <d v="1900-01-17T00:00:00"/>
    <x v="1"/>
    <x v="0"/>
    <x v="0"/>
    <n v="8"/>
    <n v="8"/>
    <n v="1"/>
    <s v="Plan B"/>
  </r>
  <r>
    <s v="PAT5115"/>
    <n v="7"/>
    <x v="1"/>
    <x v="4"/>
    <x v="77"/>
    <d v="2023-09-30T00:00:00"/>
    <n v="3"/>
    <x v="0"/>
    <n v="4"/>
    <s v="Dr. Sharma"/>
    <n v="28286"/>
    <x v="3"/>
    <x v="1"/>
    <x v="1"/>
    <d v="2023-09-26T00:00:00"/>
    <d v="2023-09-27T08:00:00"/>
    <d v="1900-01-31T00:00:00"/>
    <x v="3"/>
    <x v="0"/>
    <x v="1"/>
    <n v="8"/>
    <n v="12"/>
    <n v="0.66666666666666663"/>
    <s v="Plan B"/>
  </r>
  <r>
    <s v="PAT5116"/>
    <n v="73"/>
    <x v="2"/>
    <x v="1"/>
    <x v="97"/>
    <d v="2024-08-06T00:00:00"/>
    <n v="12"/>
    <x v="4"/>
    <n v="1"/>
    <s v="Dr. Rao"/>
    <n v="12612"/>
    <x v="0"/>
    <x v="0"/>
    <x v="0"/>
    <d v="2024-05-25T00:00:00"/>
    <d v="2024-05-25T10:00:00"/>
    <d v="1900-01-09T00:00:00"/>
    <x v="4"/>
    <x v="0"/>
    <x v="2"/>
    <n v="5"/>
    <n v="10"/>
    <n v="0.5"/>
    <s v="Plan B"/>
  </r>
  <r>
    <s v="PAT5117"/>
    <n v="72"/>
    <x v="2"/>
    <x v="1"/>
    <x v="98"/>
    <d v="2023-09-07T00:00:00"/>
    <n v="7"/>
    <x v="4"/>
    <n v="1"/>
    <s v="Dr. Mehta"/>
    <n v="37069"/>
    <x v="1"/>
    <x v="0"/>
    <x v="0"/>
    <d v="2023-06-27T00:00:00"/>
    <d v="2023-06-27T05:00:00"/>
    <d v="1900-01-04T00:00:00"/>
    <x v="3"/>
    <x v="0"/>
    <x v="2"/>
    <n v="7"/>
    <n v="10"/>
    <n v="0.7"/>
    <s v="Plan B"/>
  </r>
  <r>
    <s v="PAT5118"/>
    <n v="12"/>
    <x v="1"/>
    <x v="4"/>
    <x v="99"/>
    <d v="2024-12-06T00:00:00"/>
    <n v="9"/>
    <x v="5"/>
    <n v="1"/>
    <s v="Dr. Patel"/>
    <n v="21205"/>
    <x v="4"/>
    <x v="0"/>
    <x v="1"/>
    <d v="2024-02-06T00:00:00"/>
    <d v="2024-02-06T11:00:00"/>
    <d v="1900-01-10T00:00:00"/>
    <x v="1"/>
    <x v="0"/>
    <x v="2"/>
    <n v="4"/>
    <n v="8"/>
    <n v="0.5"/>
    <s v="Plan C"/>
  </r>
  <r>
    <s v="PAT5119"/>
    <n v="34"/>
    <x v="3"/>
    <x v="5"/>
    <x v="100"/>
    <d v="2023-04-21T00:00:00"/>
    <n v="2"/>
    <x v="1"/>
    <n v="4"/>
    <s v="Dr. Patel"/>
    <n v="32331"/>
    <x v="1"/>
    <x v="0"/>
    <x v="0"/>
    <d v="2023-04-17T00:00:00"/>
    <d v="2023-04-18T04:00:00"/>
    <d v="1900-01-27T00:00:00"/>
    <x v="2"/>
    <x v="0"/>
    <x v="2"/>
    <n v="10"/>
    <n v="12"/>
    <n v="0.83333333333333337"/>
    <s v="Plan A"/>
  </r>
  <r>
    <s v="PAT5120"/>
    <n v="33"/>
    <x v="3"/>
    <x v="2"/>
    <x v="101"/>
    <d v="2023-11-14T00:00:00"/>
    <n v="12"/>
    <x v="1"/>
    <n v="2"/>
    <s v="Dr. Sharma"/>
    <n v="18934"/>
    <x v="2"/>
    <x v="0"/>
    <x v="0"/>
    <d v="2023-10-29T00:00:00"/>
    <d v="2023-10-29T18:00:00"/>
    <d v="1900-01-17T00:00:00"/>
    <x v="3"/>
    <x v="0"/>
    <x v="2"/>
    <n v="4"/>
    <n v="12"/>
    <n v="0.33333333333333331"/>
    <s v="Plan B"/>
  </r>
  <r>
    <s v="PAT5121"/>
    <n v="48"/>
    <x v="4"/>
    <x v="0"/>
    <x v="99"/>
    <d v="2024-05-06T00:00:00"/>
    <n v="2"/>
    <x v="0"/>
    <n v="5"/>
    <s v="Dr. Gupta"/>
    <n v="15095"/>
    <x v="0"/>
    <x v="0"/>
    <x v="0"/>
    <d v="2024-01-06T00:00:00"/>
    <d v="2024-02-06T03:00:00"/>
    <d v="1902-01-16T00:00:00"/>
    <x v="0"/>
    <x v="0"/>
    <x v="2"/>
    <n v="4"/>
    <n v="12"/>
    <n v="0.33333333333333331"/>
    <s v="Plan B"/>
  </r>
  <r>
    <s v="PAT5122"/>
    <n v="23"/>
    <x v="3"/>
    <x v="1"/>
    <x v="16"/>
    <d v="2023-07-31T00:00:00"/>
    <n v="8"/>
    <x v="5"/>
    <n v="4"/>
    <s v="Dr. Mehta"/>
    <n v="30958"/>
    <x v="4"/>
    <x v="1"/>
    <x v="1"/>
    <d v="2023-07-23T00:00:00"/>
    <d v="2023-07-23T20:00:00"/>
    <d v="1900-01-19T00:00:00"/>
    <x v="2"/>
    <x v="0"/>
    <x v="0"/>
    <n v="9"/>
    <n v="8"/>
    <n v="1.125"/>
    <s v="Plan C"/>
  </r>
  <r>
    <s v="PAT5123"/>
    <n v="62"/>
    <x v="0"/>
    <x v="3"/>
    <x v="86"/>
    <d v="2023-06-14T00:00:00"/>
    <n v="8"/>
    <x v="5"/>
    <n v="2"/>
    <s v="Dr. Rao"/>
    <n v="42008"/>
    <x v="0"/>
    <x v="1"/>
    <x v="0"/>
    <d v="2023-04-06T00:00:00"/>
    <d v="2023-05-06T07:00:00"/>
    <d v="1901-12-27T00:00:00"/>
    <x v="2"/>
    <x v="0"/>
    <x v="0"/>
    <n v="10"/>
    <n v="8"/>
    <n v="1.25"/>
    <s v="Plan C"/>
  </r>
  <r>
    <s v="PAT5124"/>
    <n v="88"/>
    <x v="2"/>
    <x v="3"/>
    <x v="102"/>
    <d v="2024-01-31T00:00:00"/>
    <n v="13"/>
    <x v="5"/>
    <n v="2"/>
    <s v="Dr. Patel"/>
    <n v="23706"/>
    <x v="0"/>
    <x v="0"/>
    <x v="0"/>
    <d v="2024-01-17T00:00:00"/>
    <d v="2024-01-17T05:00:00"/>
    <d v="1900-01-04T00:00:00"/>
    <x v="1"/>
    <x v="0"/>
    <x v="1"/>
    <n v="6"/>
    <n v="10"/>
    <n v="0.6"/>
    <s v="Plan A"/>
  </r>
  <r>
    <s v="PAT5125"/>
    <n v="37"/>
    <x v="4"/>
    <x v="2"/>
    <x v="103"/>
    <d v="2023-06-21T00:00:00"/>
    <n v="6"/>
    <x v="0"/>
    <n v="4"/>
    <s v="Dr. Patel"/>
    <n v="48516"/>
    <x v="3"/>
    <x v="0"/>
    <x v="0"/>
    <d v="2023-10-06T00:00:00"/>
    <d v="2023-11-06T00:00:00"/>
    <d v="1902-01-13T00:00:00"/>
    <x v="1"/>
    <x v="0"/>
    <x v="0"/>
    <n v="7"/>
    <n v="12"/>
    <n v="0.58333333333333337"/>
    <s v="Plan A"/>
  </r>
  <r>
    <s v="PAT5126"/>
    <n v="44"/>
    <x v="4"/>
    <x v="3"/>
    <x v="104"/>
    <d v="2023-10-01T00:00:00"/>
    <n v="9"/>
    <x v="1"/>
    <n v="4"/>
    <s v="Dr. Mehta"/>
    <n v="43066"/>
    <x v="2"/>
    <x v="1"/>
    <x v="0"/>
    <d v="2022-12-28T00:00:00"/>
    <d v="2022-12-28T17:00:00"/>
    <d v="1900-01-16T00:00:00"/>
    <x v="4"/>
    <x v="0"/>
    <x v="2"/>
    <n v="10"/>
    <n v="8"/>
    <n v="1.25"/>
    <s v="Plan C"/>
  </r>
  <r>
    <s v="PAT5127"/>
    <n v="86"/>
    <x v="2"/>
    <x v="5"/>
    <x v="105"/>
    <d v="2023-08-12T00:00:00"/>
    <n v="10"/>
    <x v="5"/>
    <n v="2"/>
    <s v="Dr. Gupta"/>
    <n v="36472"/>
    <x v="0"/>
    <x v="1"/>
    <x v="0"/>
    <d v="2023-11-26T00:00:00"/>
    <d v="2023-11-26T16:00:00"/>
    <d v="1900-01-15T00:00:00"/>
    <x v="4"/>
    <x v="1"/>
    <x v="0"/>
    <n v="4"/>
    <n v="12"/>
    <n v="0.33333333333333331"/>
    <s v="Plan B"/>
  </r>
  <r>
    <s v="PAT5128"/>
    <n v="35"/>
    <x v="3"/>
    <x v="3"/>
    <x v="106"/>
    <d v="2024-05-17T00:00:00"/>
    <n v="2"/>
    <x v="3"/>
    <n v="2"/>
    <s v="Dr. Patel"/>
    <n v="39629"/>
    <x v="1"/>
    <x v="1"/>
    <x v="0"/>
    <d v="2024-05-14T00:00:00"/>
    <d v="2024-05-15T23:00:00"/>
    <d v="1900-02-15T00:00:00"/>
    <x v="0"/>
    <x v="0"/>
    <x v="1"/>
    <n v="10"/>
    <n v="8"/>
    <n v="1.25"/>
    <s v="Plan B"/>
  </r>
  <r>
    <s v="PAT5129"/>
    <n v="65"/>
    <x v="0"/>
    <x v="0"/>
    <x v="107"/>
    <d v="2023-01-28T00:00:00"/>
    <n v="8"/>
    <x v="4"/>
    <n v="2"/>
    <s v="Dr. Mehta"/>
    <n v="28004"/>
    <x v="1"/>
    <x v="1"/>
    <x v="0"/>
    <d v="2023-01-15T00:00:00"/>
    <d v="2023-01-16T17:00:00"/>
    <d v="1900-02-09T00:00:00"/>
    <x v="2"/>
    <x v="0"/>
    <x v="2"/>
    <n v="6"/>
    <n v="10"/>
    <n v="0.6"/>
    <s v="Plan B"/>
  </r>
  <r>
    <s v="PAT5130"/>
    <n v="47"/>
    <x v="4"/>
    <x v="0"/>
    <x v="0"/>
    <d v="2023-04-05T00:00:00"/>
    <n v="9"/>
    <x v="4"/>
    <n v="4"/>
    <s v="Dr. Sharma"/>
    <n v="25431"/>
    <x v="3"/>
    <x v="0"/>
    <x v="0"/>
    <d v="2023-04-23T00:00:00"/>
    <d v="2023-04-24T08:00:00"/>
    <d v="1900-01-31T00:00:00"/>
    <x v="0"/>
    <x v="0"/>
    <x v="0"/>
    <n v="8"/>
    <n v="12"/>
    <n v="0.66666666666666663"/>
    <s v="Plan A"/>
  </r>
  <r>
    <s v="PAT5131"/>
    <n v="78"/>
    <x v="2"/>
    <x v="1"/>
    <x v="108"/>
    <d v="2024-11-01T00:00:00"/>
    <n v="4"/>
    <x v="2"/>
    <n v="2"/>
    <s v="Dr. Gupta"/>
    <n v="45088"/>
    <x v="2"/>
    <x v="0"/>
    <x v="1"/>
    <d v="2024-03-01T00:00:00"/>
    <d v="2024-04-01T15:00:00"/>
    <d v="1902-01-28T00:00:00"/>
    <x v="0"/>
    <x v="1"/>
    <x v="0"/>
    <n v="5"/>
    <n v="8"/>
    <n v="0.625"/>
    <s v="Plan B"/>
  </r>
  <r>
    <s v="PAT5132"/>
    <n v="3"/>
    <x v="1"/>
    <x v="4"/>
    <x v="109"/>
    <d v="2023-11-21T00:00:00"/>
    <n v="10"/>
    <x v="2"/>
    <n v="1"/>
    <s v="Dr. Rao"/>
    <n v="49135"/>
    <x v="2"/>
    <x v="1"/>
    <x v="0"/>
    <d v="2023-07-11T00:00:00"/>
    <d v="2023-08-11T16:00:00"/>
    <d v="1902-01-29T00:00:00"/>
    <x v="1"/>
    <x v="0"/>
    <x v="1"/>
    <n v="7"/>
    <n v="12"/>
    <n v="0.58333333333333337"/>
    <s v="Plan B"/>
  </r>
  <r>
    <s v="PAT5133"/>
    <n v="1"/>
    <x v="1"/>
    <x v="5"/>
    <x v="110"/>
    <d v="2023-04-09T00:00:00"/>
    <n v="1"/>
    <x v="0"/>
    <n v="4"/>
    <s v="Dr. Patel"/>
    <n v="43015"/>
    <x v="1"/>
    <x v="0"/>
    <x v="1"/>
    <d v="2023-03-09T00:00:00"/>
    <d v="2023-03-09T13:00:00"/>
    <d v="1900-01-12T00:00:00"/>
    <x v="0"/>
    <x v="0"/>
    <x v="2"/>
    <n v="7"/>
    <n v="8"/>
    <n v="0.875"/>
    <s v="Plan C"/>
  </r>
  <r>
    <s v="PAT5134"/>
    <n v="5"/>
    <x v="1"/>
    <x v="1"/>
    <x v="111"/>
    <d v="2023-03-13T00:00:00"/>
    <n v="12"/>
    <x v="0"/>
    <n v="1"/>
    <s v="Dr. Mehta"/>
    <n v="39502"/>
    <x v="4"/>
    <x v="1"/>
    <x v="0"/>
    <d v="2023-02-25T00:00:00"/>
    <d v="2023-02-26T06:00:00"/>
    <d v="1900-01-29T00:00:00"/>
    <x v="0"/>
    <x v="0"/>
    <x v="1"/>
    <n v="9"/>
    <n v="8"/>
    <n v="1.125"/>
    <s v="Plan B"/>
  </r>
  <r>
    <s v="PAT5135"/>
    <n v="14"/>
    <x v="1"/>
    <x v="5"/>
    <x v="112"/>
    <d v="2023-09-17T00:00:00"/>
    <n v="13"/>
    <x v="4"/>
    <n v="3"/>
    <s v="Dr. Sharma"/>
    <n v="36385"/>
    <x v="3"/>
    <x v="0"/>
    <x v="0"/>
    <d v="2023-08-30T00:00:00"/>
    <d v="2023-08-30T07:00:00"/>
    <d v="1900-01-06T00:00:00"/>
    <x v="3"/>
    <x v="0"/>
    <x v="2"/>
    <n v="8"/>
    <n v="8"/>
    <n v="1"/>
    <s v="Plan C"/>
  </r>
  <r>
    <s v="PAT5136"/>
    <n v="27"/>
    <x v="3"/>
    <x v="4"/>
    <x v="37"/>
    <d v="2023-06-04T00:00:00"/>
    <n v="15"/>
    <x v="3"/>
    <n v="4"/>
    <s v="Dr. Rao"/>
    <n v="9663"/>
    <x v="3"/>
    <x v="1"/>
    <x v="0"/>
    <d v="2023-03-21T00:00:00"/>
    <d v="2023-03-21T09:00:00"/>
    <d v="1900-01-08T00:00:00"/>
    <x v="4"/>
    <x v="0"/>
    <x v="2"/>
    <n v="7"/>
    <n v="12"/>
    <n v="0.58333333333333337"/>
    <s v="Plan B"/>
  </r>
  <r>
    <s v="PAT5137"/>
    <n v="9"/>
    <x v="1"/>
    <x v="3"/>
    <x v="113"/>
    <d v="2023-12-04T00:00:00"/>
    <n v="14"/>
    <x v="1"/>
    <n v="3"/>
    <s v="Dr. Mehta"/>
    <n v="43677"/>
    <x v="1"/>
    <x v="0"/>
    <x v="0"/>
    <d v="2023-03-25T00:00:00"/>
    <d v="2023-03-25T20:00:00"/>
    <d v="1900-01-19T00:00:00"/>
    <x v="4"/>
    <x v="0"/>
    <x v="0"/>
    <n v="9"/>
    <n v="8"/>
    <n v="1.125"/>
    <s v="Plan A"/>
  </r>
  <r>
    <s v="PAT5138"/>
    <n v="79"/>
    <x v="2"/>
    <x v="3"/>
    <x v="114"/>
    <d v="2024-05-23T00:00:00"/>
    <n v="11"/>
    <x v="1"/>
    <n v="2"/>
    <s v="Dr. Mehta"/>
    <n v="17818"/>
    <x v="1"/>
    <x v="1"/>
    <x v="0"/>
    <d v="2024-08-05T00:00:00"/>
    <d v="2024-08-05T01:00:00"/>
    <d v="1899-12-31T00:00:00"/>
    <x v="2"/>
    <x v="0"/>
    <x v="1"/>
    <n v="9"/>
    <n v="10"/>
    <n v="0.9"/>
    <s v="Plan B"/>
  </r>
  <r>
    <s v="PAT5139"/>
    <n v="15"/>
    <x v="1"/>
    <x v="4"/>
    <x v="115"/>
    <d v="2023-03-21T00:00:00"/>
    <n v="9"/>
    <x v="0"/>
    <n v="2"/>
    <s v="Dr. Rao"/>
    <n v="27686"/>
    <x v="4"/>
    <x v="1"/>
    <x v="1"/>
    <d v="2023-11-03T00:00:00"/>
    <d v="2023-12-03T02:00:00"/>
    <d v="1901-12-22T00:00:00"/>
    <x v="4"/>
    <x v="0"/>
    <x v="1"/>
    <n v="9"/>
    <n v="12"/>
    <n v="0.75"/>
    <s v="Plan B"/>
  </r>
  <r>
    <s v="PAT5140"/>
    <n v="42"/>
    <x v="4"/>
    <x v="1"/>
    <x v="116"/>
    <d v="2023-05-14T00:00:00"/>
    <n v="5"/>
    <x v="3"/>
    <n v="5"/>
    <s v="Dr. Sharma"/>
    <n v="28977"/>
    <x v="4"/>
    <x v="1"/>
    <x v="0"/>
    <d v="2023-08-05T00:00:00"/>
    <d v="2023-08-05T22:00:00"/>
    <d v="1900-01-21T00:00:00"/>
    <x v="2"/>
    <x v="0"/>
    <x v="1"/>
    <n v="11"/>
    <n v="10"/>
    <n v="1.1000000000000001"/>
    <s v="Plan C"/>
  </r>
  <r>
    <s v="PAT5141"/>
    <n v="77"/>
    <x v="2"/>
    <x v="4"/>
    <x v="117"/>
    <d v="2023-05-20T00:00:00"/>
    <n v="8"/>
    <x v="0"/>
    <n v="2"/>
    <s v="Dr. Sharma"/>
    <n v="45931"/>
    <x v="2"/>
    <x v="1"/>
    <x v="0"/>
    <d v="2023-07-05T00:00:00"/>
    <d v="2023-08-05T16:00:00"/>
    <d v="1902-01-29T00:00:00"/>
    <x v="3"/>
    <x v="0"/>
    <x v="2"/>
    <n v="7"/>
    <n v="10"/>
    <n v="0.7"/>
    <s v="Plan C"/>
  </r>
  <r>
    <s v="PAT5142"/>
    <n v="51"/>
    <x v="0"/>
    <x v="2"/>
    <x v="118"/>
    <d v="2024-12-05T00:00:00"/>
    <n v="11"/>
    <x v="1"/>
    <n v="3"/>
    <s v="Dr. Gupta"/>
    <n v="23454"/>
    <x v="3"/>
    <x v="1"/>
    <x v="1"/>
    <d v="2024-04-27T00:00:00"/>
    <d v="2024-04-28T01:00:00"/>
    <d v="1900-01-24T00:00:00"/>
    <x v="4"/>
    <x v="0"/>
    <x v="1"/>
    <n v="7"/>
    <n v="12"/>
    <n v="0.58333333333333337"/>
    <s v="Plan C"/>
  </r>
  <r>
    <s v="PAT5143"/>
    <n v="63"/>
    <x v="0"/>
    <x v="0"/>
    <x v="119"/>
    <d v="2023-06-20T00:00:00"/>
    <n v="1"/>
    <x v="0"/>
    <n v="2"/>
    <s v="Dr. Patel"/>
    <n v="18358"/>
    <x v="3"/>
    <x v="1"/>
    <x v="1"/>
    <d v="2023-06-14T00:00:00"/>
    <d v="2023-06-14T22:00:00"/>
    <d v="1900-01-21T00:00:00"/>
    <x v="3"/>
    <x v="0"/>
    <x v="2"/>
    <n v="7"/>
    <n v="8"/>
    <n v="0.875"/>
    <s v="Plan B"/>
  </r>
  <r>
    <s v="PAT5144"/>
    <n v="52"/>
    <x v="0"/>
    <x v="1"/>
    <x v="75"/>
    <d v="2023-09-30T00:00:00"/>
    <n v="1"/>
    <x v="5"/>
    <n v="4"/>
    <s v="Dr. Rao"/>
    <n v="11668"/>
    <x v="1"/>
    <x v="1"/>
    <x v="0"/>
    <d v="2023-09-25T00:00:00"/>
    <d v="2023-09-26T05:00:00"/>
    <d v="1900-01-28T00:00:00"/>
    <x v="4"/>
    <x v="0"/>
    <x v="1"/>
    <n v="6"/>
    <n v="10"/>
    <n v="0.6"/>
    <s v="Plan B"/>
  </r>
  <r>
    <s v="PAT5145"/>
    <n v="4"/>
    <x v="1"/>
    <x v="5"/>
    <x v="120"/>
    <d v="2024-02-07T00:00:00"/>
    <n v="8"/>
    <x v="0"/>
    <n v="2"/>
    <s v="Dr. Rao"/>
    <n v="45769"/>
    <x v="2"/>
    <x v="0"/>
    <x v="0"/>
    <d v="2024-06-22T00:00:00"/>
    <d v="2024-06-22T22:00:00"/>
    <d v="1900-01-21T00:00:00"/>
    <x v="4"/>
    <x v="0"/>
    <x v="1"/>
    <n v="9"/>
    <n v="12"/>
    <n v="0.75"/>
    <s v="Plan A"/>
  </r>
  <r>
    <s v="PAT5146"/>
    <n v="23"/>
    <x v="3"/>
    <x v="2"/>
    <x v="121"/>
    <d v="2024-03-23T00:00:00"/>
    <n v="14"/>
    <x v="4"/>
    <n v="5"/>
    <s v="Dr. Rao"/>
    <n v="14921"/>
    <x v="3"/>
    <x v="0"/>
    <x v="0"/>
    <d v="2024-05-03T00:00:00"/>
    <d v="2024-06-03T04:00:00"/>
    <d v="1902-01-17T00:00:00"/>
    <x v="3"/>
    <x v="0"/>
    <x v="0"/>
    <n v="6"/>
    <n v="8"/>
    <n v="0.75"/>
    <s v="Plan B"/>
  </r>
  <r>
    <s v="PAT5147"/>
    <n v="15"/>
    <x v="1"/>
    <x v="1"/>
    <x v="68"/>
    <d v="2023-12-08T00:00:00"/>
    <n v="7"/>
    <x v="0"/>
    <n v="2"/>
    <s v="Dr. Sharma"/>
    <n v="39959"/>
    <x v="2"/>
    <x v="0"/>
    <x v="0"/>
    <d v="2023-05-08T00:00:00"/>
    <d v="2023-06-08T18:00:00"/>
    <d v="1902-01-31T00:00:00"/>
    <x v="0"/>
    <x v="0"/>
    <x v="1"/>
    <n v="5"/>
    <n v="12"/>
    <n v="0.41666666666666669"/>
    <s v="Plan A"/>
  </r>
  <r>
    <s v="PAT5148"/>
    <n v="43"/>
    <x v="4"/>
    <x v="4"/>
    <x v="122"/>
    <d v="2023-01-08T00:00:00"/>
    <n v="7"/>
    <x v="4"/>
    <n v="3"/>
    <s v="Dr. Patel"/>
    <n v="37328"/>
    <x v="2"/>
    <x v="0"/>
    <x v="1"/>
    <d v="2023-07-25T00:00:00"/>
    <d v="2023-07-26T15:00:00"/>
    <d v="1900-02-07T00:00:00"/>
    <x v="0"/>
    <x v="0"/>
    <x v="0"/>
    <n v="7"/>
    <n v="12"/>
    <n v="0.58333333333333337"/>
    <s v="Plan C"/>
  </r>
  <r>
    <s v="PAT5149"/>
    <n v="29"/>
    <x v="3"/>
    <x v="4"/>
    <x v="123"/>
    <d v="2023-11-27T00:00:00"/>
    <n v="11"/>
    <x v="3"/>
    <n v="3"/>
    <s v="Dr. Gupta"/>
    <n v="13859"/>
    <x v="1"/>
    <x v="1"/>
    <x v="0"/>
    <d v="2023-11-16T00:00:00"/>
    <d v="2023-11-16T09:00:00"/>
    <d v="1900-01-08T00:00:00"/>
    <x v="0"/>
    <x v="0"/>
    <x v="0"/>
    <n v="11"/>
    <n v="12"/>
    <n v="0.91666666666666663"/>
    <s v="Plan C"/>
  </r>
  <r>
    <s v="PAT5150"/>
    <n v="36"/>
    <x v="4"/>
    <x v="4"/>
    <x v="79"/>
    <d v="2024-02-15T00:00:00"/>
    <n v="2"/>
    <x v="1"/>
    <n v="2"/>
    <s v="Dr. Mehta"/>
    <n v="28970"/>
    <x v="2"/>
    <x v="1"/>
    <x v="0"/>
    <d v="2024-02-13T00:00:00"/>
    <d v="2024-02-13T20:00:00"/>
    <d v="1900-01-19T00:00:00"/>
    <x v="0"/>
    <x v="0"/>
    <x v="2"/>
    <n v="10"/>
    <n v="8"/>
    <n v="1.25"/>
    <s v="Plan C"/>
  </r>
  <r>
    <s v="PAT5151"/>
    <n v="13"/>
    <x v="1"/>
    <x v="4"/>
    <x v="102"/>
    <d v="2024-01-26T00:00:00"/>
    <n v="8"/>
    <x v="2"/>
    <n v="3"/>
    <s v="Dr. Mehta"/>
    <n v="13872"/>
    <x v="4"/>
    <x v="1"/>
    <x v="0"/>
    <d v="2024-01-13T00:00:00"/>
    <d v="2024-01-13T21:00:00"/>
    <d v="1900-01-20T00:00:00"/>
    <x v="4"/>
    <x v="0"/>
    <x v="1"/>
    <n v="8"/>
    <n v="10"/>
    <n v="0.8"/>
    <s v="Plan A"/>
  </r>
  <r>
    <s v="PAT5152"/>
    <n v="32"/>
    <x v="3"/>
    <x v="5"/>
    <x v="124"/>
    <d v="2024-05-04T00:00:00"/>
    <n v="12"/>
    <x v="2"/>
    <n v="3"/>
    <s v="Dr. Rao"/>
    <n v="24230"/>
    <x v="4"/>
    <x v="0"/>
    <x v="0"/>
    <d v="2024-03-20T00:00:00"/>
    <d v="2024-03-21T15:00:00"/>
    <d v="1900-02-07T00:00:00"/>
    <x v="1"/>
    <x v="0"/>
    <x v="1"/>
    <n v="11"/>
    <n v="10"/>
    <n v="1.1000000000000001"/>
    <s v="Plan B"/>
  </r>
  <r>
    <s v="PAT5153"/>
    <n v="71"/>
    <x v="2"/>
    <x v="2"/>
    <x v="125"/>
    <d v="2024-06-28T00:00:00"/>
    <n v="15"/>
    <x v="1"/>
    <n v="5"/>
    <s v="Dr. Patel"/>
    <n v="31708"/>
    <x v="0"/>
    <x v="0"/>
    <x v="0"/>
    <d v="2024-11-06T00:00:00"/>
    <d v="2024-12-06T21:00:00"/>
    <d v="1902-01-10T00:00:00"/>
    <x v="3"/>
    <x v="1"/>
    <x v="1"/>
    <n v="4"/>
    <n v="12"/>
    <n v="0.33333333333333331"/>
    <s v="Plan C"/>
  </r>
  <r>
    <s v="PAT5154"/>
    <n v="59"/>
    <x v="0"/>
    <x v="3"/>
    <x v="126"/>
    <d v="2024-04-15T00:00:00"/>
    <n v="8"/>
    <x v="2"/>
    <n v="4"/>
    <s v="Dr. Sharma"/>
    <n v="23847"/>
    <x v="1"/>
    <x v="1"/>
    <x v="0"/>
    <d v="2024-02-04T00:00:00"/>
    <d v="2024-02-04T13:00:00"/>
    <d v="1900-01-12T00:00:00"/>
    <x v="1"/>
    <x v="0"/>
    <x v="0"/>
    <n v="5"/>
    <n v="12"/>
    <n v="0.41666666666666669"/>
    <s v="Plan B"/>
  </r>
  <r>
    <s v="PAT5155"/>
    <n v="86"/>
    <x v="2"/>
    <x v="0"/>
    <x v="127"/>
    <d v="2023-06-05T00:00:00"/>
    <n v="2"/>
    <x v="0"/>
    <n v="5"/>
    <s v="Dr. Patel"/>
    <n v="32105"/>
    <x v="0"/>
    <x v="1"/>
    <x v="0"/>
    <d v="2023-03-05T00:00:00"/>
    <d v="2023-04-05T07:00:00"/>
    <d v="1902-01-20T00:00:00"/>
    <x v="1"/>
    <x v="0"/>
    <x v="1"/>
    <n v="10"/>
    <n v="8"/>
    <n v="1.25"/>
    <s v="Plan B"/>
  </r>
  <r>
    <s v="PAT5156"/>
    <n v="28"/>
    <x v="3"/>
    <x v="5"/>
    <x v="128"/>
    <d v="2023-09-26T00:00:00"/>
    <n v="15"/>
    <x v="3"/>
    <n v="1"/>
    <s v="Dr. Patel"/>
    <n v="9922"/>
    <x v="4"/>
    <x v="1"/>
    <x v="1"/>
    <d v="2023-07-09T00:00:00"/>
    <d v="2023-07-09T21:00:00"/>
    <d v="1900-01-20T00:00:00"/>
    <x v="2"/>
    <x v="0"/>
    <x v="2"/>
    <n v="4"/>
    <n v="12"/>
    <n v="0.33333333333333331"/>
    <s v="Plan C"/>
  </r>
  <r>
    <s v="PAT5157"/>
    <n v="66"/>
    <x v="2"/>
    <x v="5"/>
    <x v="129"/>
    <d v="2023-08-21T00:00:00"/>
    <n v="2"/>
    <x v="3"/>
    <n v="5"/>
    <s v="Dr. Sharma"/>
    <n v="9392"/>
    <x v="0"/>
    <x v="0"/>
    <x v="0"/>
    <d v="2023-08-16T00:00:00"/>
    <d v="2023-08-16T12:00:00"/>
    <d v="1900-01-11T00:00:00"/>
    <x v="0"/>
    <x v="0"/>
    <x v="2"/>
    <n v="4"/>
    <n v="12"/>
    <n v="0.33333333333333331"/>
    <s v="Plan A"/>
  </r>
  <r>
    <s v="PAT5158"/>
    <n v="42"/>
    <x v="4"/>
    <x v="3"/>
    <x v="87"/>
    <d v="2023-03-13T00:00:00"/>
    <n v="6"/>
    <x v="1"/>
    <n v="2"/>
    <s v="Dr. Rao"/>
    <n v="18541"/>
    <x v="1"/>
    <x v="1"/>
    <x v="0"/>
    <d v="2023-03-03T00:00:00"/>
    <d v="2023-04-03T02:00:00"/>
    <d v="1902-01-15T00:00:00"/>
    <x v="4"/>
    <x v="0"/>
    <x v="1"/>
    <n v="7"/>
    <n v="12"/>
    <n v="0.58333333333333337"/>
    <s v="Plan B"/>
  </r>
  <r>
    <s v="PAT5159"/>
    <n v="45"/>
    <x v="4"/>
    <x v="3"/>
    <x v="130"/>
    <d v="2023-12-23T00:00:00"/>
    <n v="10"/>
    <x v="2"/>
    <n v="4"/>
    <s v="Dr. Patel"/>
    <n v="24551"/>
    <x v="1"/>
    <x v="1"/>
    <x v="0"/>
    <d v="2023-08-12T00:00:00"/>
    <d v="2023-08-12T21:00:00"/>
    <d v="1900-01-20T00:00:00"/>
    <x v="0"/>
    <x v="0"/>
    <x v="0"/>
    <n v="8"/>
    <n v="10"/>
    <n v="0.8"/>
    <s v="Plan C"/>
  </r>
  <r>
    <s v="PAT5160"/>
    <n v="62"/>
    <x v="0"/>
    <x v="0"/>
    <x v="131"/>
    <d v="2023-01-25T00:00:00"/>
    <n v="3"/>
    <x v="0"/>
    <n v="2"/>
    <s v="Dr. Mehta"/>
    <n v="24381"/>
    <x v="2"/>
    <x v="1"/>
    <x v="1"/>
    <d v="2023-01-22T00:00:00"/>
    <d v="2023-01-22T19:00:00"/>
    <d v="1900-01-18T00:00:00"/>
    <x v="0"/>
    <x v="0"/>
    <x v="2"/>
    <n v="4"/>
    <n v="12"/>
    <n v="0.33333333333333331"/>
    <s v="Plan B"/>
  </r>
  <r>
    <s v="PAT5161"/>
    <n v="57"/>
    <x v="0"/>
    <x v="0"/>
    <x v="132"/>
    <d v="2023-08-26T00:00:00"/>
    <n v="2"/>
    <x v="3"/>
    <n v="1"/>
    <s v="Dr. Sharma"/>
    <n v="40995"/>
    <x v="3"/>
    <x v="0"/>
    <x v="0"/>
    <d v="2023-08-21T00:00:00"/>
    <d v="2023-08-23T00:00:00"/>
    <d v="1900-02-16T00:00:00"/>
    <x v="1"/>
    <x v="0"/>
    <x v="2"/>
    <n v="9"/>
    <n v="10"/>
    <n v="0.9"/>
    <s v="Plan B"/>
  </r>
  <r>
    <s v="PAT5162"/>
    <n v="6"/>
    <x v="1"/>
    <x v="3"/>
    <x v="18"/>
    <d v="2023-08-17T00:00:00"/>
    <n v="3"/>
    <x v="3"/>
    <n v="4"/>
    <s v="Dr. Gupta"/>
    <n v="27948"/>
    <x v="2"/>
    <x v="0"/>
    <x v="1"/>
    <d v="2023-09-08T00:00:00"/>
    <d v="2023-10-08T21:00:00"/>
    <d v="1902-01-10T00:00:00"/>
    <x v="2"/>
    <x v="0"/>
    <x v="0"/>
    <n v="10"/>
    <n v="8"/>
    <n v="1.25"/>
    <s v="Plan B"/>
  </r>
  <r>
    <s v="PAT5163"/>
    <n v="28"/>
    <x v="3"/>
    <x v="4"/>
    <x v="133"/>
    <d v="2023-01-13T00:00:00"/>
    <n v="5"/>
    <x v="5"/>
    <n v="3"/>
    <s v="Dr. Rao"/>
    <n v="31728"/>
    <x v="1"/>
    <x v="1"/>
    <x v="0"/>
    <d v="2023-04-01T00:00:00"/>
    <d v="2023-05-01T17:00:00"/>
    <d v="1902-01-06T00:00:00"/>
    <x v="0"/>
    <x v="0"/>
    <x v="2"/>
    <n v="11"/>
    <n v="8"/>
    <n v="1.375"/>
    <s v="Plan B"/>
  </r>
  <r>
    <s v="PAT5164"/>
    <n v="28"/>
    <x v="3"/>
    <x v="5"/>
    <x v="134"/>
    <d v="2023-03-24T00:00:00"/>
    <n v="10"/>
    <x v="5"/>
    <n v="5"/>
    <s v="Dr. Sharma"/>
    <n v="7024"/>
    <x v="4"/>
    <x v="0"/>
    <x v="0"/>
    <d v="2023-12-03T00:00:00"/>
    <d v="2023-03-13T08:00:00"/>
    <d v="1917-05-22T00:00:00"/>
    <x v="3"/>
    <x v="0"/>
    <x v="0"/>
    <n v="11"/>
    <n v="10"/>
    <n v="1.1000000000000001"/>
    <s v="Plan B"/>
  </r>
  <r>
    <s v="PAT5165"/>
    <n v="44"/>
    <x v="4"/>
    <x v="1"/>
    <x v="135"/>
    <d v="2023-03-13T00:00:00"/>
    <n v="11"/>
    <x v="3"/>
    <n v="2"/>
    <s v="Dr. Gupta"/>
    <n v="21713"/>
    <x v="4"/>
    <x v="1"/>
    <x v="0"/>
    <d v="2023-02-25T00:00:00"/>
    <d v="2023-02-26T13:00:00"/>
    <d v="1900-02-05T00:00:00"/>
    <x v="3"/>
    <x v="0"/>
    <x v="2"/>
    <n v="4"/>
    <n v="10"/>
    <n v="0.4"/>
    <s v="Plan A"/>
  </r>
  <r>
    <s v="PAT5166"/>
    <n v="84"/>
    <x v="2"/>
    <x v="0"/>
    <x v="63"/>
    <d v="2023-02-09T00:00:00"/>
    <n v="10"/>
    <x v="1"/>
    <n v="1"/>
    <s v="Dr. Gupta"/>
    <n v="7486"/>
    <x v="2"/>
    <x v="0"/>
    <x v="1"/>
    <d v="2023-08-21T00:00:00"/>
    <d v="2023-08-21T16:00:00"/>
    <d v="1900-01-15T00:00:00"/>
    <x v="0"/>
    <x v="0"/>
    <x v="0"/>
    <n v="5"/>
    <n v="10"/>
    <n v="0.5"/>
    <s v="Plan A"/>
  </r>
  <r>
    <s v="PAT5167"/>
    <n v="30"/>
    <x v="3"/>
    <x v="0"/>
    <x v="136"/>
    <d v="2023-03-20T00:00:00"/>
    <n v="9"/>
    <x v="4"/>
    <n v="3"/>
    <s v="Dr. Patel"/>
    <n v="6155"/>
    <x v="1"/>
    <x v="0"/>
    <x v="0"/>
    <d v="2023-08-03T00:00:00"/>
    <d v="2023-08-03T21:00:00"/>
    <d v="1900-01-20T00:00:00"/>
    <x v="1"/>
    <x v="0"/>
    <x v="2"/>
    <n v="8"/>
    <n v="10"/>
    <n v="0.8"/>
    <s v="Plan C"/>
  </r>
  <r>
    <s v="PAT5168"/>
    <n v="62"/>
    <x v="0"/>
    <x v="3"/>
    <x v="9"/>
    <d v="2023-02-14T00:00:00"/>
    <n v="12"/>
    <x v="4"/>
    <n v="5"/>
    <s v="Dr. Patel"/>
    <n v="15082"/>
    <x v="4"/>
    <x v="1"/>
    <x v="0"/>
    <d v="2023-01-02T00:00:00"/>
    <d v="2023-02-02T01:00:00"/>
    <d v="1902-01-14T00:00:00"/>
    <x v="1"/>
    <x v="0"/>
    <x v="1"/>
    <n v="8"/>
    <n v="12"/>
    <n v="0.66666666666666663"/>
    <s v="Plan A"/>
  </r>
  <r>
    <s v="PAT5169"/>
    <n v="75"/>
    <x v="2"/>
    <x v="2"/>
    <x v="137"/>
    <d v="2023-11-12T00:00:00"/>
    <n v="6"/>
    <x v="0"/>
    <n v="3"/>
    <s v="Dr. Patel"/>
    <n v="42245"/>
    <x v="1"/>
    <x v="1"/>
    <x v="0"/>
    <d v="2023-11-30T00:00:00"/>
    <d v="2023-11-30T18:00:00"/>
    <d v="1900-01-17T00:00:00"/>
    <x v="4"/>
    <x v="0"/>
    <x v="2"/>
    <n v="11"/>
    <n v="10"/>
    <n v="1.1000000000000001"/>
    <s v="Plan A"/>
  </r>
  <r>
    <s v="PAT5170"/>
    <n v="89"/>
    <x v="2"/>
    <x v="1"/>
    <x v="134"/>
    <d v="2023-03-21T00:00:00"/>
    <n v="7"/>
    <x v="3"/>
    <n v="5"/>
    <s v="Dr. Sharma"/>
    <n v="23569"/>
    <x v="4"/>
    <x v="0"/>
    <x v="0"/>
    <d v="2023-11-03T00:00:00"/>
    <d v="2023-12-03T02:00:00"/>
    <d v="1901-12-22T00:00:00"/>
    <x v="2"/>
    <x v="0"/>
    <x v="2"/>
    <n v="4"/>
    <n v="10"/>
    <n v="0.4"/>
    <s v="Plan A"/>
  </r>
  <r>
    <s v="PAT5171"/>
    <n v="62"/>
    <x v="0"/>
    <x v="1"/>
    <x v="138"/>
    <d v="2024-06-20T00:00:00"/>
    <n v="10"/>
    <x v="3"/>
    <n v="4"/>
    <s v="Dr. Sharma"/>
    <n v="12086"/>
    <x v="1"/>
    <x v="1"/>
    <x v="0"/>
    <d v="2024-08-06T00:00:00"/>
    <d v="2024-09-06T00:00:00"/>
    <d v="1902-01-13T00:00:00"/>
    <x v="1"/>
    <x v="0"/>
    <x v="1"/>
    <n v="8"/>
    <n v="10"/>
    <n v="0.8"/>
    <s v="Plan B"/>
  </r>
  <r>
    <s v="PAT5172"/>
    <n v="1"/>
    <x v="1"/>
    <x v="0"/>
    <x v="139"/>
    <d v="2023-10-09T00:00:00"/>
    <n v="9"/>
    <x v="3"/>
    <n v="3"/>
    <s v="Dr. Rao"/>
    <n v="7317"/>
    <x v="0"/>
    <x v="0"/>
    <x v="0"/>
    <d v="2023-08-29T00:00:00"/>
    <d v="2023-08-29T08:00:00"/>
    <d v="1900-01-07T00:00:00"/>
    <x v="4"/>
    <x v="1"/>
    <x v="1"/>
    <n v="5"/>
    <n v="12"/>
    <n v="0.41666666666666669"/>
    <s v="Plan B"/>
  </r>
  <r>
    <s v="PAT5173"/>
    <n v="27"/>
    <x v="3"/>
    <x v="4"/>
    <x v="140"/>
    <d v="2023-10-18T00:00:00"/>
    <n v="5"/>
    <x v="1"/>
    <n v="3"/>
    <s v="Dr. Patel"/>
    <n v="41389"/>
    <x v="1"/>
    <x v="0"/>
    <x v="1"/>
    <d v="2023-10-13T00:00:00"/>
    <d v="2023-10-14T13:00:00"/>
    <d v="1900-02-05T00:00:00"/>
    <x v="3"/>
    <x v="1"/>
    <x v="1"/>
    <n v="11"/>
    <n v="12"/>
    <n v="0.91666666666666663"/>
    <s v="Plan C"/>
  </r>
  <r>
    <s v="PAT5174"/>
    <n v="62"/>
    <x v="0"/>
    <x v="2"/>
    <x v="114"/>
    <d v="2024-05-20T00:00:00"/>
    <n v="8"/>
    <x v="5"/>
    <n v="3"/>
    <s v="Dr. Gupta"/>
    <n v="9491"/>
    <x v="1"/>
    <x v="0"/>
    <x v="1"/>
    <d v="2024-07-05T00:00:00"/>
    <d v="2024-07-05T13:00:00"/>
    <d v="1900-01-12T00:00:00"/>
    <x v="3"/>
    <x v="1"/>
    <x v="1"/>
    <n v="10"/>
    <n v="12"/>
    <n v="0.83333333333333337"/>
    <s v="Plan C"/>
  </r>
  <r>
    <s v="PAT5175"/>
    <n v="77"/>
    <x v="2"/>
    <x v="1"/>
    <x v="141"/>
    <d v="2023-08-17T00:00:00"/>
    <n v="9"/>
    <x v="3"/>
    <n v="4"/>
    <s v="Dr. Mehta"/>
    <n v="20916"/>
    <x v="2"/>
    <x v="1"/>
    <x v="0"/>
    <d v="2023-08-08T00:00:00"/>
    <d v="2023-09-08T14:00:00"/>
    <d v="1902-01-27T00:00:00"/>
    <x v="3"/>
    <x v="0"/>
    <x v="0"/>
    <n v="5"/>
    <n v="8"/>
    <n v="0.625"/>
    <s v="Plan C"/>
  </r>
  <r>
    <s v="PAT5176"/>
    <n v="3"/>
    <x v="1"/>
    <x v="0"/>
    <x v="142"/>
    <d v="2023-05-26T00:00:00"/>
    <n v="10"/>
    <x v="3"/>
    <n v="1"/>
    <s v="Dr. Rao"/>
    <n v="20248"/>
    <x v="0"/>
    <x v="1"/>
    <x v="0"/>
    <d v="2023-05-15T00:00:00"/>
    <d v="2023-05-16T11:00:00"/>
    <d v="1900-02-03T00:00:00"/>
    <x v="0"/>
    <x v="0"/>
    <x v="0"/>
    <n v="5"/>
    <n v="12"/>
    <n v="0.41666666666666669"/>
    <s v="Plan B"/>
  </r>
  <r>
    <s v="PAT5177"/>
    <n v="70"/>
    <x v="2"/>
    <x v="1"/>
    <x v="143"/>
    <d v="2024-06-05T00:00:00"/>
    <n v="7"/>
    <x v="2"/>
    <n v="5"/>
    <s v="Dr. Sharma"/>
    <n v="7511"/>
    <x v="3"/>
    <x v="0"/>
    <x v="0"/>
    <d v="2024-04-26T00:00:00"/>
    <d v="2024-04-26T12:00:00"/>
    <d v="1900-01-11T00:00:00"/>
    <x v="2"/>
    <x v="0"/>
    <x v="2"/>
    <n v="9"/>
    <n v="10"/>
    <n v="0.9"/>
    <s v="Plan A"/>
  </r>
  <r>
    <s v="PAT5178"/>
    <n v="72"/>
    <x v="2"/>
    <x v="2"/>
    <x v="144"/>
    <d v="2023-08-09T00:00:00"/>
    <n v="2"/>
    <x v="1"/>
    <n v="3"/>
    <s v="Dr. Rao"/>
    <n v="29226"/>
    <x v="2"/>
    <x v="1"/>
    <x v="1"/>
    <d v="2023-03-09T00:00:00"/>
    <d v="2023-04-09T20:00:00"/>
    <d v="1902-02-02T00:00:00"/>
    <x v="4"/>
    <x v="0"/>
    <x v="2"/>
    <n v="7"/>
    <n v="12"/>
    <n v="0.58333333333333337"/>
    <s v="Plan A"/>
  </r>
  <r>
    <s v="PAT5179"/>
    <n v="27"/>
    <x v="3"/>
    <x v="2"/>
    <x v="143"/>
    <d v="2024-12-05T00:00:00"/>
    <n v="13"/>
    <x v="0"/>
    <n v="4"/>
    <s v="Dr. Rao"/>
    <n v="30025"/>
    <x v="3"/>
    <x v="0"/>
    <x v="1"/>
    <d v="2024-04-26T00:00:00"/>
    <d v="2024-04-27T12:00:00"/>
    <d v="1900-02-04T00:00:00"/>
    <x v="2"/>
    <x v="0"/>
    <x v="2"/>
    <n v="4"/>
    <n v="12"/>
    <n v="0.33333333333333331"/>
    <s v="Plan B"/>
  </r>
  <r>
    <s v="PAT5180"/>
    <n v="9"/>
    <x v="1"/>
    <x v="5"/>
    <x v="145"/>
    <d v="2024-04-03T00:00:00"/>
    <n v="12"/>
    <x v="3"/>
    <n v="1"/>
    <s v="Dr. Rao"/>
    <n v="47314"/>
    <x v="4"/>
    <x v="0"/>
    <x v="0"/>
    <d v="2024-02-18T00:00:00"/>
    <d v="2024-02-18T02:00:00"/>
    <d v="1900-01-01T00:00:00"/>
    <x v="0"/>
    <x v="0"/>
    <x v="0"/>
    <n v="10"/>
    <n v="10"/>
    <n v="1"/>
    <s v="Plan C"/>
  </r>
  <r>
    <s v="PAT5181"/>
    <n v="62"/>
    <x v="0"/>
    <x v="3"/>
    <x v="146"/>
    <d v="2023-07-16T00:00:00"/>
    <n v="2"/>
    <x v="2"/>
    <n v="5"/>
    <s v="Dr. Rao"/>
    <n v="12848"/>
    <x v="3"/>
    <x v="1"/>
    <x v="1"/>
    <d v="2023-07-13T00:00:00"/>
    <d v="2023-07-14T23:00:00"/>
    <d v="1900-02-15T00:00:00"/>
    <x v="4"/>
    <x v="1"/>
    <x v="2"/>
    <n v="11"/>
    <n v="12"/>
    <n v="0.91666666666666663"/>
    <s v="Plan C"/>
  </r>
  <r>
    <s v="PAT5182"/>
    <n v="37"/>
    <x v="4"/>
    <x v="3"/>
    <x v="147"/>
    <d v="2023-04-21T00:00:00"/>
    <n v="14"/>
    <x v="4"/>
    <n v="4"/>
    <s v="Dr. Mehta"/>
    <n v="19274"/>
    <x v="1"/>
    <x v="0"/>
    <x v="0"/>
    <d v="2023-05-04T00:00:00"/>
    <d v="2023-06-04T06:00:00"/>
    <d v="1902-01-19T00:00:00"/>
    <x v="4"/>
    <x v="0"/>
    <x v="2"/>
    <n v="8"/>
    <n v="8"/>
    <n v="1"/>
    <s v="Plan C"/>
  </r>
  <r>
    <s v="PAT5183"/>
    <n v="51"/>
    <x v="0"/>
    <x v="0"/>
    <x v="29"/>
    <d v="2023-04-21T00:00:00"/>
    <n v="11"/>
    <x v="0"/>
    <n v="5"/>
    <s v="Dr. Patel"/>
    <n v="35958"/>
    <x v="3"/>
    <x v="1"/>
    <x v="1"/>
    <d v="2023-06-04T00:00:00"/>
    <d v="2023-07-04T22:00:00"/>
    <d v="1902-01-11T00:00:00"/>
    <x v="1"/>
    <x v="1"/>
    <x v="0"/>
    <n v="5"/>
    <n v="12"/>
    <n v="0.41666666666666669"/>
    <s v="Plan B"/>
  </r>
  <r>
    <s v="PAT5184"/>
    <n v="44"/>
    <x v="4"/>
    <x v="2"/>
    <x v="148"/>
    <d v="2024-03-28T00:00:00"/>
    <n v="11"/>
    <x v="3"/>
    <n v="3"/>
    <s v="Dr. Gupta"/>
    <n v="40233"/>
    <x v="2"/>
    <x v="1"/>
    <x v="0"/>
    <d v="2024-03-16T00:00:00"/>
    <d v="2024-03-16T14:00:00"/>
    <d v="1900-01-13T00:00:00"/>
    <x v="2"/>
    <x v="0"/>
    <x v="2"/>
    <n v="11"/>
    <n v="8"/>
    <n v="1.375"/>
    <s v="Plan C"/>
  </r>
  <r>
    <s v="PAT5185"/>
    <n v="24"/>
    <x v="3"/>
    <x v="5"/>
    <x v="149"/>
    <d v="2024-01-13T00:00:00"/>
    <n v="15"/>
    <x v="3"/>
    <n v="1"/>
    <s v="Dr. Rao"/>
    <n v="21304"/>
    <x v="2"/>
    <x v="0"/>
    <x v="0"/>
    <d v="2023-12-27T00:00:00"/>
    <d v="2023-12-28T05:00:00"/>
    <d v="1900-01-28T00:00:00"/>
    <x v="2"/>
    <x v="0"/>
    <x v="0"/>
    <n v="4"/>
    <n v="8"/>
    <n v="0.5"/>
    <s v="Plan C"/>
  </r>
  <r>
    <s v="PAT5186"/>
    <n v="79"/>
    <x v="2"/>
    <x v="5"/>
    <x v="121"/>
    <d v="2024-03-22T00:00:00"/>
    <n v="13"/>
    <x v="2"/>
    <n v="4"/>
    <s v="Dr. Rao"/>
    <n v="16294"/>
    <x v="3"/>
    <x v="0"/>
    <x v="1"/>
    <d v="2024-04-03T00:00:00"/>
    <d v="2024-04-03T19:00:00"/>
    <d v="1900-01-18T00:00:00"/>
    <x v="1"/>
    <x v="0"/>
    <x v="0"/>
    <n v="10"/>
    <n v="8"/>
    <n v="1.25"/>
    <s v="Plan B"/>
  </r>
  <r>
    <s v="PAT5187"/>
    <n v="59"/>
    <x v="0"/>
    <x v="1"/>
    <x v="150"/>
    <d v="2024-05-03T00:00:00"/>
    <n v="9"/>
    <x v="1"/>
    <n v="1"/>
    <s v="Dr. Rao"/>
    <n v="31425"/>
    <x v="2"/>
    <x v="1"/>
    <x v="0"/>
    <d v="2024-02-23T00:00:00"/>
    <d v="2024-02-24T21:00:00"/>
    <d v="1900-02-13T00:00:00"/>
    <x v="3"/>
    <x v="0"/>
    <x v="1"/>
    <n v="10"/>
    <n v="10"/>
    <n v="1"/>
    <s v="Plan A"/>
  </r>
  <r>
    <s v="PAT5188"/>
    <n v="32"/>
    <x v="3"/>
    <x v="1"/>
    <x v="151"/>
    <d v="2024-05-05T00:00:00"/>
    <n v="12"/>
    <x v="3"/>
    <n v="3"/>
    <s v="Dr. Patel"/>
    <n v="8175"/>
    <x v="2"/>
    <x v="0"/>
    <x v="1"/>
    <d v="2024-04-18T00:00:00"/>
    <d v="2024-04-18T05:00:00"/>
    <d v="1900-01-04T00:00:00"/>
    <x v="0"/>
    <x v="0"/>
    <x v="1"/>
    <n v="4"/>
    <n v="12"/>
    <n v="0.33333333333333331"/>
    <s v="Plan B"/>
  </r>
  <r>
    <s v="PAT5189"/>
    <n v="88"/>
    <x v="2"/>
    <x v="5"/>
    <x v="152"/>
    <d v="2023-11-03T00:00:00"/>
    <n v="14"/>
    <x v="4"/>
    <n v="1"/>
    <s v="Dr. Sharma"/>
    <n v="45617"/>
    <x v="3"/>
    <x v="1"/>
    <x v="0"/>
    <d v="2023-02-23T00:00:00"/>
    <d v="2023-02-24T03:00:00"/>
    <d v="1900-01-26T00:00:00"/>
    <x v="2"/>
    <x v="0"/>
    <x v="0"/>
    <n v="7"/>
    <n v="8"/>
    <n v="0.875"/>
    <s v="Plan B"/>
  </r>
  <r>
    <s v="PAT5190"/>
    <n v="52"/>
    <x v="0"/>
    <x v="1"/>
    <x v="153"/>
    <d v="2023-04-15T00:00:00"/>
    <n v="4"/>
    <x v="3"/>
    <n v="1"/>
    <s v="Dr. Sharma"/>
    <n v="32775"/>
    <x v="0"/>
    <x v="1"/>
    <x v="0"/>
    <d v="2023-08-04T00:00:00"/>
    <d v="2023-09-04T20:00:00"/>
    <d v="1902-02-02T00:00:00"/>
    <x v="1"/>
    <x v="0"/>
    <x v="0"/>
    <n v="9"/>
    <n v="8"/>
    <n v="1.125"/>
    <s v="Plan B"/>
  </r>
  <r>
    <s v="PAT5191"/>
    <n v="62"/>
    <x v="0"/>
    <x v="2"/>
    <x v="154"/>
    <d v="2023-11-03T00:00:00"/>
    <n v="7"/>
    <x v="4"/>
    <n v="2"/>
    <s v="Dr. Mehta"/>
    <n v="14425"/>
    <x v="0"/>
    <x v="1"/>
    <x v="0"/>
    <d v="2023-03-03T00:00:00"/>
    <d v="2023-04-03T08:00:00"/>
    <d v="1902-01-21T00:00:00"/>
    <x v="4"/>
    <x v="0"/>
    <x v="1"/>
    <n v="8"/>
    <n v="12"/>
    <n v="0.66666666666666663"/>
    <s v="Plan B"/>
  </r>
  <r>
    <s v="PAT5192"/>
    <n v="58"/>
    <x v="0"/>
    <x v="4"/>
    <x v="155"/>
    <d v="2024-02-25T00:00:00"/>
    <n v="8"/>
    <x v="0"/>
    <n v="1"/>
    <s v="Dr. Sharma"/>
    <n v="31013"/>
    <x v="4"/>
    <x v="0"/>
    <x v="0"/>
    <d v="2024-02-15T00:00:00"/>
    <d v="2024-02-15T09:00:00"/>
    <d v="1900-01-08T00:00:00"/>
    <x v="1"/>
    <x v="0"/>
    <x v="2"/>
    <n v="9"/>
    <n v="10"/>
    <n v="0.9"/>
    <s v="Plan A"/>
  </r>
  <r>
    <s v="PAT5193"/>
    <n v="52"/>
    <x v="0"/>
    <x v="2"/>
    <x v="156"/>
    <d v="2023-12-29T00:00:00"/>
    <n v="15"/>
    <x v="0"/>
    <n v="5"/>
    <s v="Dr. Rao"/>
    <n v="32928"/>
    <x v="2"/>
    <x v="1"/>
    <x v="0"/>
    <d v="2023-10-12T00:00:00"/>
    <d v="2023-11-12T17:00:00"/>
    <d v="1902-01-30T00:00:00"/>
    <x v="3"/>
    <x v="0"/>
    <x v="2"/>
    <n v="10"/>
    <n v="10"/>
    <n v="1"/>
    <s v="Plan C"/>
  </r>
  <r>
    <s v="PAT5194"/>
    <n v="12"/>
    <x v="1"/>
    <x v="5"/>
    <x v="157"/>
    <d v="2023-04-26T00:00:00"/>
    <n v="4"/>
    <x v="5"/>
    <n v="4"/>
    <s v="Dr. Rao"/>
    <n v="49990"/>
    <x v="3"/>
    <x v="1"/>
    <x v="1"/>
    <d v="2023-04-18T00:00:00"/>
    <d v="2023-04-18T20:00:00"/>
    <d v="1900-01-19T00:00:00"/>
    <x v="0"/>
    <x v="0"/>
    <x v="2"/>
    <n v="8"/>
    <n v="8"/>
    <n v="1"/>
    <s v="Plan B"/>
  </r>
  <r>
    <s v="PAT5195"/>
    <n v="39"/>
    <x v="4"/>
    <x v="5"/>
    <x v="158"/>
    <d v="2023-09-19T00:00:00"/>
    <n v="7"/>
    <x v="5"/>
    <n v="2"/>
    <s v="Dr. Rao"/>
    <n v="46212"/>
    <x v="2"/>
    <x v="1"/>
    <x v="1"/>
    <d v="2023-12-09T00:00:00"/>
    <d v="2023-12-09T16:00:00"/>
    <d v="1900-01-15T00:00:00"/>
    <x v="3"/>
    <x v="0"/>
    <x v="0"/>
    <n v="10"/>
    <n v="10"/>
    <n v="1"/>
    <s v="Plan A"/>
  </r>
  <r>
    <s v="PAT5196"/>
    <n v="2"/>
    <x v="1"/>
    <x v="2"/>
    <x v="40"/>
    <d v="2023-07-22T00:00:00"/>
    <n v="6"/>
    <x v="4"/>
    <n v="4"/>
    <s v="Dr. Mehta"/>
    <n v="13210"/>
    <x v="1"/>
    <x v="0"/>
    <x v="0"/>
    <d v="2023-07-14T00:00:00"/>
    <d v="2023-07-14T17:00:00"/>
    <d v="1900-01-16T00:00:00"/>
    <x v="4"/>
    <x v="0"/>
    <x v="1"/>
    <n v="5"/>
    <n v="12"/>
    <n v="0.41666666666666669"/>
    <s v="Plan C"/>
  </r>
  <r>
    <s v="PAT5197"/>
    <n v="3"/>
    <x v="1"/>
    <x v="1"/>
    <x v="146"/>
    <d v="2023-07-28T00:00:00"/>
    <n v="14"/>
    <x v="1"/>
    <n v="4"/>
    <s v="Dr. Rao"/>
    <n v="7759"/>
    <x v="2"/>
    <x v="1"/>
    <x v="0"/>
    <d v="2023-07-13T00:00:00"/>
    <d v="2023-07-14T19:00:00"/>
    <d v="1900-02-11T00:00:00"/>
    <x v="4"/>
    <x v="0"/>
    <x v="2"/>
    <n v="5"/>
    <n v="10"/>
    <n v="0.5"/>
    <s v="Plan C"/>
  </r>
  <r>
    <s v="PAT5198"/>
    <n v="56"/>
    <x v="0"/>
    <x v="1"/>
    <x v="19"/>
    <d v="2024-12-04T00:00:00"/>
    <n v="8"/>
    <x v="3"/>
    <n v="3"/>
    <s v="Dr. Sharma"/>
    <n v="21091"/>
    <x v="2"/>
    <x v="1"/>
    <x v="0"/>
    <d v="2024-01-04T00:00:00"/>
    <d v="2024-01-04T10:00:00"/>
    <d v="1900-01-09T00:00:00"/>
    <x v="4"/>
    <x v="0"/>
    <x v="1"/>
    <n v="4"/>
    <n v="12"/>
    <n v="0.33333333333333331"/>
    <s v="Plan C"/>
  </r>
  <r>
    <s v="PAT5199"/>
    <n v="81"/>
    <x v="2"/>
    <x v="3"/>
    <x v="159"/>
    <d v="2023-05-31T00:00:00"/>
    <n v="7"/>
    <x v="3"/>
    <n v="3"/>
    <s v="Dr. Patel"/>
    <n v="5002"/>
    <x v="0"/>
    <x v="1"/>
    <x v="0"/>
    <d v="2023-05-24T00:00:00"/>
    <d v="2023-05-25T22:00:00"/>
    <d v="1900-02-14T00:00:00"/>
    <x v="4"/>
    <x v="0"/>
    <x v="1"/>
    <n v="8"/>
    <n v="8"/>
    <n v="1"/>
    <s v="Plan B"/>
  </r>
  <r>
    <s v="PAT5200"/>
    <n v="59"/>
    <x v="0"/>
    <x v="5"/>
    <x v="8"/>
    <d v="2024-03-15T00:00:00"/>
    <n v="7"/>
    <x v="5"/>
    <n v="2"/>
    <s v="Dr. Patel"/>
    <n v="45958"/>
    <x v="3"/>
    <x v="1"/>
    <x v="0"/>
    <d v="2024-06-03T00:00:00"/>
    <d v="2024-07-03T04:00:00"/>
    <d v="1901-12-24T00:00:00"/>
    <x v="1"/>
    <x v="0"/>
    <x v="0"/>
    <n v="8"/>
    <n v="12"/>
    <n v="0.66666666666666663"/>
    <s v="Plan B"/>
  </r>
  <r>
    <s v="PAT5201"/>
    <n v="2"/>
    <x v="1"/>
    <x v="0"/>
    <x v="160"/>
    <d v="2023-07-19T00:00:00"/>
    <n v="12"/>
    <x v="4"/>
    <n v="3"/>
    <s v="Dr. Gupta"/>
    <n v="35160"/>
    <x v="2"/>
    <x v="0"/>
    <x v="0"/>
    <d v="2023-04-07T00:00:00"/>
    <d v="2023-05-07T01:00:00"/>
    <d v="1901-12-21T00:00:00"/>
    <x v="4"/>
    <x v="0"/>
    <x v="2"/>
    <n v="10"/>
    <n v="8"/>
    <n v="1.25"/>
    <s v="Plan C"/>
  </r>
  <r>
    <s v="PAT5202"/>
    <n v="2"/>
    <x v="1"/>
    <x v="3"/>
    <x v="140"/>
    <d v="2023-10-15T00:00:00"/>
    <n v="2"/>
    <x v="3"/>
    <n v="3"/>
    <s v="Dr. Sharma"/>
    <n v="25707"/>
    <x v="0"/>
    <x v="1"/>
    <x v="0"/>
    <d v="2023-12-10T00:00:00"/>
    <d v="2023-12-10T05:00:00"/>
    <d v="1900-01-04T00:00:00"/>
    <x v="4"/>
    <x v="0"/>
    <x v="1"/>
    <n v="9"/>
    <n v="12"/>
    <n v="0.75"/>
    <s v="Plan C"/>
  </r>
  <r>
    <s v="PAT5203"/>
    <n v="54"/>
    <x v="0"/>
    <x v="1"/>
    <x v="57"/>
    <d v="2024-04-24T00:00:00"/>
    <n v="6"/>
    <x v="3"/>
    <n v="3"/>
    <s v="Dr. Rao"/>
    <n v="20248"/>
    <x v="4"/>
    <x v="0"/>
    <x v="0"/>
    <d v="2024-04-17T00:00:00"/>
    <d v="2024-04-18T05:00:00"/>
    <d v="1900-01-28T00:00:00"/>
    <x v="1"/>
    <x v="0"/>
    <x v="0"/>
    <n v="5"/>
    <n v="12"/>
    <n v="0.41666666666666669"/>
    <s v="Plan C"/>
  </r>
  <r>
    <s v="PAT5204"/>
    <n v="87"/>
    <x v="2"/>
    <x v="2"/>
    <x v="161"/>
    <d v="2023-09-20T00:00:00"/>
    <n v="7"/>
    <x v="1"/>
    <n v="4"/>
    <s v="Dr. Patel"/>
    <n v="10773"/>
    <x v="0"/>
    <x v="1"/>
    <x v="0"/>
    <d v="2023-09-13T00:00:00"/>
    <d v="2023-09-14T15:00:00"/>
    <d v="1900-02-07T00:00:00"/>
    <x v="4"/>
    <x v="0"/>
    <x v="0"/>
    <n v="6"/>
    <n v="10"/>
    <n v="0.6"/>
    <s v="Plan C"/>
  </r>
  <r>
    <s v="PAT5205"/>
    <n v="1"/>
    <x v="1"/>
    <x v="1"/>
    <x v="162"/>
    <d v="2023-03-25T00:00:00"/>
    <n v="6"/>
    <x v="2"/>
    <n v="2"/>
    <s v="Dr. Sharma"/>
    <n v="17786"/>
    <x v="0"/>
    <x v="0"/>
    <x v="1"/>
    <d v="2023-03-19T00:00:00"/>
    <d v="2023-03-20T07:00:00"/>
    <d v="1900-01-30T00:00:00"/>
    <x v="3"/>
    <x v="1"/>
    <x v="0"/>
    <n v="4"/>
    <n v="12"/>
    <n v="0.33333333333333331"/>
    <s v="Plan C"/>
  </r>
  <r>
    <s v="PAT5206"/>
    <n v="19"/>
    <x v="3"/>
    <x v="2"/>
    <x v="163"/>
    <d v="2024-09-04T00:00:00"/>
    <n v="11"/>
    <x v="5"/>
    <n v="4"/>
    <s v="Dr. Patel"/>
    <n v="20037"/>
    <x v="0"/>
    <x v="1"/>
    <x v="1"/>
    <d v="2024-03-27T00:00:00"/>
    <d v="2024-03-28T14:00:00"/>
    <d v="1900-02-06T00:00:00"/>
    <x v="3"/>
    <x v="0"/>
    <x v="2"/>
    <n v="11"/>
    <n v="8"/>
    <n v="1.375"/>
    <s v="Plan C"/>
  </r>
  <r>
    <s v="PAT5207"/>
    <n v="2"/>
    <x v="1"/>
    <x v="3"/>
    <x v="153"/>
    <d v="2023-04-16T00:00:00"/>
    <n v="5"/>
    <x v="5"/>
    <n v="5"/>
    <s v="Dr. Rao"/>
    <n v="6885"/>
    <x v="2"/>
    <x v="1"/>
    <x v="1"/>
    <d v="2023-08-04T00:00:00"/>
    <d v="2023-09-04T02:00:00"/>
    <d v="1902-01-15T00:00:00"/>
    <x v="2"/>
    <x v="0"/>
    <x v="2"/>
    <n v="8"/>
    <n v="12"/>
    <n v="0.66666666666666663"/>
    <s v="Plan A"/>
  </r>
  <r>
    <s v="PAT5208"/>
    <n v="53"/>
    <x v="0"/>
    <x v="5"/>
    <x v="164"/>
    <d v="2023-02-27T00:00:00"/>
    <n v="6"/>
    <x v="2"/>
    <n v="4"/>
    <s v="Dr. Patel"/>
    <n v="44828"/>
    <x v="2"/>
    <x v="1"/>
    <x v="1"/>
    <d v="2023-02-17T00:00:00"/>
    <d v="2023-02-18T11:00:00"/>
    <d v="1900-02-03T00:00:00"/>
    <x v="3"/>
    <x v="0"/>
    <x v="0"/>
    <n v="7"/>
    <n v="8"/>
    <n v="0.875"/>
    <s v="Plan C"/>
  </r>
  <r>
    <s v="PAT5209"/>
    <n v="44"/>
    <x v="4"/>
    <x v="1"/>
    <x v="165"/>
    <d v="2023-01-19T00:00:00"/>
    <n v="3"/>
    <x v="3"/>
    <n v="5"/>
    <s v="Dr. Gupta"/>
    <n v="21331"/>
    <x v="4"/>
    <x v="0"/>
    <x v="0"/>
    <d v="2023-01-13T00:00:00"/>
    <d v="2023-01-14T09:00:00"/>
    <d v="1900-02-01T00:00:00"/>
    <x v="0"/>
    <x v="0"/>
    <x v="2"/>
    <n v="7"/>
    <n v="8"/>
    <n v="0.875"/>
    <s v="Plan B"/>
  </r>
  <r>
    <s v="PAT5210"/>
    <n v="32"/>
    <x v="3"/>
    <x v="2"/>
    <x v="11"/>
    <d v="2023-04-17T00:00:00"/>
    <n v="11"/>
    <x v="1"/>
    <n v="1"/>
    <s v="Dr. Gupta"/>
    <n v="45612"/>
    <x v="1"/>
    <x v="0"/>
    <x v="0"/>
    <d v="2023-05-04T00:00:00"/>
    <d v="2023-06-04T21:00:00"/>
    <d v="1902-02-03T00:00:00"/>
    <x v="0"/>
    <x v="1"/>
    <x v="2"/>
    <n v="6"/>
    <n v="12"/>
    <n v="0.5"/>
    <s v="Plan B"/>
  </r>
  <r>
    <s v="PAT5211"/>
    <n v="70"/>
    <x v="2"/>
    <x v="5"/>
    <x v="166"/>
    <d v="2023-09-15T00:00:00"/>
    <n v="15"/>
    <x v="1"/>
    <n v="1"/>
    <s v="Dr. Patel"/>
    <n v="27495"/>
    <x v="1"/>
    <x v="1"/>
    <x v="0"/>
    <d v="2023-08-30T00:00:00"/>
    <d v="2023-08-31T03:00:00"/>
    <d v="1900-01-26T00:00:00"/>
    <x v="0"/>
    <x v="0"/>
    <x v="1"/>
    <n v="5"/>
    <n v="10"/>
    <n v="0.5"/>
    <s v="Plan B"/>
  </r>
  <r>
    <s v="PAT5212"/>
    <n v="32"/>
    <x v="3"/>
    <x v="0"/>
    <x v="167"/>
    <d v="2023-06-28T00:00:00"/>
    <n v="8"/>
    <x v="5"/>
    <n v="5"/>
    <s v="Dr. Sharma"/>
    <n v="18450"/>
    <x v="1"/>
    <x v="0"/>
    <x v="0"/>
    <d v="2023-06-18T00:00:00"/>
    <d v="2023-06-19T11:00:00"/>
    <d v="1900-02-03T00:00:00"/>
    <x v="1"/>
    <x v="0"/>
    <x v="0"/>
    <n v="5"/>
    <n v="12"/>
    <n v="0.41666666666666669"/>
    <s v="Plan C"/>
  </r>
  <r>
    <s v="PAT5213"/>
    <n v="68"/>
    <x v="2"/>
    <x v="2"/>
    <x v="145"/>
    <d v="2024-02-23T00:00:00"/>
    <n v="2"/>
    <x v="1"/>
    <n v="5"/>
    <s v="Dr. Sharma"/>
    <n v="14491"/>
    <x v="4"/>
    <x v="1"/>
    <x v="0"/>
    <d v="2024-02-17T00:00:00"/>
    <d v="2024-02-17T03:00:00"/>
    <d v="1900-01-02T00:00:00"/>
    <x v="3"/>
    <x v="0"/>
    <x v="0"/>
    <n v="5"/>
    <n v="12"/>
    <n v="0.41666666666666669"/>
    <s v="Plan B"/>
  </r>
  <r>
    <s v="PAT5214"/>
    <n v="55"/>
    <x v="0"/>
    <x v="3"/>
    <x v="114"/>
    <d v="2024-05-14T00:00:00"/>
    <n v="2"/>
    <x v="0"/>
    <n v="4"/>
    <s v="Dr. Sharma"/>
    <n v="14268"/>
    <x v="1"/>
    <x v="1"/>
    <x v="1"/>
    <d v="2024-07-05T00:00:00"/>
    <d v="2024-08-05T00:00:00"/>
    <d v="1902-01-13T00:00:00"/>
    <x v="0"/>
    <x v="0"/>
    <x v="2"/>
    <n v="9"/>
    <n v="10"/>
    <n v="0.9"/>
    <s v="Plan A"/>
  </r>
  <r>
    <s v="PAT5215"/>
    <n v="75"/>
    <x v="2"/>
    <x v="0"/>
    <x v="168"/>
    <d v="2024-05-21T00:00:00"/>
    <n v="14"/>
    <x v="2"/>
    <n v="5"/>
    <s v="Dr. Patel"/>
    <n v="32757"/>
    <x v="1"/>
    <x v="1"/>
    <x v="1"/>
    <d v="2024-05-05T00:00:00"/>
    <d v="2024-06-05T21:00:00"/>
    <d v="1902-02-03T00:00:00"/>
    <x v="2"/>
    <x v="0"/>
    <x v="0"/>
    <n v="10"/>
    <n v="8"/>
    <n v="1.25"/>
    <s v="Plan C"/>
  </r>
  <r>
    <s v="PAT5216"/>
    <n v="56"/>
    <x v="0"/>
    <x v="0"/>
    <x v="169"/>
    <d v="2023-09-08T00:00:00"/>
    <n v="2"/>
    <x v="3"/>
    <n v="2"/>
    <s v="Dr. Sharma"/>
    <n v="46907"/>
    <x v="0"/>
    <x v="0"/>
    <x v="1"/>
    <d v="2023-06-08T00:00:00"/>
    <d v="2023-07-08T11:00:00"/>
    <d v="1901-12-31T00:00:00"/>
    <x v="1"/>
    <x v="0"/>
    <x v="0"/>
    <n v="7"/>
    <n v="12"/>
    <n v="0.58333333333333337"/>
    <s v="Plan B"/>
  </r>
  <r>
    <s v="PAT5217"/>
    <n v="17"/>
    <x v="1"/>
    <x v="4"/>
    <x v="65"/>
    <d v="2024-02-17T00:00:00"/>
    <n v="2"/>
    <x v="0"/>
    <n v="1"/>
    <s v="Dr. Rao"/>
    <n v="11791"/>
    <x v="2"/>
    <x v="0"/>
    <x v="0"/>
    <d v="2024-02-14T00:00:00"/>
    <d v="2024-02-15T15:00:00"/>
    <d v="1900-02-07T00:00:00"/>
    <x v="2"/>
    <x v="0"/>
    <x v="0"/>
    <n v="5"/>
    <n v="10"/>
    <n v="0.5"/>
    <s v="Plan A"/>
  </r>
  <r>
    <s v="PAT5218"/>
    <n v="38"/>
    <x v="4"/>
    <x v="1"/>
    <x v="135"/>
    <d v="2023-09-03T00:00:00"/>
    <n v="7"/>
    <x v="2"/>
    <n v="1"/>
    <s v="Dr. Gupta"/>
    <n v="44939"/>
    <x v="2"/>
    <x v="1"/>
    <x v="1"/>
    <d v="2023-02-27T00:00:00"/>
    <d v="2023-02-28T17:00:00"/>
    <d v="1900-02-09T00:00:00"/>
    <x v="3"/>
    <x v="0"/>
    <x v="2"/>
    <n v="7"/>
    <n v="10"/>
    <n v="0.7"/>
    <s v="Plan A"/>
  </r>
  <r>
    <s v="PAT5219"/>
    <n v="24"/>
    <x v="3"/>
    <x v="2"/>
    <x v="170"/>
    <d v="2023-06-20T00:00:00"/>
    <n v="2"/>
    <x v="4"/>
    <n v="5"/>
    <s v="Dr. Rao"/>
    <n v="33314"/>
    <x v="0"/>
    <x v="1"/>
    <x v="1"/>
    <d v="2023-06-14T00:00:00"/>
    <d v="2023-06-14T06:00:00"/>
    <d v="1900-01-05T00:00:00"/>
    <x v="4"/>
    <x v="0"/>
    <x v="2"/>
    <n v="6"/>
    <n v="8"/>
    <n v="0.75"/>
    <s v="Plan B"/>
  </r>
  <r>
    <s v="PAT5220"/>
    <n v="69"/>
    <x v="2"/>
    <x v="0"/>
    <x v="58"/>
    <d v="2024-05-02T00:00:00"/>
    <n v="12"/>
    <x v="5"/>
    <n v="3"/>
    <s v="Dr. Sharma"/>
    <n v="33583"/>
    <x v="0"/>
    <x v="1"/>
    <x v="0"/>
    <d v="2024-01-21T00:00:00"/>
    <d v="2024-01-21T07:00:00"/>
    <d v="1900-01-06T00:00:00"/>
    <x v="2"/>
    <x v="0"/>
    <x v="2"/>
    <n v="4"/>
    <n v="10"/>
    <n v="0.4"/>
    <s v="Plan A"/>
  </r>
  <r>
    <s v="PAT5221"/>
    <n v="70"/>
    <x v="2"/>
    <x v="4"/>
    <x v="171"/>
    <d v="2023-01-15T00:00:00"/>
    <n v="12"/>
    <x v="1"/>
    <n v="3"/>
    <s v="Dr. Rao"/>
    <n v="26550"/>
    <x v="0"/>
    <x v="1"/>
    <x v="0"/>
    <d v="2022-12-31T00:00:00"/>
    <d v="2022-12-31T16:00:00"/>
    <d v="1900-01-15T00:00:00"/>
    <x v="4"/>
    <x v="0"/>
    <x v="1"/>
    <n v="10"/>
    <n v="8"/>
    <n v="1.25"/>
    <s v="Plan B"/>
  </r>
  <r>
    <s v="PAT5222"/>
    <n v="86"/>
    <x v="2"/>
    <x v="3"/>
    <x v="172"/>
    <d v="2024-10-02T00:00:00"/>
    <n v="6"/>
    <x v="4"/>
    <n v="5"/>
    <s v="Dr. Sharma"/>
    <n v="5093"/>
    <x v="2"/>
    <x v="1"/>
    <x v="1"/>
    <d v="2024-02-02T00:00:00"/>
    <d v="2024-03-02T19:00:00"/>
    <d v="1901-12-15T00:00:00"/>
    <x v="1"/>
    <x v="0"/>
    <x v="0"/>
    <n v="9"/>
    <n v="12"/>
    <n v="0.75"/>
    <s v="Plan A"/>
  </r>
  <r>
    <s v="PAT5223"/>
    <n v="11"/>
    <x v="1"/>
    <x v="5"/>
    <x v="75"/>
    <d v="2023-12-10T00:00:00"/>
    <n v="13"/>
    <x v="1"/>
    <n v="2"/>
    <s v="Dr. Patel"/>
    <n v="40755"/>
    <x v="1"/>
    <x v="1"/>
    <x v="0"/>
    <d v="2023-09-26T00:00:00"/>
    <d v="2023-09-27T19:00:00"/>
    <d v="1900-02-11T00:00:00"/>
    <x v="2"/>
    <x v="0"/>
    <x v="1"/>
    <n v="8"/>
    <n v="10"/>
    <n v="0.8"/>
    <s v="Plan C"/>
  </r>
  <r>
    <s v="PAT5224"/>
    <n v="16"/>
    <x v="1"/>
    <x v="2"/>
    <x v="173"/>
    <d v="2024-04-13T00:00:00"/>
    <n v="3"/>
    <x v="0"/>
    <n v="3"/>
    <s v="Dr. Rao"/>
    <n v="14967"/>
    <x v="0"/>
    <x v="1"/>
    <x v="0"/>
    <d v="2024-10-04T00:00:00"/>
    <d v="2024-10-04T23:00:00"/>
    <d v="1900-01-22T00:00:00"/>
    <x v="2"/>
    <x v="0"/>
    <x v="2"/>
    <n v="6"/>
    <n v="12"/>
    <n v="0.5"/>
    <s v="Plan C"/>
  </r>
  <r>
    <s v="PAT5225"/>
    <n v="73"/>
    <x v="2"/>
    <x v="0"/>
    <x v="174"/>
    <d v="2023-10-29T00:00:00"/>
    <n v="9"/>
    <x v="3"/>
    <n v="5"/>
    <s v="Dr. Patel"/>
    <n v="21218"/>
    <x v="4"/>
    <x v="1"/>
    <x v="0"/>
    <d v="2023-10-20T00:00:00"/>
    <d v="2023-10-20T11:00:00"/>
    <d v="1900-01-10T00:00:00"/>
    <x v="1"/>
    <x v="0"/>
    <x v="1"/>
    <n v="10"/>
    <n v="10"/>
    <n v="1"/>
    <s v="Plan C"/>
  </r>
  <r>
    <s v="PAT5226"/>
    <n v="59"/>
    <x v="0"/>
    <x v="1"/>
    <x v="121"/>
    <d v="2024-10-03T00:00:00"/>
    <n v="1"/>
    <x v="3"/>
    <n v="2"/>
    <s v="Dr. Patel"/>
    <n v="48220"/>
    <x v="0"/>
    <x v="1"/>
    <x v="0"/>
    <d v="2024-06-03T00:00:00"/>
    <d v="2024-07-03T18:00:00"/>
    <d v="1902-01-07T00:00:00"/>
    <x v="1"/>
    <x v="0"/>
    <x v="0"/>
    <n v="7"/>
    <n v="10"/>
    <n v="0.7"/>
    <s v="Plan C"/>
  </r>
  <r>
    <s v="PAT5227"/>
    <n v="70"/>
    <x v="2"/>
    <x v="4"/>
    <x v="175"/>
    <d v="2024-05-23T00:00:00"/>
    <n v="10"/>
    <x v="3"/>
    <n v="2"/>
    <s v="Dr. Mehta"/>
    <n v="13627"/>
    <x v="3"/>
    <x v="1"/>
    <x v="1"/>
    <d v="2024-09-05T00:00:00"/>
    <d v="2024-10-05T16:00:00"/>
    <d v="1902-01-05T00:00:00"/>
    <x v="0"/>
    <x v="0"/>
    <x v="0"/>
    <n v="6"/>
    <n v="12"/>
    <n v="0.5"/>
    <s v="Plan C"/>
  </r>
  <r>
    <s v="PAT5228"/>
    <n v="80"/>
    <x v="2"/>
    <x v="0"/>
    <x v="176"/>
    <d v="2023-06-17T00:00:00"/>
    <n v="9"/>
    <x v="1"/>
    <n v="4"/>
    <s v="Dr. Sharma"/>
    <n v="9947"/>
    <x v="0"/>
    <x v="1"/>
    <x v="1"/>
    <d v="2023-05-06T00:00:00"/>
    <d v="2023-05-06T03:00:00"/>
    <d v="1900-01-02T00:00:00"/>
    <x v="3"/>
    <x v="0"/>
    <x v="2"/>
    <n v="8"/>
    <n v="10"/>
    <n v="0.8"/>
    <s v="Plan B"/>
  </r>
  <r>
    <s v="PAT5229"/>
    <n v="3"/>
    <x v="1"/>
    <x v="1"/>
    <x v="146"/>
    <d v="2023-07-23T00:00:00"/>
    <n v="9"/>
    <x v="4"/>
    <n v="2"/>
    <s v="Dr. Gupta"/>
    <n v="44419"/>
    <x v="2"/>
    <x v="0"/>
    <x v="0"/>
    <d v="2023-07-13T00:00:00"/>
    <d v="2023-07-14T13:00:00"/>
    <d v="1900-02-05T00:00:00"/>
    <x v="2"/>
    <x v="1"/>
    <x v="2"/>
    <n v="10"/>
    <n v="12"/>
    <n v="0.83333333333333337"/>
    <s v="Plan C"/>
  </r>
  <r>
    <s v="PAT5230"/>
    <n v="20"/>
    <x v="3"/>
    <x v="0"/>
    <x v="177"/>
    <d v="2023-06-11T00:00:00"/>
    <n v="6"/>
    <x v="3"/>
    <n v="3"/>
    <s v="Dr. Sharma"/>
    <n v="28178"/>
    <x v="0"/>
    <x v="1"/>
    <x v="0"/>
    <d v="2023-10-30T00:00:00"/>
    <d v="2023-10-31T18:00:00"/>
    <d v="1900-02-10T00:00:00"/>
    <x v="2"/>
    <x v="0"/>
    <x v="1"/>
    <n v="9"/>
    <n v="12"/>
    <n v="0.75"/>
    <s v="Plan C"/>
  </r>
  <r>
    <s v="PAT5231"/>
    <n v="59"/>
    <x v="0"/>
    <x v="2"/>
    <x v="178"/>
    <d v="2023-08-22T00:00:00"/>
    <n v="11"/>
    <x v="4"/>
    <n v="3"/>
    <s v="Dr. Gupta"/>
    <n v="33876"/>
    <x v="3"/>
    <x v="1"/>
    <x v="0"/>
    <d v="2023-07-08T00:00:00"/>
    <d v="2023-08-08T20:00:00"/>
    <d v="1902-02-02T00:00:00"/>
    <x v="1"/>
    <x v="0"/>
    <x v="2"/>
    <n v="11"/>
    <n v="8"/>
    <n v="1.375"/>
    <s v="Plan C"/>
  </r>
  <r>
    <s v="PAT5232"/>
    <n v="36"/>
    <x v="4"/>
    <x v="2"/>
    <x v="111"/>
    <d v="2023-03-03T00:00:00"/>
    <n v="2"/>
    <x v="1"/>
    <n v="5"/>
    <s v="Dr. Sharma"/>
    <n v="27908"/>
    <x v="4"/>
    <x v="1"/>
    <x v="0"/>
    <d v="2023-02-27T00:00:00"/>
    <d v="2023-02-28T18:00:00"/>
    <d v="1900-02-10T00:00:00"/>
    <x v="1"/>
    <x v="0"/>
    <x v="1"/>
    <n v="4"/>
    <n v="12"/>
    <n v="0.33333333333333331"/>
    <s v="Plan C"/>
  </r>
  <r>
    <s v="PAT5233"/>
    <n v="19"/>
    <x v="3"/>
    <x v="2"/>
    <x v="154"/>
    <d v="2023-11-03T00:00:00"/>
    <n v="7"/>
    <x v="0"/>
    <n v="5"/>
    <s v="Dr. Patel"/>
    <n v="40912"/>
    <x v="1"/>
    <x v="1"/>
    <x v="0"/>
    <d v="2023-04-03T00:00:00"/>
    <d v="2023-05-03T02:00:00"/>
    <d v="1901-12-22T00:00:00"/>
    <x v="3"/>
    <x v="0"/>
    <x v="0"/>
    <n v="8"/>
    <n v="8"/>
    <n v="1"/>
    <s v="Plan A"/>
  </r>
  <r>
    <s v="PAT5234"/>
    <n v="67"/>
    <x v="2"/>
    <x v="3"/>
    <x v="179"/>
    <d v="2023-11-24T00:00:00"/>
    <n v="6"/>
    <x v="4"/>
    <n v="2"/>
    <s v="Dr. Rao"/>
    <n v="24971"/>
    <x v="0"/>
    <x v="1"/>
    <x v="0"/>
    <d v="2023-11-18T00:00:00"/>
    <d v="2023-11-18T22:00:00"/>
    <d v="1900-01-21T00:00:00"/>
    <x v="1"/>
    <x v="0"/>
    <x v="0"/>
    <n v="10"/>
    <n v="12"/>
    <n v="0.83333333333333337"/>
    <s v="Plan C"/>
  </r>
  <r>
    <s v="PAT5235"/>
    <n v="19"/>
    <x v="3"/>
    <x v="3"/>
    <x v="180"/>
    <d v="2023-03-14T00:00:00"/>
    <n v="14"/>
    <x v="0"/>
    <n v="1"/>
    <s v="Dr. Rao"/>
    <n v="37584"/>
    <x v="3"/>
    <x v="1"/>
    <x v="0"/>
    <d v="2023-02-26T00:00:00"/>
    <d v="2023-02-27T04:00:00"/>
    <d v="1900-01-27T00:00:00"/>
    <x v="4"/>
    <x v="1"/>
    <x v="0"/>
    <n v="9"/>
    <n v="10"/>
    <n v="0.9"/>
    <s v="Plan C"/>
  </r>
  <r>
    <s v="PAT5236"/>
    <n v="20"/>
    <x v="3"/>
    <x v="4"/>
    <x v="164"/>
    <d v="2023-04-03T00:00:00"/>
    <n v="11"/>
    <x v="1"/>
    <n v="4"/>
    <s v="Dr. Mehta"/>
    <n v="13959"/>
    <x v="3"/>
    <x v="1"/>
    <x v="0"/>
    <d v="2023-02-18T00:00:00"/>
    <d v="2023-02-18T07:00:00"/>
    <d v="1900-01-06T00:00:00"/>
    <x v="4"/>
    <x v="1"/>
    <x v="0"/>
    <n v="7"/>
    <n v="12"/>
    <n v="0.58333333333333337"/>
    <s v="Plan B"/>
  </r>
  <r>
    <s v="PAT5237"/>
    <n v="71"/>
    <x v="2"/>
    <x v="2"/>
    <x v="181"/>
    <d v="2024-05-16T00:00:00"/>
    <n v="13"/>
    <x v="1"/>
    <n v="1"/>
    <s v="Dr. Gupta"/>
    <n v="33261"/>
    <x v="4"/>
    <x v="0"/>
    <x v="1"/>
    <d v="2024-04-29T00:00:00"/>
    <d v="2024-04-29T01:00:00"/>
    <d v="1899-12-31T00:00:00"/>
    <x v="4"/>
    <x v="0"/>
    <x v="0"/>
    <n v="8"/>
    <n v="10"/>
    <n v="0.8"/>
    <s v="Plan A"/>
  </r>
  <r>
    <s v="PAT5238"/>
    <n v="52"/>
    <x v="0"/>
    <x v="1"/>
    <x v="182"/>
    <d v="2024-05-06T00:00:00"/>
    <n v="7"/>
    <x v="5"/>
    <n v="2"/>
    <s v="Dr. Gupta"/>
    <n v="46065"/>
    <x v="2"/>
    <x v="1"/>
    <x v="0"/>
    <d v="2024-05-24T00:00:00"/>
    <d v="2024-05-24T07:00:00"/>
    <d v="1900-01-06T00:00:00"/>
    <x v="4"/>
    <x v="1"/>
    <x v="1"/>
    <n v="11"/>
    <n v="8"/>
    <n v="1.375"/>
    <s v="Plan B"/>
  </r>
  <r>
    <s v="PAT5239"/>
    <n v="33"/>
    <x v="3"/>
    <x v="0"/>
    <x v="95"/>
    <d v="2023-06-25T00:00:00"/>
    <n v="14"/>
    <x v="1"/>
    <n v="2"/>
    <s v="Dr. Gupta"/>
    <n v="44462"/>
    <x v="0"/>
    <x v="1"/>
    <x v="1"/>
    <d v="2023-06-06T00:00:00"/>
    <d v="2023-06-06T17:00:00"/>
    <d v="1900-01-16T00:00:00"/>
    <x v="3"/>
    <x v="0"/>
    <x v="0"/>
    <n v="6"/>
    <n v="10"/>
    <n v="0.6"/>
    <s v="Plan C"/>
  </r>
  <r>
    <s v="PAT5240"/>
    <n v="40"/>
    <x v="4"/>
    <x v="5"/>
    <x v="180"/>
    <d v="2023-03-15T00:00:00"/>
    <n v="15"/>
    <x v="1"/>
    <n v="1"/>
    <s v="Dr. Patel"/>
    <n v="20835"/>
    <x v="3"/>
    <x v="0"/>
    <x v="1"/>
    <d v="2023-02-25T00:00:00"/>
    <d v="2023-02-25T15:00:00"/>
    <d v="1900-01-14T00:00:00"/>
    <x v="2"/>
    <x v="0"/>
    <x v="1"/>
    <n v="5"/>
    <n v="12"/>
    <n v="0.41666666666666669"/>
    <s v="Plan B"/>
  </r>
  <r>
    <s v="PAT5241"/>
    <n v="39"/>
    <x v="4"/>
    <x v="1"/>
    <x v="183"/>
    <d v="2024-06-16T00:00:00"/>
    <n v="12"/>
    <x v="2"/>
    <n v="4"/>
    <s v="Dr. Gupta"/>
    <n v="24257"/>
    <x v="4"/>
    <x v="1"/>
    <x v="0"/>
    <d v="2024-02-06T00:00:00"/>
    <d v="2024-03-06T09:00:00"/>
    <d v="1901-12-05T00:00:00"/>
    <x v="4"/>
    <x v="0"/>
    <x v="0"/>
    <n v="6"/>
    <n v="10"/>
    <n v="0.6"/>
    <s v="Plan B"/>
  </r>
  <r>
    <s v="PAT5242"/>
    <n v="82"/>
    <x v="2"/>
    <x v="3"/>
    <x v="184"/>
    <d v="2023-03-25T00:00:00"/>
    <n v="1"/>
    <x v="3"/>
    <n v="1"/>
    <s v="Dr. Rao"/>
    <n v="8346"/>
    <x v="1"/>
    <x v="0"/>
    <x v="1"/>
    <d v="2023-03-20T00:00:00"/>
    <d v="2023-03-22T00:00:00"/>
    <d v="1900-02-16T00:00:00"/>
    <x v="1"/>
    <x v="0"/>
    <x v="1"/>
    <n v="7"/>
    <n v="8"/>
    <n v="0.875"/>
    <s v="Plan C"/>
  </r>
  <r>
    <s v="PAT5243"/>
    <n v="1"/>
    <x v="1"/>
    <x v="3"/>
    <x v="185"/>
    <d v="2023-07-15T00:00:00"/>
    <n v="5"/>
    <x v="5"/>
    <n v="5"/>
    <s v="Dr. Patel"/>
    <n v="35807"/>
    <x v="3"/>
    <x v="1"/>
    <x v="1"/>
    <d v="2023-10-07T00:00:00"/>
    <d v="2023-11-07T10:00:00"/>
    <d v="1902-01-23T00:00:00"/>
    <x v="4"/>
    <x v="0"/>
    <x v="1"/>
    <n v="10"/>
    <n v="10"/>
    <n v="1"/>
    <s v="Plan A"/>
  </r>
  <r>
    <s v="PAT5244"/>
    <n v="11"/>
    <x v="1"/>
    <x v="1"/>
    <x v="115"/>
    <d v="2023-03-22T00:00:00"/>
    <n v="10"/>
    <x v="5"/>
    <n v="3"/>
    <s v="Dr. Sharma"/>
    <n v="35418"/>
    <x v="4"/>
    <x v="0"/>
    <x v="1"/>
    <d v="2023-12-03T00:00:00"/>
    <d v="2023-03-13T12:00:00"/>
    <d v="1917-05-18T00:00:00"/>
    <x v="3"/>
    <x v="0"/>
    <x v="1"/>
    <n v="11"/>
    <n v="10"/>
    <n v="1.1000000000000001"/>
    <s v="Plan A"/>
  </r>
  <r>
    <s v="PAT5245"/>
    <n v="57"/>
    <x v="0"/>
    <x v="3"/>
    <x v="136"/>
    <d v="2023-03-16T00:00:00"/>
    <n v="5"/>
    <x v="5"/>
    <n v="5"/>
    <s v="Dr. Gupta"/>
    <n v="16340"/>
    <x v="2"/>
    <x v="1"/>
    <x v="0"/>
    <d v="2023-08-03T00:00:00"/>
    <d v="2023-09-03T14:00:00"/>
    <d v="1902-01-27T00:00:00"/>
    <x v="1"/>
    <x v="0"/>
    <x v="2"/>
    <n v="4"/>
    <n v="12"/>
    <n v="0.33333333333333331"/>
    <s v="Plan B"/>
  </r>
  <r>
    <s v="PAT5246"/>
    <n v="89"/>
    <x v="2"/>
    <x v="2"/>
    <x v="186"/>
    <d v="2023-04-09T00:00:00"/>
    <n v="6"/>
    <x v="2"/>
    <n v="3"/>
    <s v="Dr. Gupta"/>
    <n v="38012"/>
    <x v="2"/>
    <x v="1"/>
    <x v="0"/>
    <d v="2023-08-28T00:00:00"/>
    <d v="2023-08-29T21:00:00"/>
    <d v="1900-02-13T00:00:00"/>
    <x v="4"/>
    <x v="0"/>
    <x v="1"/>
    <n v="8"/>
    <n v="12"/>
    <n v="0.66666666666666663"/>
    <s v="Plan C"/>
  </r>
  <r>
    <s v="PAT5247"/>
    <n v="50"/>
    <x v="4"/>
    <x v="4"/>
    <x v="187"/>
    <d v="2024-02-20T00:00:00"/>
    <n v="2"/>
    <x v="0"/>
    <n v="2"/>
    <s v="Dr. Sharma"/>
    <n v="40393"/>
    <x v="3"/>
    <x v="0"/>
    <x v="0"/>
    <d v="2024-02-16T00:00:00"/>
    <d v="2024-02-17T13:00:00"/>
    <d v="1900-02-05T00:00:00"/>
    <x v="2"/>
    <x v="0"/>
    <x v="1"/>
    <n v="10"/>
    <n v="10"/>
    <n v="1"/>
    <s v="Plan B"/>
  </r>
  <r>
    <s v="PAT5248"/>
    <n v="23"/>
    <x v="3"/>
    <x v="0"/>
    <x v="188"/>
    <d v="2023-05-13T00:00:00"/>
    <n v="10"/>
    <x v="1"/>
    <n v="4"/>
    <s v="Dr. Gupta"/>
    <n v="41617"/>
    <x v="3"/>
    <x v="1"/>
    <x v="1"/>
    <d v="2023-04-28T00:00:00"/>
    <d v="2023-04-28T15:00:00"/>
    <d v="1900-01-14T00:00:00"/>
    <x v="1"/>
    <x v="0"/>
    <x v="0"/>
    <n v="4"/>
    <n v="8"/>
    <n v="0.5"/>
    <s v="Plan B"/>
  </r>
  <r>
    <s v="PAT5249"/>
    <n v="31"/>
    <x v="3"/>
    <x v="4"/>
    <x v="76"/>
    <d v="2023-09-19T00:00:00"/>
    <n v="9"/>
    <x v="3"/>
    <n v="1"/>
    <s v="Dr. Sharma"/>
    <n v="14597"/>
    <x v="0"/>
    <x v="1"/>
    <x v="0"/>
    <d v="2023-08-09T00:00:00"/>
    <d v="2023-09-09T05:00:00"/>
    <d v="1902-01-18T00:00:00"/>
    <x v="1"/>
    <x v="0"/>
    <x v="1"/>
    <n v="7"/>
    <n v="10"/>
    <n v="0.7"/>
    <s v="Plan B"/>
  </r>
  <r>
    <s v="PAT5250"/>
    <n v="42"/>
    <x v="4"/>
    <x v="0"/>
    <x v="189"/>
    <d v="2023-02-14T00:00:00"/>
    <n v="4"/>
    <x v="4"/>
    <n v="4"/>
    <s v="Dr. Patel"/>
    <n v="30557"/>
    <x v="4"/>
    <x v="0"/>
    <x v="0"/>
    <d v="2023-07-02T00:00:00"/>
    <d v="2023-08-02T00:00:00"/>
    <d v="1902-01-13T00:00:00"/>
    <x v="2"/>
    <x v="0"/>
    <x v="1"/>
    <n v="8"/>
    <n v="8"/>
    <n v="1"/>
    <s v="Plan C"/>
  </r>
  <r>
    <s v="PAT5251"/>
    <n v="7"/>
    <x v="1"/>
    <x v="0"/>
    <x v="190"/>
    <d v="2023-03-28T00:00:00"/>
    <n v="3"/>
    <x v="0"/>
    <n v="1"/>
    <s v="Dr. Rao"/>
    <n v="12737"/>
    <x v="3"/>
    <x v="1"/>
    <x v="0"/>
    <d v="2023-03-23T00:00:00"/>
    <d v="2023-03-24T02:00:00"/>
    <d v="1900-01-25T00:00:00"/>
    <x v="1"/>
    <x v="0"/>
    <x v="2"/>
    <n v="9"/>
    <n v="8"/>
    <n v="1.125"/>
    <s v="Plan C"/>
  </r>
  <r>
    <s v="PAT5252"/>
    <n v="16"/>
    <x v="1"/>
    <x v="4"/>
    <x v="17"/>
    <d v="2024-03-16T00:00:00"/>
    <n v="11"/>
    <x v="1"/>
    <n v="5"/>
    <s v="Dr. Sharma"/>
    <n v="49768"/>
    <x v="0"/>
    <x v="1"/>
    <x v="0"/>
    <d v="2024-05-03T00:00:00"/>
    <d v="2024-06-03T06:00:00"/>
    <d v="1902-01-19T00:00:00"/>
    <x v="4"/>
    <x v="0"/>
    <x v="0"/>
    <n v="9"/>
    <n v="8"/>
    <n v="1.125"/>
    <s v="Plan A"/>
  </r>
  <r>
    <s v="PAT5253"/>
    <n v="60"/>
    <x v="0"/>
    <x v="1"/>
    <x v="191"/>
    <d v="2024-06-27T00:00:00"/>
    <n v="8"/>
    <x v="2"/>
    <n v="5"/>
    <s v="Dr. Mehta"/>
    <n v="46101"/>
    <x v="0"/>
    <x v="0"/>
    <x v="1"/>
    <d v="2024-06-16T00:00:00"/>
    <d v="2024-06-17T20:00:00"/>
    <d v="1900-02-12T00:00:00"/>
    <x v="1"/>
    <x v="0"/>
    <x v="2"/>
    <n v="10"/>
    <n v="10"/>
    <n v="1"/>
    <s v="Plan C"/>
  </r>
  <r>
    <s v="PAT5254"/>
    <n v="2"/>
    <x v="1"/>
    <x v="0"/>
    <x v="64"/>
    <d v="2023-11-24T00:00:00"/>
    <n v="4"/>
    <x v="1"/>
    <n v="1"/>
    <s v="Dr. Sharma"/>
    <n v="22276"/>
    <x v="3"/>
    <x v="1"/>
    <x v="0"/>
    <d v="2023-11-20T00:00:00"/>
    <d v="2023-11-21T14:00:00"/>
    <d v="1900-02-06T00:00:00"/>
    <x v="4"/>
    <x v="0"/>
    <x v="2"/>
    <n v="6"/>
    <n v="8"/>
    <n v="0.75"/>
    <s v="Plan B"/>
  </r>
  <r>
    <s v="PAT5255"/>
    <n v="1"/>
    <x v="1"/>
    <x v="4"/>
    <x v="192"/>
    <d v="2023-09-10T00:00:00"/>
    <n v="14"/>
    <x v="1"/>
    <n v="4"/>
    <s v="Dr. Gupta"/>
    <n v="12310"/>
    <x v="2"/>
    <x v="0"/>
    <x v="0"/>
    <d v="2023-09-21T00:00:00"/>
    <d v="2023-09-22T21:00:00"/>
    <d v="1900-02-13T00:00:00"/>
    <x v="2"/>
    <x v="0"/>
    <x v="2"/>
    <n v="10"/>
    <n v="10"/>
    <n v="1"/>
    <s v="Plan B"/>
  </r>
  <r>
    <s v="PAT5256"/>
    <n v="48"/>
    <x v="4"/>
    <x v="0"/>
    <x v="193"/>
    <d v="2023-07-31T00:00:00"/>
    <n v="2"/>
    <x v="2"/>
    <n v="1"/>
    <s v="Dr. Patel"/>
    <n v="40167"/>
    <x v="4"/>
    <x v="0"/>
    <x v="0"/>
    <d v="2023-07-25T00:00:00"/>
    <d v="2023-07-26T09:00:00"/>
    <d v="1900-02-01T00:00:00"/>
    <x v="0"/>
    <x v="1"/>
    <x v="1"/>
    <n v="6"/>
    <n v="8"/>
    <n v="0.75"/>
    <s v="Plan A"/>
  </r>
  <r>
    <s v="PAT5257"/>
    <n v="12"/>
    <x v="1"/>
    <x v="5"/>
    <x v="179"/>
    <d v="2023-11-24T00:00:00"/>
    <n v="6"/>
    <x v="5"/>
    <n v="2"/>
    <s v="Dr. Patel"/>
    <n v="42408"/>
    <x v="4"/>
    <x v="1"/>
    <x v="0"/>
    <d v="2023-11-17T00:00:00"/>
    <d v="2023-11-17T10:00:00"/>
    <d v="1900-01-09T00:00:00"/>
    <x v="2"/>
    <x v="0"/>
    <x v="2"/>
    <n v="11"/>
    <n v="8"/>
    <n v="1.375"/>
    <s v="Plan C"/>
  </r>
  <r>
    <s v="PAT5258"/>
    <n v="69"/>
    <x v="2"/>
    <x v="1"/>
    <x v="194"/>
    <d v="2023-09-16T00:00:00"/>
    <n v="14"/>
    <x v="5"/>
    <n v="5"/>
    <s v="Dr. Sharma"/>
    <n v="24344"/>
    <x v="2"/>
    <x v="1"/>
    <x v="0"/>
    <d v="2023-08-31T00:00:00"/>
    <d v="2023-08-31T23:00:00"/>
    <d v="1900-01-22T00:00:00"/>
    <x v="4"/>
    <x v="1"/>
    <x v="2"/>
    <n v="7"/>
    <n v="10"/>
    <n v="0.7"/>
    <s v="Plan B"/>
  </r>
  <r>
    <s v="PAT5259"/>
    <n v="37"/>
    <x v="4"/>
    <x v="2"/>
    <x v="75"/>
    <d v="2023-08-10T00:00:00"/>
    <n v="9"/>
    <x v="3"/>
    <n v="2"/>
    <s v="Dr. Rao"/>
    <n v="15391"/>
    <x v="3"/>
    <x v="1"/>
    <x v="0"/>
    <d v="2023-09-25T00:00:00"/>
    <d v="2023-09-25T02:00:00"/>
    <d v="1900-01-01T00:00:00"/>
    <x v="3"/>
    <x v="0"/>
    <x v="0"/>
    <n v="9"/>
    <n v="12"/>
    <n v="0.75"/>
    <s v="Plan A"/>
  </r>
  <r>
    <s v="PAT5260"/>
    <n v="32"/>
    <x v="3"/>
    <x v="0"/>
    <x v="72"/>
    <d v="2024-02-16T00:00:00"/>
    <n v="6"/>
    <x v="3"/>
    <n v="5"/>
    <s v="Dr. Mehta"/>
    <n v="15892"/>
    <x v="4"/>
    <x v="1"/>
    <x v="0"/>
    <d v="2024-08-02T00:00:00"/>
    <d v="2024-09-02T07:00:00"/>
    <d v="1902-01-20T00:00:00"/>
    <x v="2"/>
    <x v="0"/>
    <x v="0"/>
    <n v="11"/>
    <n v="12"/>
    <n v="0.91666666666666663"/>
    <s v="Plan A"/>
  </r>
  <r>
    <s v="PAT5261"/>
    <n v="9"/>
    <x v="1"/>
    <x v="5"/>
    <x v="195"/>
    <d v="2023-05-17T00:00:00"/>
    <n v="2"/>
    <x v="5"/>
    <n v="5"/>
    <s v="Dr. Patel"/>
    <n v="16197"/>
    <x v="3"/>
    <x v="0"/>
    <x v="0"/>
    <d v="2023-05-15T00:00:00"/>
    <d v="2023-05-15T07:00:00"/>
    <d v="1900-01-06T00:00:00"/>
    <x v="3"/>
    <x v="0"/>
    <x v="0"/>
    <n v="8"/>
    <n v="10"/>
    <n v="0.8"/>
    <s v="Plan B"/>
  </r>
  <r>
    <s v="PAT5262"/>
    <n v="19"/>
    <x v="3"/>
    <x v="2"/>
    <x v="196"/>
    <d v="2023-11-17T00:00:00"/>
    <n v="13"/>
    <x v="0"/>
    <n v="3"/>
    <s v="Dr. Gupta"/>
    <n v="18050"/>
    <x v="3"/>
    <x v="1"/>
    <x v="0"/>
    <d v="2023-01-11T00:00:00"/>
    <d v="2023-01-11T19:00:00"/>
    <d v="1900-01-18T00:00:00"/>
    <x v="3"/>
    <x v="0"/>
    <x v="0"/>
    <n v="9"/>
    <n v="10"/>
    <n v="0.9"/>
    <s v="Plan B"/>
  </r>
  <r>
    <s v="PAT5263"/>
    <n v="48"/>
    <x v="4"/>
    <x v="2"/>
    <x v="197"/>
    <d v="2024-04-18T00:00:00"/>
    <n v="5"/>
    <x v="4"/>
    <n v="2"/>
    <s v="Dr. Gupta"/>
    <n v="41142"/>
    <x v="0"/>
    <x v="1"/>
    <x v="1"/>
    <d v="2024-09-04T00:00:00"/>
    <d v="2024-10-04T03:00:00"/>
    <d v="1901-12-23T00:00:00"/>
    <x v="4"/>
    <x v="0"/>
    <x v="2"/>
    <n v="6"/>
    <n v="12"/>
    <n v="0.5"/>
    <s v="Plan C"/>
  </r>
  <r>
    <s v="PAT5264"/>
    <n v="80"/>
    <x v="2"/>
    <x v="0"/>
    <x v="64"/>
    <d v="2023-11-30T00:00:00"/>
    <n v="10"/>
    <x v="1"/>
    <n v="2"/>
    <s v="Dr. Rao"/>
    <n v="46615"/>
    <x v="2"/>
    <x v="0"/>
    <x v="0"/>
    <d v="2023-11-17T00:00:00"/>
    <d v="2023-11-17T06:00:00"/>
    <d v="1900-01-05T00:00:00"/>
    <x v="4"/>
    <x v="0"/>
    <x v="0"/>
    <n v="10"/>
    <n v="12"/>
    <n v="0.83333333333333337"/>
    <s v="Plan A"/>
  </r>
  <r>
    <s v="PAT5265"/>
    <n v="3"/>
    <x v="1"/>
    <x v="4"/>
    <x v="198"/>
    <d v="2023-03-20T00:00:00"/>
    <n v="4"/>
    <x v="4"/>
    <n v="3"/>
    <s v="Dr. Patel"/>
    <n v="48728"/>
    <x v="3"/>
    <x v="0"/>
    <x v="0"/>
    <d v="2023-12-03T00:00:00"/>
    <d v="2023-12-03T08:00:00"/>
    <d v="1900-01-07T00:00:00"/>
    <x v="0"/>
    <x v="0"/>
    <x v="1"/>
    <n v="7"/>
    <n v="12"/>
    <n v="0.58333333333333337"/>
    <s v="Plan B"/>
  </r>
  <r>
    <s v="PAT5266"/>
    <n v="20"/>
    <x v="3"/>
    <x v="0"/>
    <x v="199"/>
    <d v="2023-01-23T00:00:00"/>
    <n v="13"/>
    <x v="1"/>
    <n v="4"/>
    <s v="Dr. Sharma"/>
    <n v="18535"/>
    <x v="1"/>
    <x v="1"/>
    <x v="0"/>
    <d v="2023-08-01T00:00:00"/>
    <d v="2023-09-01T23:00:00"/>
    <d v="1902-02-05T00:00:00"/>
    <x v="1"/>
    <x v="0"/>
    <x v="2"/>
    <n v="9"/>
    <n v="10"/>
    <n v="0.9"/>
    <s v="Plan A"/>
  </r>
  <r>
    <s v="PAT5267"/>
    <n v="24"/>
    <x v="3"/>
    <x v="5"/>
    <x v="73"/>
    <d v="2024-04-21T00:00:00"/>
    <n v="7"/>
    <x v="5"/>
    <n v="2"/>
    <s v="Dr. Gupta"/>
    <n v="46002"/>
    <x v="2"/>
    <x v="1"/>
    <x v="1"/>
    <d v="2024-10-04T00:00:00"/>
    <d v="2024-10-04T10:00:00"/>
    <d v="1900-01-09T00:00:00"/>
    <x v="2"/>
    <x v="0"/>
    <x v="0"/>
    <n v="11"/>
    <n v="8"/>
    <n v="1.375"/>
    <s v="Plan C"/>
  </r>
  <r>
    <s v="PAT5268"/>
    <n v="54"/>
    <x v="0"/>
    <x v="2"/>
    <x v="200"/>
    <d v="2023-04-27T00:00:00"/>
    <n v="14"/>
    <x v="3"/>
    <n v="1"/>
    <s v="Dr. Rao"/>
    <n v="48271"/>
    <x v="4"/>
    <x v="0"/>
    <x v="0"/>
    <d v="2023-08-04T00:00:00"/>
    <d v="2023-08-04T23:00:00"/>
    <d v="1900-01-22T00:00:00"/>
    <x v="4"/>
    <x v="0"/>
    <x v="2"/>
    <n v="7"/>
    <n v="10"/>
    <n v="0.7"/>
    <s v="Plan B"/>
  </r>
  <r>
    <s v="PAT5269"/>
    <n v="33"/>
    <x v="3"/>
    <x v="0"/>
    <x v="201"/>
    <d v="2023-03-26T00:00:00"/>
    <n v="9"/>
    <x v="0"/>
    <n v="3"/>
    <s v="Dr. Patel"/>
    <n v="10122"/>
    <x v="0"/>
    <x v="0"/>
    <x v="0"/>
    <d v="2023-03-13T00:00:00"/>
    <d v="2023-03-13T20:00:00"/>
    <d v="1900-01-19T00:00:00"/>
    <x v="2"/>
    <x v="0"/>
    <x v="0"/>
    <n v="11"/>
    <n v="12"/>
    <n v="0.91666666666666663"/>
    <s v="Plan C"/>
  </r>
  <r>
    <s v="PAT5270"/>
    <n v="24"/>
    <x v="3"/>
    <x v="4"/>
    <x v="169"/>
    <d v="2023-08-20T00:00:00"/>
    <n v="13"/>
    <x v="3"/>
    <n v="2"/>
    <s v="Dr. Patel"/>
    <n v="14852"/>
    <x v="4"/>
    <x v="1"/>
    <x v="0"/>
    <d v="2023-07-08T00:00:00"/>
    <d v="2023-07-08T22:00:00"/>
    <d v="1900-01-21T00:00:00"/>
    <x v="3"/>
    <x v="0"/>
    <x v="2"/>
    <n v="9"/>
    <n v="8"/>
    <n v="1.125"/>
    <s v="Plan A"/>
  </r>
  <r>
    <s v="PAT5271"/>
    <n v="75"/>
    <x v="2"/>
    <x v="0"/>
    <x v="202"/>
    <d v="2024-06-16T00:00:00"/>
    <n v="14"/>
    <x v="4"/>
    <n v="4"/>
    <s v="Dr. Patel"/>
    <n v="10387"/>
    <x v="4"/>
    <x v="1"/>
    <x v="0"/>
    <d v="2024-01-06T00:00:00"/>
    <d v="2024-02-06T06:00:00"/>
    <d v="1902-01-19T00:00:00"/>
    <x v="1"/>
    <x v="0"/>
    <x v="0"/>
    <n v="10"/>
    <n v="10"/>
    <n v="1"/>
    <s v="Plan C"/>
  </r>
  <r>
    <s v="PAT5272"/>
    <n v="72"/>
    <x v="2"/>
    <x v="1"/>
    <x v="75"/>
    <d v="2023-09-10T00:00:00"/>
    <n v="10"/>
    <x v="3"/>
    <n v="2"/>
    <s v="Dr. Patel"/>
    <n v="36759"/>
    <x v="2"/>
    <x v="1"/>
    <x v="0"/>
    <d v="2023-09-29T00:00:00"/>
    <d v="2023-09-29T14:00:00"/>
    <d v="1900-01-13T00:00:00"/>
    <x v="0"/>
    <x v="0"/>
    <x v="1"/>
    <n v="4"/>
    <n v="12"/>
    <n v="0.33333333333333331"/>
    <s v="Plan C"/>
  </r>
  <r>
    <s v="PAT5273"/>
    <n v="36"/>
    <x v="4"/>
    <x v="4"/>
    <x v="142"/>
    <d v="2023-05-26T00:00:00"/>
    <n v="10"/>
    <x v="5"/>
    <n v="5"/>
    <s v="Dr. Patel"/>
    <n v="45399"/>
    <x v="4"/>
    <x v="1"/>
    <x v="1"/>
    <d v="2023-05-13T00:00:00"/>
    <d v="2023-05-14T10:00:00"/>
    <d v="1900-02-02T00:00:00"/>
    <x v="2"/>
    <x v="0"/>
    <x v="0"/>
    <n v="10"/>
    <n v="10"/>
    <n v="1"/>
    <s v="Plan A"/>
  </r>
  <r>
    <s v="PAT5274"/>
    <n v="38"/>
    <x v="4"/>
    <x v="5"/>
    <x v="203"/>
    <d v="2024-04-01T00:00:00"/>
    <n v="11"/>
    <x v="0"/>
    <n v="1"/>
    <s v="Dr. Gupta"/>
    <n v="44994"/>
    <x v="3"/>
    <x v="1"/>
    <x v="0"/>
    <d v="2023-12-22T00:00:00"/>
    <d v="2023-12-23T07:00:00"/>
    <d v="1900-01-30T00:00:00"/>
    <x v="1"/>
    <x v="0"/>
    <x v="2"/>
    <n v="9"/>
    <n v="8"/>
    <n v="1.125"/>
    <s v="Plan C"/>
  </r>
  <r>
    <s v="PAT5275"/>
    <n v="84"/>
    <x v="2"/>
    <x v="2"/>
    <x v="115"/>
    <d v="2023-03-23T00:00:00"/>
    <n v="11"/>
    <x v="4"/>
    <n v="3"/>
    <s v="Dr. Rao"/>
    <n v="42876"/>
    <x v="4"/>
    <x v="0"/>
    <x v="1"/>
    <d v="2023-10-03T00:00:00"/>
    <d v="2023-10-03T23:00:00"/>
    <d v="1900-01-22T00:00:00"/>
    <x v="0"/>
    <x v="0"/>
    <x v="2"/>
    <n v="6"/>
    <n v="12"/>
    <n v="0.5"/>
    <s v="Plan A"/>
  </r>
  <r>
    <s v="PAT5276"/>
    <n v="89"/>
    <x v="2"/>
    <x v="0"/>
    <x v="3"/>
    <d v="2023-09-17T00:00:00"/>
    <n v="9"/>
    <x v="0"/>
    <n v="5"/>
    <s v="Dr. Patel"/>
    <n v="39878"/>
    <x v="0"/>
    <x v="0"/>
    <x v="1"/>
    <d v="2023-04-09T00:00:00"/>
    <d v="2023-05-09T07:00:00"/>
    <d v="1901-12-27T00:00:00"/>
    <x v="2"/>
    <x v="0"/>
    <x v="1"/>
    <n v="10"/>
    <n v="10"/>
    <n v="1"/>
    <s v="Plan B"/>
  </r>
  <r>
    <s v="PAT5277"/>
    <n v="25"/>
    <x v="3"/>
    <x v="4"/>
    <x v="204"/>
    <d v="2024-01-15T00:00:00"/>
    <n v="1"/>
    <x v="1"/>
    <n v="4"/>
    <s v="Dr. Mehta"/>
    <n v="38725"/>
    <x v="0"/>
    <x v="0"/>
    <x v="0"/>
    <d v="2024-12-01T00:00:00"/>
    <d v="2024-12-01T07:00:00"/>
    <d v="1900-01-06T00:00:00"/>
    <x v="1"/>
    <x v="0"/>
    <x v="2"/>
    <n v="8"/>
    <n v="8"/>
    <n v="1"/>
    <s v="Plan A"/>
  </r>
  <r>
    <s v="PAT5278"/>
    <n v="18"/>
    <x v="1"/>
    <x v="1"/>
    <x v="205"/>
    <d v="2023-10-29T00:00:00"/>
    <n v="10"/>
    <x v="3"/>
    <n v="5"/>
    <s v="Dr. Mehta"/>
    <n v="12146"/>
    <x v="1"/>
    <x v="1"/>
    <x v="0"/>
    <d v="2023-10-18T00:00:00"/>
    <d v="2023-10-19T05:00:00"/>
    <d v="1900-01-28T00:00:00"/>
    <x v="4"/>
    <x v="0"/>
    <x v="1"/>
    <n v="6"/>
    <n v="8"/>
    <n v="0.75"/>
    <s v="Plan A"/>
  </r>
  <r>
    <s v="PAT5279"/>
    <n v="82"/>
    <x v="2"/>
    <x v="4"/>
    <x v="95"/>
    <d v="2023-06-26T00:00:00"/>
    <n v="15"/>
    <x v="0"/>
    <n v="5"/>
    <s v="Dr. Rao"/>
    <n v="5560"/>
    <x v="0"/>
    <x v="0"/>
    <x v="0"/>
    <d v="2023-10-06T00:00:00"/>
    <d v="2023-11-06T23:00:00"/>
    <d v="1902-02-05T00:00:00"/>
    <x v="2"/>
    <x v="0"/>
    <x v="2"/>
    <n v="6"/>
    <n v="10"/>
    <n v="0.6"/>
    <s v="Plan B"/>
  </r>
  <r>
    <s v="PAT5280"/>
    <n v="66"/>
    <x v="2"/>
    <x v="3"/>
    <x v="124"/>
    <d v="2024-04-04T00:00:00"/>
    <n v="11"/>
    <x v="2"/>
    <n v="4"/>
    <s v="Dr. Sharma"/>
    <n v="6312"/>
    <x v="4"/>
    <x v="0"/>
    <x v="0"/>
    <d v="2024-03-20T00:00:00"/>
    <d v="2024-03-21T21:00:00"/>
    <d v="1900-02-13T00:00:00"/>
    <x v="1"/>
    <x v="0"/>
    <x v="2"/>
    <n v="6"/>
    <n v="8"/>
    <n v="0.75"/>
    <s v="Plan A"/>
  </r>
  <r>
    <s v="PAT5281"/>
    <n v="54"/>
    <x v="0"/>
    <x v="1"/>
    <x v="206"/>
    <d v="2023-11-20T00:00:00"/>
    <n v="14"/>
    <x v="3"/>
    <n v="5"/>
    <s v="Dr. Sharma"/>
    <n v="23205"/>
    <x v="0"/>
    <x v="1"/>
    <x v="0"/>
    <d v="2023-02-11T00:00:00"/>
    <d v="2023-03-11T05:00:00"/>
    <d v="1901-11-07T00:00:00"/>
    <x v="0"/>
    <x v="0"/>
    <x v="1"/>
    <n v="7"/>
    <n v="12"/>
    <n v="0.58333333333333337"/>
    <s v="Plan B"/>
  </r>
  <r>
    <s v="PAT5282"/>
    <n v="35"/>
    <x v="3"/>
    <x v="5"/>
    <x v="207"/>
    <d v="2023-01-21T00:00:00"/>
    <n v="12"/>
    <x v="1"/>
    <n v="3"/>
    <s v="Dr. Sharma"/>
    <n v="16595"/>
    <x v="2"/>
    <x v="1"/>
    <x v="0"/>
    <d v="2023-06-01T00:00:00"/>
    <d v="2023-06-01T21:00:00"/>
    <d v="1900-01-20T00:00:00"/>
    <x v="1"/>
    <x v="0"/>
    <x v="2"/>
    <n v="5"/>
    <n v="8"/>
    <n v="0.625"/>
    <s v="Plan B"/>
  </r>
  <r>
    <s v="PAT5283"/>
    <n v="80"/>
    <x v="2"/>
    <x v="2"/>
    <x v="208"/>
    <d v="2023-08-11T00:00:00"/>
    <n v="5"/>
    <x v="0"/>
    <n v="2"/>
    <s v="Dr. Mehta"/>
    <n v="27030"/>
    <x v="0"/>
    <x v="1"/>
    <x v="1"/>
    <d v="2023-10-30T00:00:00"/>
    <d v="2023-10-30T05:00:00"/>
    <d v="1900-01-04T00:00:00"/>
    <x v="4"/>
    <x v="0"/>
    <x v="2"/>
    <n v="5"/>
    <n v="10"/>
    <n v="0.5"/>
    <s v="Plan A"/>
  </r>
  <r>
    <s v="PAT5284"/>
    <n v="61"/>
    <x v="0"/>
    <x v="5"/>
    <x v="209"/>
    <d v="2023-04-18T00:00:00"/>
    <n v="1"/>
    <x v="4"/>
    <n v="5"/>
    <s v="Dr. Sharma"/>
    <n v="26329"/>
    <x v="3"/>
    <x v="0"/>
    <x v="0"/>
    <d v="2023-04-17T00:00:00"/>
    <d v="2023-04-17T20:00:00"/>
    <d v="1900-01-19T00:00:00"/>
    <x v="2"/>
    <x v="0"/>
    <x v="1"/>
    <n v="4"/>
    <n v="12"/>
    <n v="0.33333333333333331"/>
    <s v="Plan C"/>
  </r>
  <r>
    <s v="PAT5285"/>
    <n v="41"/>
    <x v="4"/>
    <x v="0"/>
    <x v="210"/>
    <d v="2023-05-21T00:00:00"/>
    <n v="3"/>
    <x v="1"/>
    <n v="3"/>
    <s v="Dr. Gupta"/>
    <n v="43142"/>
    <x v="2"/>
    <x v="1"/>
    <x v="0"/>
    <d v="2023-05-18T00:00:00"/>
    <d v="2023-05-18T03:00:00"/>
    <d v="1900-01-02T00:00:00"/>
    <x v="2"/>
    <x v="0"/>
    <x v="0"/>
    <n v="11"/>
    <n v="8"/>
    <n v="1.375"/>
    <s v="Plan C"/>
  </r>
  <r>
    <s v="PAT5286"/>
    <n v="33"/>
    <x v="3"/>
    <x v="4"/>
    <x v="32"/>
    <d v="2023-03-10T00:00:00"/>
    <n v="5"/>
    <x v="2"/>
    <n v="2"/>
    <s v="Dr. Patel"/>
    <n v="7651"/>
    <x v="1"/>
    <x v="0"/>
    <x v="0"/>
    <d v="2023-09-28T00:00:00"/>
    <d v="2023-09-29T22:00:00"/>
    <d v="1900-02-14T00:00:00"/>
    <x v="2"/>
    <x v="0"/>
    <x v="1"/>
    <n v="11"/>
    <n v="8"/>
    <n v="1.375"/>
    <s v="Plan B"/>
  </r>
  <r>
    <s v="PAT5287"/>
    <n v="68"/>
    <x v="2"/>
    <x v="3"/>
    <x v="211"/>
    <d v="2023-11-05T00:00:00"/>
    <n v="12"/>
    <x v="0"/>
    <n v="2"/>
    <s v="Dr. Mehta"/>
    <n v="15006"/>
    <x v="3"/>
    <x v="1"/>
    <x v="1"/>
    <d v="2023-04-28T00:00:00"/>
    <d v="2023-04-28T08:00:00"/>
    <d v="1900-01-07T00:00:00"/>
    <x v="4"/>
    <x v="0"/>
    <x v="2"/>
    <n v="6"/>
    <n v="12"/>
    <n v="0.5"/>
    <s v="Plan C"/>
  </r>
  <r>
    <s v="PAT5288"/>
    <n v="33"/>
    <x v="3"/>
    <x v="1"/>
    <x v="212"/>
    <d v="2023-03-05T00:00:00"/>
    <n v="13"/>
    <x v="5"/>
    <n v="5"/>
    <s v="Dr. Rao"/>
    <n v="47701"/>
    <x v="4"/>
    <x v="0"/>
    <x v="0"/>
    <d v="2023-04-15T00:00:00"/>
    <d v="2023-04-15T02:00:00"/>
    <d v="1900-01-01T00:00:00"/>
    <x v="0"/>
    <x v="0"/>
    <x v="0"/>
    <n v="5"/>
    <n v="12"/>
    <n v="0.41666666666666669"/>
    <s v="Plan C"/>
  </r>
  <r>
    <s v="PAT5289"/>
    <n v="14"/>
    <x v="1"/>
    <x v="1"/>
    <x v="24"/>
    <d v="2023-06-14T00:00:00"/>
    <n v="5"/>
    <x v="3"/>
    <n v="3"/>
    <s v="Dr. Rao"/>
    <n v="40645"/>
    <x v="4"/>
    <x v="1"/>
    <x v="1"/>
    <d v="2023-07-06T00:00:00"/>
    <d v="2023-07-06T22:00:00"/>
    <d v="1900-01-21T00:00:00"/>
    <x v="2"/>
    <x v="0"/>
    <x v="0"/>
    <n v="4"/>
    <n v="8"/>
    <n v="0.5"/>
    <s v="Plan A"/>
  </r>
  <r>
    <s v="PAT5290"/>
    <n v="21"/>
    <x v="3"/>
    <x v="4"/>
    <x v="213"/>
    <d v="2023-10-21T00:00:00"/>
    <n v="15"/>
    <x v="4"/>
    <n v="5"/>
    <s v="Dr. Patel"/>
    <n v="26966"/>
    <x v="4"/>
    <x v="0"/>
    <x v="1"/>
    <d v="2023-03-10T00:00:00"/>
    <d v="2023-04-10T18:00:00"/>
    <d v="1902-01-31T00:00:00"/>
    <x v="0"/>
    <x v="0"/>
    <x v="0"/>
    <n v="7"/>
    <n v="12"/>
    <n v="0.58333333333333337"/>
    <s v="Plan B"/>
  </r>
  <r>
    <s v="PAT5291"/>
    <n v="48"/>
    <x v="4"/>
    <x v="3"/>
    <x v="214"/>
    <d v="2023-10-22T00:00:00"/>
    <n v="6"/>
    <x v="5"/>
    <n v="4"/>
    <s v="Dr. Mehta"/>
    <n v="32846"/>
    <x v="3"/>
    <x v="1"/>
    <x v="0"/>
    <d v="2023-12-10T00:00:00"/>
    <d v="2023-12-10T07:00:00"/>
    <d v="1900-01-06T00:00:00"/>
    <x v="1"/>
    <x v="1"/>
    <x v="1"/>
    <n v="6"/>
    <n v="10"/>
    <n v="0.6"/>
    <s v="Plan B"/>
  </r>
  <r>
    <s v="PAT5292"/>
    <n v="20"/>
    <x v="3"/>
    <x v="4"/>
    <x v="215"/>
    <d v="2023-10-08T00:00:00"/>
    <n v="6"/>
    <x v="0"/>
    <n v="2"/>
    <s v="Dr. Sharma"/>
    <n v="26774"/>
    <x v="3"/>
    <x v="0"/>
    <x v="0"/>
    <d v="2023-01-08T00:00:00"/>
    <d v="2023-02-08T20:00:00"/>
    <d v="1902-02-02T00:00:00"/>
    <x v="0"/>
    <x v="0"/>
    <x v="0"/>
    <n v="8"/>
    <n v="8"/>
    <n v="1"/>
    <s v="Plan A"/>
  </r>
  <r>
    <s v="PAT5293"/>
    <n v="8"/>
    <x v="1"/>
    <x v="0"/>
    <x v="216"/>
    <d v="2023-12-19T00:00:00"/>
    <n v="1"/>
    <x v="0"/>
    <n v="5"/>
    <s v="Dr. Sharma"/>
    <n v="9083"/>
    <x v="3"/>
    <x v="1"/>
    <x v="0"/>
    <d v="2023-12-17T00:00:00"/>
    <d v="2023-12-17T11:00:00"/>
    <d v="1900-01-10T00:00:00"/>
    <x v="0"/>
    <x v="0"/>
    <x v="0"/>
    <n v="7"/>
    <n v="10"/>
    <n v="0.7"/>
    <s v="Plan C"/>
  </r>
  <r>
    <s v="PAT5294"/>
    <n v="7"/>
    <x v="1"/>
    <x v="5"/>
    <x v="217"/>
    <d v="2023-07-31T00:00:00"/>
    <n v="3"/>
    <x v="1"/>
    <n v="2"/>
    <s v="Dr. Gupta"/>
    <n v="38513"/>
    <x v="2"/>
    <x v="1"/>
    <x v="0"/>
    <d v="2023-07-24T00:00:00"/>
    <d v="2023-07-26T00:00:00"/>
    <d v="1900-02-16T00:00:00"/>
    <x v="2"/>
    <x v="0"/>
    <x v="0"/>
    <n v="4"/>
    <n v="8"/>
    <n v="0.5"/>
    <s v="Plan B"/>
  </r>
  <r>
    <s v="PAT5295"/>
    <n v="67"/>
    <x v="2"/>
    <x v="1"/>
    <x v="32"/>
    <d v="2023-12-10T00:00:00"/>
    <n v="14"/>
    <x v="0"/>
    <n v="3"/>
    <s v="Dr. Gupta"/>
    <n v="13749"/>
    <x v="2"/>
    <x v="1"/>
    <x v="0"/>
    <d v="2023-09-24T00:00:00"/>
    <d v="2023-09-24T16:00:00"/>
    <d v="1900-01-15T00:00:00"/>
    <x v="3"/>
    <x v="0"/>
    <x v="2"/>
    <n v="7"/>
    <n v="10"/>
    <n v="0.7"/>
    <s v="Plan C"/>
  </r>
  <r>
    <s v="PAT5296"/>
    <n v="17"/>
    <x v="1"/>
    <x v="0"/>
    <x v="14"/>
    <d v="2024-04-06T00:00:00"/>
    <n v="3"/>
    <x v="4"/>
    <n v="1"/>
    <s v="Dr. Sharma"/>
    <n v="35783"/>
    <x v="4"/>
    <x v="1"/>
    <x v="0"/>
    <d v="2024-05-31T00:00:00"/>
    <d v="2024-01-06T10:00:00"/>
    <d v="1909-07-25T00:00:00"/>
    <x v="3"/>
    <x v="0"/>
    <x v="1"/>
    <n v="8"/>
    <n v="10"/>
    <n v="0.8"/>
    <s v="Plan B"/>
  </r>
  <r>
    <s v="PAT5297"/>
    <n v="33"/>
    <x v="3"/>
    <x v="5"/>
    <x v="106"/>
    <d v="2024-05-25T00:00:00"/>
    <n v="10"/>
    <x v="5"/>
    <n v="5"/>
    <s v="Dr. Rao"/>
    <n v="22325"/>
    <x v="0"/>
    <x v="1"/>
    <x v="0"/>
    <d v="2024-05-13T00:00:00"/>
    <d v="2024-05-13T12:00:00"/>
    <d v="1900-01-11T00:00:00"/>
    <x v="4"/>
    <x v="0"/>
    <x v="1"/>
    <n v="11"/>
    <n v="12"/>
    <n v="0.91666666666666663"/>
    <s v="Plan B"/>
  </r>
  <r>
    <s v="PAT5298"/>
    <n v="48"/>
    <x v="4"/>
    <x v="0"/>
    <x v="91"/>
    <d v="2023-09-26T00:00:00"/>
    <n v="11"/>
    <x v="4"/>
    <n v="5"/>
    <s v="Dr. Rao"/>
    <n v="23680"/>
    <x v="4"/>
    <x v="1"/>
    <x v="1"/>
    <d v="2023-11-09T00:00:00"/>
    <d v="2023-12-09T12:00:00"/>
    <d v="1902-01-01T00:00:00"/>
    <x v="4"/>
    <x v="0"/>
    <x v="2"/>
    <n v="7"/>
    <n v="8"/>
    <n v="0.875"/>
    <s v="Plan B"/>
  </r>
  <r>
    <s v="PAT5299"/>
    <n v="76"/>
    <x v="2"/>
    <x v="3"/>
    <x v="218"/>
    <d v="2023-01-03T00:00:00"/>
    <n v="7"/>
    <x v="2"/>
    <n v="2"/>
    <s v="Dr. Gupta"/>
    <n v="22323"/>
    <x v="1"/>
    <x v="0"/>
    <x v="0"/>
    <d v="2023-02-20T00:00:00"/>
    <d v="2023-02-20T11:00:00"/>
    <d v="1900-01-10T00:00:00"/>
    <x v="3"/>
    <x v="0"/>
    <x v="0"/>
    <n v="4"/>
    <n v="12"/>
    <n v="0.33333333333333331"/>
    <s v="Plan B"/>
  </r>
  <r>
    <s v="PAT5300"/>
    <n v="59"/>
    <x v="0"/>
    <x v="1"/>
    <x v="27"/>
    <d v="2023-07-04T00:00:00"/>
    <n v="2"/>
    <x v="2"/>
    <n v="3"/>
    <s v="Dr. Patel"/>
    <n v="27684"/>
    <x v="2"/>
    <x v="1"/>
    <x v="0"/>
    <d v="2023-04-04T00:00:00"/>
    <d v="2023-04-04T22:00:00"/>
    <d v="1900-01-21T00:00:00"/>
    <x v="1"/>
    <x v="0"/>
    <x v="2"/>
    <n v="11"/>
    <n v="12"/>
    <n v="0.91666666666666663"/>
    <s v="Plan C"/>
  </r>
  <r>
    <s v="PAT5301"/>
    <n v="86"/>
    <x v="2"/>
    <x v="4"/>
    <x v="121"/>
    <d v="2024-12-03T00:00:00"/>
    <n v="3"/>
    <x v="3"/>
    <n v="4"/>
    <s v="Dr. Sharma"/>
    <n v="39493"/>
    <x v="3"/>
    <x v="0"/>
    <x v="0"/>
    <d v="2024-06-03T00:00:00"/>
    <d v="2024-07-03T12:00:00"/>
    <d v="1902-01-01T00:00:00"/>
    <x v="2"/>
    <x v="0"/>
    <x v="2"/>
    <n v="11"/>
    <n v="8"/>
    <n v="1.375"/>
    <s v="Plan C"/>
  </r>
  <r>
    <s v="PAT5302"/>
    <n v="22"/>
    <x v="3"/>
    <x v="4"/>
    <x v="219"/>
    <d v="2023-10-23T00:00:00"/>
    <n v="12"/>
    <x v="3"/>
    <n v="3"/>
    <s v="Dr. Gupta"/>
    <n v="17213"/>
    <x v="2"/>
    <x v="1"/>
    <x v="0"/>
    <d v="2023-07-10T00:00:00"/>
    <d v="2023-08-10T04:00:00"/>
    <d v="1902-01-17T00:00:00"/>
    <x v="2"/>
    <x v="0"/>
    <x v="0"/>
    <n v="11"/>
    <n v="10"/>
    <n v="1.1000000000000001"/>
    <s v="Plan C"/>
  </r>
  <r>
    <s v="PAT5303"/>
    <n v="30"/>
    <x v="3"/>
    <x v="5"/>
    <x v="220"/>
    <d v="2023-02-26T00:00:00"/>
    <n v="11"/>
    <x v="2"/>
    <n v="5"/>
    <s v="Dr. Gupta"/>
    <n v="36831"/>
    <x v="3"/>
    <x v="1"/>
    <x v="0"/>
    <d v="2023-10-02T00:00:00"/>
    <d v="2023-11-02T06:00:00"/>
    <d v="1902-01-19T00:00:00"/>
    <x v="1"/>
    <x v="0"/>
    <x v="0"/>
    <n v="8"/>
    <n v="8"/>
    <n v="1"/>
    <s v="Plan C"/>
  </r>
  <r>
    <s v="PAT5304"/>
    <n v="38"/>
    <x v="4"/>
    <x v="2"/>
    <x v="96"/>
    <d v="2023-05-01T00:00:00"/>
    <n v="1"/>
    <x v="0"/>
    <n v="4"/>
    <s v="Dr. Sharma"/>
    <n v="47296"/>
    <x v="1"/>
    <x v="0"/>
    <x v="0"/>
    <d v="2023-02-01T00:00:00"/>
    <d v="2023-02-01T15:00:00"/>
    <d v="1900-01-14T00:00:00"/>
    <x v="1"/>
    <x v="0"/>
    <x v="1"/>
    <n v="8"/>
    <n v="8"/>
    <n v="1"/>
    <s v="Plan A"/>
  </r>
  <r>
    <s v="PAT5305"/>
    <n v="51"/>
    <x v="0"/>
    <x v="3"/>
    <x v="221"/>
    <d v="2023-10-12T00:00:00"/>
    <n v="2"/>
    <x v="4"/>
    <n v="3"/>
    <s v="Dr. Sharma"/>
    <n v="32713"/>
    <x v="1"/>
    <x v="1"/>
    <x v="0"/>
    <d v="2023-04-12T00:00:00"/>
    <d v="2023-05-12T02:00:00"/>
    <d v="1901-12-22T00:00:00"/>
    <x v="3"/>
    <x v="0"/>
    <x v="0"/>
    <n v="11"/>
    <n v="8"/>
    <n v="1.375"/>
    <s v="Plan B"/>
  </r>
  <r>
    <s v="PAT5306"/>
    <n v="54"/>
    <x v="0"/>
    <x v="5"/>
    <x v="222"/>
    <d v="2023-05-26T00:00:00"/>
    <n v="12"/>
    <x v="2"/>
    <n v="1"/>
    <s v="Dr. Rao"/>
    <n v="46621"/>
    <x v="2"/>
    <x v="0"/>
    <x v="1"/>
    <d v="2023-12-05T00:00:00"/>
    <d v="2023-05-13T17:00:00"/>
    <d v="1913-06-27T00:00:00"/>
    <x v="4"/>
    <x v="0"/>
    <x v="2"/>
    <n v="7"/>
    <n v="12"/>
    <n v="0.58333333333333337"/>
    <s v="Plan B"/>
  </r>
  <r>
    <s v="PAT5307"/>
    <n v="8"/>
    <x v="1"/>
    <x v="2"/>
    <x v="223"/>
    <d v="2023-05-10T00:00:00"/>
    <n v="9"/>
    <x v="3"/>
    <n v="2"/>
    <s v="Dr. Patel"/>
    <n v="12187"/>
    <x v="3"/>
    <x v="1"/>
    <x v="0"/>
    <d v="2023-09-22T00:00:00"/>
    <d v="2023-09-22T12:00:00"/>
    <d v="1900-01-11T00:00:00"/>
    <x v="1"/>
    <x v="0"/>
    <x v="2"/>
    <n v="8"/>
    <n v="8"/>
    <n v="1"/>
    <s v="Plan B"/>
  </r>
  <r>
    <s v="PAT5308"/>
    <n v="27"/>
    <x v="3"/>
    <x v="0"/>
    <x v="103"/>
    <d v="2023-06-19T00:00:00"/>
    <n v="4"/>
    <x v="2"/>
    <n v="3"/>
    <s v="Dr. Patel"/>
    <n v="37800"/>
    <x v="1"/>
    <x v="1"/>
    <x v="0"/>
    <d v="2023-11-06T00:00:00"/>
    <d v="2023-11-06T12:00:00"/>
    <d v="1900-01-11T00:00:00"/>
    <x v="4"/>
    <x v="0"/>
    <x v="0"/>
    <n v="10"/>
    <n v="8"/>
    <n v="1.25"/>
    <s v="Plan A"/>
  </r>
  <r>
    <s v="PAT5309"/>
    <n v="27"/>
    <x v="3"/>
    <x v="3"/>
    <x v="224"/>
    <d v="2024-04-04T00:00:00"/>
    <n v="7"/>
    <x v="0"/>
    <n v="3"/>
    <s v="Dr. Sharma"/>
    <n v="37583"/>
    <x v="4"/>
    <x v="0"/>
    <x v="0"/>
    <d v="2024-03-24T00:00:00"/>
    <d v="2024-03-25T17:00:00"/>
    <d v="1900-02-09T00:00:00"/>
    <x v="0"/>
    <x v="0"/>
    <x v="1"/>
    <n v="7"/>
    <n v="8"/>
    <n v="0.875"/>
    <s v="Plan C"/>
  </r>
  <r>
    <s v="PAT5310"/>
    <n v="21"/>
    <x v="3"/>
    <x v="0"/>
    <x v="225"/>
    <d v="2024-03-20T00:00:00"/>
    <n v="7"/>
    <x v="2"/>
    <n v="1"/>
    <s v="Dr. Mehta"/>
    <n v="19408"/>
    <x v="4"/>
    <x v="0"/>
    <x v="1"/>
    <d v="2024-10-03T00:00:00"/>
    <d v="2024-11-03T19:00:00"/>
    <d v="1902-02-01T00:00:00"/>
    <x v="2"/>
    <x v="0"/>
    <x v="2"/>
    <n v="6"/>
    <n v="10"/>
    <n v="0.6"/>
    <s v="Plan B"/>
  </r>
  <r>
    <s v="PAT5311"/>
    <n v="30"/>
    <x v="3"/>
    <x v="1"/>
    <x v="199"/>
    <d v="2023-01-18T00:00:00"/>
    <n v="8"/>
    <x v="4"/>
    <n v="5"/>
    <s v="Dr. Gupta"/>
    <n v="27369"/>
    <x v="3"/>
    <x v="1"/>
    <x v="0"/>
    <d v="2023-05-01T00:00:00"/>
    <d v="2023-06-01T04:00:00"/>
    <d v="1902-01-17T00:00:00"/>
    <x v="3"/>
    <x v="0"/>
    <x v="0"/>
    <n v="8"/>
    <n v="10"/>
    <n v="0.8"/>
    <s v="Plan C"/>
  </r>
  <r>
    <s v="PAT5312"/>
    <n v="28"/>
    <x v="3"/>
    <x v="3"/>
    <x v="0"/>
    <d v="2023-01-05T00:00:00"/>
    <n v="6"/>
    <x v="5"/>
    <n v="2"/>
    <s v="Dr. Gupta"/>
    <n v="8414"/>
    <x v="2"/>
    <x v="1"/>
    <x v="0"/>
    <d v="2023-04-21T00:00:00"/>
    <d v="2023-04-22T02:00:00"/>
    <d v="1900-01-25T00:00:00"/>
    <x v="2"/>
    <x v="0"/>
    <x v="1"/>
    <n v="7"/>
    <n v="10"/>
    <n v="0.7"/>
    <s v="Plan C"/>
  </r>
  <r>
    <s v="PAT5313"/>
    <n v="64"/>
    <x v="0"/>
    <x v="2"/>
    <x v="162"/>
    <d v="2023-03-22T00:00:00"/>
    <n v="3"/>
    <x v="0"/>
    <n v="3"/>
    <s v="Dr. Sharma"/>
    <n v="24510"/>
    <x v="1"/>
    <x v="0"/>
    <x v="0"/>
    <d v="2023-03-17T00:00:00"/>
    <d v="2023-03-17T02:00:00"/>
    <d v="1900-01-01T00:00:00"/>
    <x v="3"/>
    <x v="0"/>
    <x v="1"/>
    <n v="6"/>
    <n v="10"/>
    <n v="0.6"/>
    <s v="Plan A"/>
  </r>
  <r>
    <s v="PAT5314"/>
    <n v="69"/>
    <x v="2"/>
    <x v="1"/>
    <x v="226"/>
    <d v="2023-08-06T00:00:00"/>
    <n v="6"/>
    <x v="3"/>
    <n v="4"/>
    <s v="Dr. Mehta"/>
    <n v="17120"/>
    <x v="2"/>
    <x v="1"/>
    <x v="0"/>
    <d v="2023-05-30T00:00:00"/>
    <d v="2023-01-06T00:00:00"/>
    <d v="1909-06-17T00:00:00"/>
    <x v="0"/>
    <x v="0"/>
    <x v="2"/>
    <n v="8"/>
    <n v="12"/>
    <n v="0.66666666666666663"/>
    <s v="Plan A"/>
  </r>
  <r>
    <s v="PAT5315"/>
    <n v="61"/>
    <x v="0"/>
    <x v="4"/>
    <x v="227"/>
    <d v="2023-11-02T00:00:00"/>
    <n v="5"/>
    <x v="4"/>
    <n v="3"/>
    <s v="Dr. Rao"/>
    <n v="39311"/>
    <x v="4"/>
    <x v="0"/>
    <x v="0"/>
    <d v="2023-06-02T00:00:00"/>
    <d v="2023-07-02T16:00:00"/>
    <d v="1902-01-05T00:00:00"/>
    <x v="2"/>
    <x v="0"/>
    <x v="2"/>
    <n v="6"/>
    <n v="12"/>
    <n v="0.5"/>
    <s v="Plan C"/>
  </r>
  <r>
    <s v="PAT5316"/>
    <n v="48"/>
    <x v="4"/>
    <x v="2"/>
    <x v="204"/>
    <d v="2024-01-26T00:00:00"/>
    <n v="12"/>
    <x v="2"/>
    <n v="2"/>
    <s v="Dr. Sharma"/>
    <n v="38039"/>
    <x v="1"/>
    <x v="1"/>
    <x v="0"/>
    <d v="2024-12-01T00:00:00"/>
    <d v="2024-12-01T13:00:00"/>
    <d v="1900-01-12T00:00:00"/>
    <x v="0"/>
    <x v="0"/>
    <x v="1"/>
    <n v="9"/>
    <n v="8"/>
    <n v="1.125"/>
    <s v="Plan B"/>
  </r>
  <r>
    <s v="PAT5317"/>
    <n v="19"/>
    <x v="3"/>
    <x v="5"/>
    <x v="228"/>
    <d v="2023-07-06T00:00:00"/>
    <n v="6"/>
    <x v="2"/>
    <n v="3"/>
    <s v="Dr. Sharma"/>
    <n v="10295"/>
    <x v="2"/>
    <x v="1"/>
    <x v="0"/>
    <d v="2023-05-30T00:00:00"/>
    <d v="2023-05-31T05:00:00"/>
    <d v="1900-01-28T00:00:00"/>
    <x v="3"/>
    <x v="0"/>
    <x v="1"/>
    <n v="8"/>
    <n v="12"/>
    <n v="0.66666666666666663"/>
    <s v="Plan B"/>
  </r>
  <r>
    <s v="PAT5318"/>
    <n v="4"/>
    <x v="1"/>
    <x v="4"/>
    <x v="229"/>
    <d v="2024-03-29T00:00:00"/>
    <n v="13"/>
    <x v="5"/>
    <n v="1"/>
    <s v="Dr. Gupta"/>
    <n v="25460"/>
    <x v="0"/>
    <x v="0"/>
    <x v="0"/>
    <d v="2024-11-03T00:00:00"/>
    <d v="2024-12-03T14:00:00"/>
    <d v="1902-01-03T00:00:00"/>
    <x v="1"/>
    <x v="0"/>
    <x v="1"/>
    <n v="9"/>
    <n v="10"/>
    <n v="0.9"/>
    <s v="Plan A"/>
  </r>
  <r>
    <s v="PAT5319"/>
    <n v="35"/>
    <x v="3"/>
    <x v="4"/>
    <x v="230"/>
    <d v="2023-05-21T00:00:00"/>
    <n v="10"/>
    <x v="3"/>
    <n v="3"/>
    <s v="Dr. Sharma"/>
    <n v="19963"/>
    <x v="3"/>
    <x v="1"/>
    <x v="1"/>
    <d v="2023-11-05T00:00:00"/>
    <d v="2023-12-05T04:00:00"/>
    <d v="1901-12-24T00:00:00"/>
    <x v="2"/>
    <x v="1"/>
    <x v="0"/>
    <n v="4"/>
    <n v="8"/>
    <n v="0.5"/>
    <s v="Plan A"/>
  </r>
  <r>
    <s v="PAT5320"/>
    <n v="64"/>
    <x v="0"/>
    <x v="5"/>
    <x v="231"/>
    <d v="2023-02-22T00:00:00"/>
    <n v="10"/>
    <x v="3"/>
    <n v="3"/>
    <s v="Dr. Sharma"/>
    <n v="16580"/>
    <x v="3"/>
    <x v="1"/>
    <x v="0"/>
    <d v="2023-09-02T00:00:00"/>
    <d v="2023-10-02T01:00:00"/>
    <d v="1901-12-21T00:00:00"/>
    <x v="0"/>
    <x v="0"/>
    <x v="2"/>
    <n v="4"/>
    <n v="8"/>
    <n v="0.5"/>
    <s v="Plan A"/>
  </r>
  <r>
    <s v="PAT5321"/>
    <n v="49"/>
    <x v="4"/>
    <x v="3"/>
    <x v="232"/>
    <d v="2023-11-14T00:00:00"/>
    <n v="2"/>
    <x v="1"/>
    <n v="4"/>
    <s v="Dr. Sharma"/>
    <n v="27286"/>
    <x v="0"/>
    <x v="0"/>
    <x v="0"/>
    <d v="2023-08-11T00:00:00"/>
    <d v="2023-08-11T01:00:00"/>
    <d v="1899-12-31T00:00:00"/>
    <x v="2"/>
    <x v="1"/>
    <x v="1"/>
    <n v="7"/>
    <n v="10"/>
    <n v="0.7"/>
    <s v="Plan A"/>
  </r>
  <r>
    <s v="PAT5322"/>
    <n v="17"/>
    <x v="1"/>
    <x v="4"/>
    <x v="48"/>
    <d v="2024-01-24T00:00:00"/>
    <n v="15"/>
    <x v="3"/>
    <n v="1"/>
    <s v="Dr. Gupta"/>
    <n v="32328"/>
    <x v="4"/>
    <x v="1"/>
    <x v="0"/>
    <d v="2024-07-01T00:00:00"/>
    <d v="2024-08-01T22:00:00"/>
    <d v="1902-02-04T00:00:00"/>
    <x v="2"/>
    <x v="0"/>
    <x v="2"/>
    <n v="5"/>
    <n v="10"/>
    <n v="0.5"/>
    <s v="Plan A"/>
  </r>
  <r>
    <s v="PAT5323"/>
    <n v="44"/>
    <x v="4"/>
    <x v="2"/>
    <x v="189"/>
    <d v="2023-11-02T00:00:00"/>
    <n v="1"/>
    <x v="5"/>
    <n v="1"/>
    <s v="Dr. Rao"/>
    <n v="24093"/>
    <x v="1"/>
    <x v="1"/>
    <x v="1"/>
    <d v="2023-05-02T00:00:00"/>
    <d v="2023-05-02T14:00:00"/>
    <d v="1900-01-13T00:00:00"/>
    <x v="2"/>
    <x v="0"/>
    <x v="2"/>
    <n v="9"/>
    <n v="10"/>
    <n v="0.9"/>
    <s v="Plan A"/>
  </r>
  <r>
    <s v="PAT5324"/>
    <n v="30"/>
    <x v="3"/>
    <x v="1"/>
    <x v="233"/>
    <d v="2024-05-01T00:00:00"/>
    <n v="3"/>
    <x v="1"/>
    <n v="3"/>
    <s v="Dr. Rao"/>
    <n v="26605"/>
    <x v="3"/>
    <x v="1"/>
    <x v="0"/>
    <d v="2023-12-28T00:00:00"/>
    <d v="2023-12-28T14:00:00"/>
    <d v="1900-01-13T00:00:00"/>
    <x v="4"/>
    <x v="1"/>
    <x v="2"/>
    <n v="9"/>
    <n v="12"/>
    <n v="0.75"/>
    <s v="Plan A"/>
  </r>
  <r>
    <s v="PAT5325"/>
    <n v="46"/>
    <x v="4"/>
    <x v="4"/>
    <x v="215"/>
    <d v="2023-07-08T00:00:00"/>
    <n v="3"/>
    <x v="1"/>
    <n v="4"/>
    <s v="Dr. Sharma"/>
    <n v="49813"/>
    <x v="0"/>
    <x v="1"/>
    <x v="1"/>
    <d v="2023-07-30T00:00:00"/>
    <d v="2023-07-30T18:00:00"/>
    <d v="1900-01-17T00:00:00"/>
    <x v="0"/>
    <x v="0"/>
    <x v="1"/>
    <n v="4"/>
    <n v="8"/>
    <n v="0.5"/>
    <s v="Plan B"/>
  </r>
  <r>
    <s v="PAT5326"/>
    <n v="6"/>
    <x v="1"/>
    <x v="2"/>
    <x v="161"/>
    <d v="2023-09-26T00:00:00"/>
    <n v="13"/>
    <x v="2"/>
    <n v="3"/>
    <s v="Dr. Gupta"/>
    <n v="47705"/>
    <x v="0"/>
    <x v="1"/>
    <x v="1"/>
    <d v="2023-09-13T00:00:00"/>
    <d v="2023-09-14T22:00:00"/>
    <d v="1900-02-14T00:00:00"/>
    <x v="0"/>
    <x v="0"/>
    <x v="0"/>
    <n v="9"/>
    <n v="10"/>
    <n v="0.9"/>
    <s v="Plan A"/>
  </r>
  <r>
    <s v="PAT5327"/>
    <n v="37"/>
    <x v="4"/>
    <x v="0"/>
    <x v="234"/>
    <d v="2023-04-26T00:00:00"/>
    <n v="10"/>
    <x v="2"/>
    <n v="3"/>
    <s v="Dr. Rao"/>
    <n v="11722"/>
    <x v="4"/>
    <x v="1"/>
    <x v="0"/>
    <d v="2023-12-04T00:00:00"/>
    <d v="2023-12-04T05:00:00"/>
    <d v="1900-01-04T00:00:00"/>
    <x v="2"/>
    <x v="0"/>
    <x v="1"/>
    <n v="5"/>
    <n v="8"/>
    <n v="0.625"/>
    <s v="Plan A"/>
  </r>
  <r>
    <s v="PAT5328"/>
    <n v="24"/>
    <x v="3"/>
    <x v="2"/>
    <x v="149"/>
    <d v="2023-12-30T00:00:00"/>
    <n v="1"/>
    <x v="3"/>
    <n v="2"/>
    <s v="Dr. Rao"/>
    <n v="45969"/>
    <x v="4"/>
    <x v="1"/>
    <x v="0"/>
    <d v="2023-12-26T00:00:00"/>
    <d v="2023-12-27T13:00:00"/>
    <d v="1900-02-05T00:00:00"/>
    <x v="1"/>
    <x v="0"/>
    <x v="2"/>
    <n v="11"/>
    <n v="8"/>
    <n v="1.375"/>
    <s v="Plan B"/>
  </r>
  <r>
    <s v="PAT5329"/>
    <n v="46"/>
    <x v="4"/>
    <x v="1"/>
    <x v="145"/>
    <d v="2024-03-03T00:00:00"/>
    <n v="11"/>
    <x v="1"/>
    <n v="2"/>
    <s v="Dr. Rao"/>
    <n v="41912"/>
    <x v="2"/>
    <x v="1"/>
    <x v="0"/>
    <d v="2024-02-19T00:00:00"/>
    <d v="2024-02-19T07:00:00"/>
    <d v="1900-01-06T00:00:00"/>
    <x v="2"/>
    <x v="0"/>
    <x v="1"/>
    <n v="6"/>
    <n v="12"/>
    <n v="0.5"/>
    <s v="Plan B"/>
  </r>
  <r>
    <s v="PAT5330"/>
    <n v="53"/>
    <x v="0"/>
    <x v="2"/>
    <x v="176"/>
    <d v="2023-10-06T00:00:00"/>
    <n v="2"/>
    <x v="2"/>
    <n v="4"/>
    <s v="Dr. Gupta"/>
    <n v="43374"/>
    <x v="3"/>
    <x v="0"/>
    <x v="0"/>
    <d v="2023-03-06T00:00:00"/>
    <d v="2023-04-06T11:00:00"/>
    <d v="1902-01-24T00:00:00"/>
    <x v="4"/>
    <x v="0"/>
    <x v="1"/>
    <n v="6"/>
    <n v="8"/>
    <n v="0.75"/>
    <s v="Plan C"/>
  </r>
  <r>
    <s v="PAT5331"/>
    <n v="60"/>
    <x v="0"/>
    <x v="5"/>
    <x v="166"/>
    <d v="2023-05-09T00:00:00"/>
    <n v="5"/>
    <x v="5"/>
    <n v="5"/>
    <s v="Dr. Gupta"/>
    <n v="11766"/>
    <x v="2"/>
    <x v="1"/>
    <x v="1"/>
    <d v="2023-08-27T00:00:00"/>
    <d v="2023-08-27T12:00:00"/>
    <d v="1900-01-11T00:00:00"/>
    <x v="3"/>
    <x v="0"/>
    <x v="2"/>
    <n v="5"/>
    <n v="10"/>
    <n v="0.5"/>
    <s v="Plan A"/>
  </r>
  <r>
    <s v="PAT5332"/>
    <n v="63"/>
    <x v="0"/>
    <x v="1"/>
    <x v="49"/>
    <d v="2023-06-24T00:00:00"/>
    <n v="8"/>
    <x v="2"/>
    <n v="2"/>
    <s v="Dr. Sharma"/>
    <n v="20928"/>
    <x v="0"/>
    <x v="1"/>
    <x v="0"/>
    <d v="2023-12-06T00:00:00"/>
    <d v="2023-06-13T00:00:00"/>
    <d v="1911-07-25T00:00:00"/>
    <x v="4"/>
    <x v="0"/>
    <x v="2"/>
    <n v="9"/>
    <n v="10"/>
    <n v="0.9"/>
    <s v="Plan A"/>
  </r>
  <r>
    <s v="PAT5333"/>
    <n v="85"/>
    <x v="2"/>
    <x v="3"/>
    <x v="235"/>
    <d v="2023-12-07T00:00:00"/>
    <n v="11"/>
    <x v="0"/>
    <n v="5"/>
    <s v="Dr. Patel"/>
    <n v="26274"/>
    <x v="1"/>
    <x v="0"/>
    <x v="0"/>
    <d v="2023-06-30T00:00:00"/>
    <d v="2023-06-30T21:00:00"/>
    <d v="1900-01-20T00:00:00"/>
    <x v="1"/>
    <x v="0"/>
    <x v="1"/>
    <n v="9"/>
    <n v="8"/>
    <n v="1.125"/>
    <s v="Plan A"/>
  </r>
  <r>
    <s v="PAT5334"/>
    <n v="32"/>
    <x v="3"/>
    <x v="0"/>
    <x v="236"/>
    <d v="2024-05-03T00:00:00"/>
    <n v="7"/>
    <x v="0"/>
    <n v="1"/>
    <s v="Dr. Rao"/>
    <n v="39416"/>
    <x v="1"/>
    <x v="1"/>
    <x v="1"/>
    <d v="2024-02-22T00:00:00"/>
    <d v="2024-02-22T13:00:00"/>
    <d v="1900-01-12T00:00:00"/>
    <x v="2"/>
    <x v="0"/>
    <x v="1"/>
    <n v="9"/>
    <n v="8"/>
    <n v="1.125"/>
    <s v="Plan A"/>
  </r>
  <r>
    <s v="PAT5335"/>
    <n v="87"/>
    <x v="2"/>
    <x v="5"/>
    <x v="1"/>
    <d v="2023-03-02T00:00:00"/>
    <n v="8"/>
    <x v="2"/>
    <n v="2"/>
    <s v="Dr. Patel"/>
    <n v="25612"/>
    <x v="4"/>
    <x v="0"/>
    <x v="0"/>
    <d v="2023-01-26T00:00:00"/>
    <d v="2023-01-27T06:00:00"/>
    <d v="1900-01-29T00:00:00"/>
    <x v="0"/>
    <x v="0"/>
    <x v="1"/>
    <n v="10"/>
    <n v="12"/>
    <n v="0.83333333333333337"/>
    <s v="Plan C"/>
  </r>
  <r>
    <s v="PAT5336"/>
    <n v="33"/>
    <x v="3"/>
    <x v="3"/>
    <x v="237"/>
    <d v="2023-07-13T00:00:00"/>
    <n v="10"/>
    <x v="1"/>
    <n v="2"/>
    <s v="Dr. Gupta"/>
    <n v="39898"/>
    <x v="1"/>
    <x v="1"/>
    <x v="0"/>
    <d v="2023-06-29T00:00:00"/>
    <d v="2023-06-29T08:00:00"/>
    <d v="1900-01-07T00:00:00"/>
    <x v="2"/>
    <x v="0"/>
    <x v="1"/>
    <n v="7"/>
    <n v="10"/>
    <n v="0.7"/>
    <s v="Plan B"/>
  </r>
  <r>
    <s v="PAT5337"/>
    <n v="67"/>
    <x v="2"/>
    <x v="2"/>
    <x v="238"/>
    <d v="2023-12-15T00:00:00"/>
    <n v="8"/>
    <x v="1"/>
    <n v="4"/>
    <s v="Dr. Gupta"/>
    <n v="34047"/>
    <x v="1"/>
    <x v="0"/>
    <x v="0"/>
    <d v="2023-04-12T00:00:00"/>
    <d v="2023-04-12T17:00:00"/>
    <d v="1900-01-16T00:00:00"/>
    <x v="1"/>
    <x v="0"/>
    <x v="0"/>
    <n v="8"/>
    <n v="10"/>
    <n v="0.8"/>
    <s v="Plan B"/>
  </r>
  <r>
    <s v="PAT5338"/>
    <n v="18"/>
    <x v="1"/>
    <x v="1"/>
    <x v="239"/>
    <d v="2024-04-03T00:00:00"/>
    <n v="7"/>
    <x v="4"/>
    <n v="5"/>
    <s v="Dr. Gupta"/>
    <n v="48356"/>
    <x v="1"/>
    <x v="0"/>
    <x v="0"/>
    <d v="2024-02-25T00:00:00"/>
    <d v="2024-02-26T19:00:00"/>
    <d v="1900-02-11T00:00:00"/>
    <x v="0"/>
    <x v="0"/>
    <x v="1"/>
    <n v="5"/>
    <n v="8"/>
    <n v="0.625"/>
    <s v="Plan A"/>
  </r>
  <r>
    <s v="PAT5339"/>
    <n v="25"/>
    <x v="3"/>
    <x v="0"/>
    <x v="158"/>
    <d v="2023-09-17T00:00:00"/>
    <n v="5"/>
    <x v="0"/>
    <n v="2"/>
    <s v="Dr. Patel"/>
    <n v="42134"/>
    <x v="0"/>
    <x v="1"/>
    <x v="0"/>
    <d v="2023-08-09T00:00:00"/>
    <d v="2023-09-09T08:00:00"/>
    <d v="1902-01-21T00:00:00"/>
    <x v="4"/>
    <x v="0"/>
    <x v="0"/>
    <n v="5"/>
    <n v="8"/>
    <n v="0.625"/>
    <s v="Plan A"/>
  </r>
  <r>
    <s v="PAT5340"/>
    <n v="54"/>
    <x v="0"/>
    <x v="5"/>
    <x v="53"/>
    <d v="2023-05-10T00:00:00"/>
    <n v="4"/>
    <x v="5"/>
    <n v="2"/>
    <s v="Dr. Gupta"/>
    <n v="6506"/>
    <x v="1"/>
    <x v="1"/>
    <x v="0"/>
    <d v="2023-09-26T00:00:00"/>
    <d v="2023-09-27T10:00:00"/>
    <d v="1900-02-02T00:00:00"/>
    <x v="3"/>
    <x v="0"/>
    <x v="2"/>
    <n v="10"/>
    <n v="8"/>
    <n v="1.25"/>
    <s v="Plan A"/>
  </r>
  <r>
    <s v="PAT5341"/>
    <n v="58"/>
    <x v="0"/>
    <x v="3"/>
    <x v="22"/>
    <d v="2023-06-26T00:00:00"/>
    <n v="13"/>
    <x v="1"/>
    <n v="4"/>
    <s v="Dr. Sharma"/>
    <n v="20222"/>
    <x v="1"/>
    <x v="1"/>
    <x v="0"/>
    <d v="2023-08-06T00:00:00"/>
    <d v="2023-09-06T17:00:00"/>
    <d v="1902-01-30T00:00:00"/>
    <x v="3"/>
    <x v="0"/>
    <x v="0"/>
    <n v="5"/>
    <n v="10"/>
    <n v="0.5"/>
    <s v="Plan C"/>
  </r>
  <r>
    <s v="PAT5342"/>
    <n v="67"/>
    <x v="2"/>
    <x v="3"/>
    <x v="240"/>
    <d v="2023-04-30T00:00:00"/>
    <n v="9"/>
    <x v="3"/>
    <n v="4"/>
    <s v="Dr. Gupta"/>
    <n v="17363"/>
    <x v="1"/>
    <x v="1"/>
    <x v="1"/>
    <d v="2023-04-17T00:00:00"/>
    <d v="2023-04-17T21:00:00"/>
    <d v="1900-01-20T00:00:00"/>
    <x v="2"/>
    <x v="0"/>
    <x v="2"/>
    <n v="11"/>
    <n v="8"/>
    <n v="1.375"/>
    <s v="Plan C"/>
  </r>
  <r>
    <s v="PAT5343"/>
    <n v="46"/>
    <x v="4"/>
    <x v="0"/>
    <x v="241"/>
    <d v="2024-01-29T00:00:00"/>
    <n v="2"/>
    <x v="0"/>
    <n v="5"/>
    <s v="Dr. Mehta"/>
    <n v="24613"/>
    <x v="2"/>
    <x v="1"/>
    <x v="0"/>
    <d v="2024-01-24T00:00:00"/>
    <d v="2024-01-25T15:00:00"/>
    <d v="1900-02-07T00:00:00"/>
    <x v="4"/>
    <x v="1"/>
    <x v="0"/>
    <n v="11"/>
    <n v="12"/>
    <n v="0.91666666666666663"/>
    <s v="Plan B"/>
  </r>
  <r>
    <s v="PAT5344"/>
    <n v="24"/>
    <x v="3"/>
    <x v="2"/>
    <x v="242"/>
    <d v="2023-02-15T00:00:00"/>
    <n v="6"/>
    <x v="5"/>
    <n v="1"/>
    <s v="Dr. Patel"/>
    <n v="49563"/>
    <x v="0"/>
    <x v="0"/>
    <x v="0"/>
    <d v="2023-08-02T00:00:00"/>
    <d v="2023-09-02T01:00:00"/>
    <d v="1902-01-14T00:00:00"/>
    <x v="1"/>
    <x v="0"/>
    <x v="2"/>
    <n v="5"/>
    <n v="12"/>
    <n v="0.41666666666666669"/>
    <s v="Plan A"/>
  </r>
  <r>
    <s v="PAT5345"/>
    <n v="32"/>
    <x v="3"/>
    <x v="0"/>
    <x v="243"/>
    <d v="2024-03-05T00:00:00"/>
    <n v="7"/>
    <x v="5"/>
    <n v="1"/>
    <s v="Dr. Mehta"/>
    <n v="35628"/>
    <x v="4"/>
    <x v="1"/>
    <x v="0"/>
    <d v="2024-04-21T00:00:00"/>
    <d v="2024-04-22T16:00:00"/>
    <d v="1900-02-08T00:00:00"/>
    <x v="3"/>
    <x v="0"/>
    <x v="1"/>
    <n v="10"/>
    <n v="8"/>
    <n v="1.25"/>
    <s v="Plan A"/>
  </r>
  <r>
    <s v="PAT5346"/>
    <n v="47"/>
    <x v="4"/>
    <x v="3"/>
    <x v="244"/>
    <d v="2023-08-18T00:00:00"/>
    <n v="2"/>
    <x v="1"/>
    <n v="3"/>
    <s v="Dr. Gupta"/>
    <n v="47626"/>
    <x v="2"/>
    <x v="1"/>
    <x v="0"/>
    <d v="2023-08-15T00:00:00"/>
    <d v="2023-08-16T02:00:00"/>
    <d v="1900-01-25T00:00:00"/>
    <x v="4"/>
    <x v="0"/>
    <x v="0"/>
    <n v="5"/>
    <n v="12"/>
    <n v="0.41666666666666669"/>
    <s v="Plan A"/>
  </r>
  <r>
    <s v="PAT5347"/>
    <n v="86"/>
    <x v="2"/>
    <x v="4"/>
    <x v="245"/>
    <d v="2023-07-29T00:00:00"/>
    <n v="5"/>
    <x v="5"/>
    <n v="2"/>
    <s v="Dr. Sharma"/>
    <n v="9136"/>
    <x v="3"/>
    <x v="0"/>
    <x v="0"/>
    <d v="2023-07-24T00:00:00"/>
    <d v="2023-07-25T14:00:00"/>
    <d v="1900-02-06T00:00:00"/>
    <x v="2"/>
    <x v="0"/>
    <x v="0"/>
    <n v="9"/>
    <n v="12"/>
    <n v="0.75"/>
    <s v="Plan A"/>
  </r>
  <r>
    <s v="PAT5348"/>
    <n v="23"/>
    <x v="3"/>
    <x v="5"/>
    <x v="246"/>
    <d v="2024-04-27T00:00:00"/>
    <n v="11"/>
    <x v="1"/>
    <n v="5"/>
    <s v="Dr. Rao"/>
    <n v="16161"/>
    <x v="0"/>
    <x v="1"/>
    <x v="0"/>
    <d v="2024-12-04T00:00:00"/>
    <d v="2024-12-04T08:00:00"/>
    <d v="1900-01-07T00:00:00"/>
    <x v="0"/>
    <x v="0"/>
    <x v="2"/>
    <n v="10"/>
    <n v="12"/>
    <n v="0.83333333333333337"/>
    <s v="Plan C"/>
  </r>
  <r>
    <s v="PAT5349"/>
    <n v="66"/>
    <x v="2"/>
    <x v="0"/>
    <x v="247"/>
    <d v="2024-05-01T00:00:00"/>
    <n v="11"/>
    <x v="2"/>
    <n v="2"/>
    <s v="Dr. Gupta"/>
    <n v="40457"/>
    <x v="0"/>
    <x v="0"/>
    <x v="1"/>
    <d v="2023-12-20T00:00:00"/>
    <d v="2023-12-20T23:00:00"/>
    <d v="1900-01-22T00:00:00"/>
    <x v="2"/>
    <x v="0"/>
    <x v="2"/>
    <n v="7"/>
    <n v="12"/>
    <n v="0.58333333333333337"/>
    <s v="Plan B"/>
  </r>
  <r>
    <s v="PAT5350"/>
    <n v="27"/>
    <x v="3"/>
    <x v="3"/>
    <x v="248"/>
    <d v="2023-11-19T00:00:00"/>
    <n v="10"/>
    <x v="0"/>
    <n v="5"/>
    <s v="Dr. Sharma"/>
    <n v="28574"/>
    <x v="3"/>
    <x v="0"/>
    <x v="0"/>
    <d v="2023-09-11T00:00:00"/>
    <d v="2023-09-11T23:00:00"/>
    <d v="1900-01-22T00:00:00"/>
    <x v="2"/>
    <x v="0"/>
    <x v="0"/>
    <n v="4"/>
    <n v="12"/>
    <n v="0.33333333333333331"/>
    <s v="Plan B"/>
  </r>
  <r>
    <s v="PAT5351"/>
    <n v="2"/>
    <x v="1"/>
    <x v="2"/>
    <x v="43"/>
    <d v="2023-08-30T00:00:00"/>
    <n v="8"/>
    <x v="4"/>
    <n v="5"/>
    <s v="Dr. Patel"/>
    <n v="31902"/>
    <x v="3"/>
    <x v="1"/>
    <x v="0"/>
    <d v="2023-08-21T00:00:00"/>
    <d v="2023-08-22T06:00:00"/>
    <d v="1900-01-29T00:00:00"/>
    <x v="4"/>
    <x v="0"/>
    <x v="2"/>
    <n v="9"/>
    <n v="10"/>
    <n v="0.9"/>
    <s v="Plan C"/>
  </r>
  <r>
    <s v="PAT5352"/>
    <n v="17"/>
    <x v="1"/>
    <x v="3"/>
    <x v="4"/>
    <d v="2023-08-26T00:00:00"/>
    <n v="9"/>
    <x v="2"/>
    <n v="5"/>
    <s v="Dr. Mehta"/>
    <n v="7810"/>
    <x v="3"/>
    <x v="1"/>
    <x v="1"/>
    <d v="2023-08-17T00:00:00"/>
    <d v="2023-08-18T16:00:00"/>
    <d v="1900-02-08T00:00:00"/>
    <x v="3"/>
    <x v="0"/>
    <x v="1"/>
    <n v="11"/>
    <n v="8"/>
    <n v="1.375"/>
    <s v="Plan A"/>
  </r>
  <r>
    <s v="PAT5353"/>
    <n v="33"/>
    <x v="3"/>
    <x v="2"/>
    <x v="249"/>
    <d v="2023-05-02T00:00:00"/>
    <n v="11"/>
    <x v="0"/>
    <n v="2"/>
    <s v="Dr. Mehta"/>
    <n v="16663"/>
    <x v="4"/>
    <x v="1"/>
    <x v="0"/>
    <d v="2023-01-22T00:00:00"/>
    <d v="2023-01-22T12:00:00"/>
    <d v="1900-01-11T00:00:00"/>
    <x v="4"/>
    <x v="0"/>
    <x v="0"/>
    <n v="9"/>
    <n v="12"/>
    <n v="0.75"/>
    <s v="Plan B"/>
  </r>
  <r>
    <s v="PAT5354"/>
    <n v="9"/>
    <x v="1"/>
    <x v="0"/>
    <x v="250"/>
    <d v="2023-07-22T00:00:00"/>
    <n v="5"/>
    <x v="1"/>
    <n v="4"/>
    <s v="Dr. Mehta"/>
    <n v="11152"/>
    <x v="1"/>
    <x v="0"/>
    <x v="0"/>
    <d v="2023-07-15T00:00:00"/>
    <d v="2023-07-16T20:00:00"/>
    <d v="1900-02-12T00:00:00"/>
    <x v="0"/>
    <x v="0"/>
    <x v="1"/>
    <n v="8"/>
    <n v="8"/>
    <n v="1"/>
    <s v="Plan B"/>
  </r>
  <r>
    <s v="PAT5355"/>
    <n v="43"/>
    <x v="4"/>
    <x v="2"/>
    <x v="79"/>
    <d v="2024-02-14T00:00:00"/>
    <n v="1"/>
    <x v="0"/>
    <n v="2"/>
    <s v="Dr. Patel"/>
    <n v="5012"/>
    <x v="0"/>
    <x v="1"/>
    <x v="0"/>
    <d v="2024-10-02T00:00:00"/>
    <d v="2024-11-02T22:00:00"/>
    <d v="1902-02-04T00:00:00"/>
    <x v="4"/>
    <x v="0"/>
    <x v="0"/>
    <n v="10"/>
    <n v="12"/>
    <n v="0.83333333333333337"/>
    <s v="Plan C"/>
  </r>
  <r>
    <s v="PAT5356"/>
    <n v="48"/>
    <x v="4"/>
    <x v="1"/>
    <x v="251"/>
    <d v="2023-07-12T00:00:00"/>
    <n v="4"/>
    <x v="1"/>
    <n v="5"/>
    <s v="Dr. Sharma"/>
    <n v="16162"/>
    <x v="1"/>
    <x v="0"/>
    <x v="1"/>
    <d v="2023-02-12T00:00:00"/>
    <d v="2023-02-12T20:00:00"/>
    <d v="1900-01-19T00:00:00"/>
    <x v="1"/>
    <x v="0"/>
    <x v="1"/>
    <n v="11"/>
    <n v="10"/>
    <n v="1.1000000000000001"/>
    <s v="Plan A"/>
  </r>
  <r>
    <s v="PAT5357"/>
    <n v="39"/>
    <x v="4"/>
    <x v="1"/>
    <x v="140"/>
    <d v="2023-10-20T00:00:00"/>
    <n v="7"/>
    <x v="2"/>
    <n v="3"/>
    <s v="Dr. Patel"/>
    <n v="27322"/>
    <x v="1"/>
    <x v="0"/>
    <x v="1"/>
    <d v="2023-10-10T00:00:00"/>
    <d v="2023-11-10T16:00:00"/>
    <d v="1902-01-29T00:00:00"/>
    <x v="2"/>
    <x v="0"/>
    <x v="0"/>
    <n v="4"/>
    <n v="10"/>
    <n v="0.4"/>
    <s v="Plan B"/>
  </r>
  <r>
    <s v="PAT5358"/>
    <n v="42"/>
    <x v="4"/>
    <x v="1"/>
    <x v="41"/>
    <d v="2023-03-23T00:00:00"/>
    <n v="10"/>
    <x v="3"/>
    <n v="1"/>
    <s v="Dr. Mehta"/>
    <n v="12999"/>
    <x v="3"/>
    <x v="1"/>
    <x v="0"/>
    <d v="2023-08-03T00:00:00"/>
    <d v="2023-09-03T14:00:00"/>
    <d v="1902-01-27T00:00:00"/>
    <x v="3"/>
    <x v="0"/>
    <x v="2"/>
    <n v="5"/>
    <n v="12"/>
    <n v="0.41666666666666669"/>
    <s v="Plan A"/>
  </r>
  <r>
    <s v="PAT5359"/>
    <n v="26"/>
    <x v="3"/>
    <x v="4"/>
    <x v="140"/>
    <d v="2023-10-14T00:00:00"/>
    <n v="1"/>
    <x v="3"/>
    <n v="5"/>
    <s v="Dr. Gupta"/>
    <n v="12219"/>
    <x v="4"/>
    <x v="0"/>
    <x v="1"/>
    <d v="2023-12-10T00:00:00"/>
    <d v="2023-12-10T06:00:00"/>
    <d v="1900-01-05T00:00:00"/>
    <x v="0"/>
    <x v="0"/>
    <x v="0"/>
    <n v="4"/>
    <n v="12"/>
    <n v="0.33333333333333331"/>
    <s v="Plan B"/>
  </r>
  <r>
    <s v="PAT5360"/>
    <n v="50"/>
    <x v="4"/>
    <x v="0"/>
    <x v="252"/>
    <d v="2023-12-27T00:00:00"/>
    <n v="1"/>
    <x v="0"/>
    <n v="3"/>
    <s v="Dr. Rao"/>
    <n v="10328"/>
    <x v="2"/>
    <x v="1"/>
    <x v="0"/>
    <d v="2023-12-23T00:00:00"/>
    <d v="2023-12-24T20:00:00"/>
    <d v="1900-02-12T00:00:00"/>
    <x v="2"/>
    <x v="0"/>
    <x v="1"/>
    <n v="7"/>
    <n v="12"/>
    <n v="0.58333333333333337"/>
    <s v="Plan C"/>
  </r>
  <r>
    <s v="PAT5361"/>
    <n v="25"/>
    <x v="3"/>
    <x v="3"/>
    <x v="81"/>
    <d v="2024-09-06T00:00:00"/>
    <n v="4"/>
    <x v="3"/>
    <n v="4"/>
    <s v="Dr. Patel"/>
    <n v="8621"/>
    <x v="4"/>
    <x v="0"/>
    <x v="0"/>
    <d v="2024-01-06T00:00:00"/>
    <d v="2024-01-06T09:00:00"/>
    <d v="1900-01-08T00:00:00"/>
    <x v="4"/>
    <x v="0"/>
    <x v="0"/>
    <n v="6"/>
    <n v="10"/>
    <n v="0.6"/>
    <s v="Plan A"/>
  </r>
  <r>
    <s v="PAT5362"/>
    <n v="24"/>
    <x v="3"/>
    <x v="3"/>
    <x v="253"/>
    <d v="2024-02-19T00:00:00"/>
    <n v="5"/>
    <x v="1"/>
    <n v="5"/>
    <s v="Dr. Patel"/>
    <n v="29256"/>
    <x v="1"/>
    <x v="1"/>
    <x v="1"/>
    <d v="2024-10-02T00:00:00"/>
    <d v="2024-10-02T21:00:00"/>
    <d v="1900-01-20T00:00:00"/>
    <x v="1"/>
    <x v="0"/>
    <x v="1"/>
    <n v="9"/>
    <n v="10"/>
    <n v="0.9"/>
    <s v="Plan C"/>
  </r>
  <r>
    <s v="PAT5363"/>
    <n v="13"/>
    <x v="1"/>
    <x v="4"/>
    <x v="254"/>
    <d v="2023-10-12T00:00:00"/>
    <n v="4"/>
    <x v="5"/>
    <n v="3"/>
    <s v="Dr. Sharma"/>
    <n v="49433"/>
    <x v="4"/>
    <x v="1"/>
    <x v="1"/>
    <d v="2023-03-12T00:00:00"/>
    <d v="2023-03-12T08:00:00"/>
    <d v="1900-01-07T00:00:00"/>
    <x v="4"/>
    <x v="1"/>
    <x v="1"/>
    <n v="10"/>
    <n v="8"/>
    <n v="1.25"/>
    <s v="Plan B"/>
  </r>
  <r>
    <s v="PAT5364"/>
    <n v="60"/>
    <x v="0"/>
    <x v="2"/>
    <x v="255"/>
    <d v="2023-11-02T00:00:00"/>
    <n v="13"/>
    <x v="1"/>
    <n v="5"/>
    <s v="Dr. Sharma"/>
    <n v="16314"/>
    <x v="3"/>
    <x v="1"/>
    <x v="0"/>
    <d v="2023-01-24T00:00:00"/>
    <d v="2023-01-24T16:00:00"/>
    <d v="1900-01-15T00:00:00"/>
    <x v="2"/>
    <x v="0"/>
    <x v="1"/>
    <n v="10"/>
    <n v="10"/>
    <n v="1"/>
    <s v="Plan C"/>
  </r>
  <r>
    <s v="PAT5365"/>
    <n v="7"/>
    <x v="1"/>
    <x v="4"/>
    <x v="211"/>
    <d v="2023-02-05T00:00:00"/>
    <n v="3"/>
    <x v="5"/>
    <n v="2"/>
    <s v="Dr. Patel"/>
    <n v="5652"/>
    <x v="2"/>
    <x v="0"/>
    <x v="0"/>
    <d v="2023-04-24T00:00:00"/>
    <d v="2023-04-24T20:00:00"/>
    <d v="1900-01-19T00:00:00"/>
    <x v="0"/>
    <x v="0"/>
    <x v="2"/>
    <n v="4"/>
    <n v="12"/>
    <n v="0.33333333333333331"/>
    <s v="Plan C"/>
  </r>
  <r>
    <s v="PAT5366"/>
    <n v="57"/>
    <x v="0"/>
    <x v="2"/>
    <x v="192"/>
    <d v="2023-08-10T00:00:00"/>
    <n v="13"/>
    <x v="2"/>
    <n v="3"/>
    <s v="Dr. Mehta"/>
    <n v="21182"/>
    <x v="3"/>
    <x v="1"/>
    <x v="0"/>
    <d v="2023-09-25T00:00:00"/>
    <d v="2023-09-25T08:00:00"/>
    <d v="1900-01-07T00:00:00"/>
    <x v="3"/>
    <x v="0"/>
    <x v="0"/>
    <n v="8"/>
    <n v="8"/>
    <n v="1"/>
    <s v="Plan C"/>
  </r>
  <r>
    <s v="PAT5367"/>
    <n v="36"/>
    <x v="4"/>
    <x v="2"/>
    <x v="98"/>
    <d v="2023-07-07T00:00:00"/>
    <n v="5"/>
    <x v="4"/>
    <n v="2"/>
    <s v="Dr. Rao"/>
    <n v="46580"/>
    <x v="2"/>
    <x v="1"/>
    <x v="0"/>
    <d v="2023-06-27T00:00:00"/>
    <d v="2023-06-27T12:00:00"/>
    <d v="1900-01-11T00:00:00"/>
    <x v="2"/>
    <x v="0"/>
    <x v="1"/>
    <n v="11"/>
    <n v="10"/>
    <n v="1.1000000000000001"/>
    <s v="Plan B"/>
  </r>
  <r>
    <s v="PAT5368"/>
    <n v="45"/>
    <x v="4"/>
    <x v="5"/>
    <x v="75"/>
    <d v="2023-04-10T00:00:00"/>
    <n v="5"/>
    <x v="5"/>
    <n v="2"/>
    <s v="Dr. Sharma"/>
    <n v="41558"/>
    <x v="1"/>
    <x v="1"/>
    <x v="0"/>
    <d v="2023-09-28T00:00:00"/>
    <d v="2023-09-29T00:00:00"/>
    <d v="1900-01-23T00:00:00"/>
    <x v="0"/>
    <x v="0"/>
    <x v="2"/>
    <n v="7"/>
    <n v="10"/>
    <n v="0.7"/>
    <s v="Plan A"/>
  </r>
  <r>
    <s v="PAT5369"/>
    <n v="20"/>
    <x v="3"/>
    <x v="3"/>
    <x v="242"/>
    <d v="2023-02-15T00:00:00"/>
    <n v="6"/>
    <x v="3"/>
    <n v="3"/>
    <s v="Dr. Mehta"/>
    <n v="20659"/>
    <x v="2"/>
    <x v="1"/>
    <x v="0"/>
    <d v="2023-05-02T00:00:00"/>
    <d v="2023-06-02T21:00:00"/>
    <d v="1902-02-03T00:00:00"/>
    <x v="2"/>
    <x v="0"/>
    <x v="1"/>
    <n v="6"/>
    <n v="12"/>
    <n v="0.5"/>
    <s v="Plan C"/>
  </r>
  <r>
    <s v="PAT5370"/>
    <n v="65"/>
    <x v="0"/>
    <x v="1"/>
    <x v="157"/>
    <d v="2023-04-24T00:00:00"/>
    <n v="2"/>
    <x v="1"/>
    <n v="1"/>
    <s v="Dr. Gupta"/>
    <n v="39413"/>
    <x v="2"/>
    <x v="0"/>
    <x v="0"/>
    <d v="2023-04-21T00:00:00"/>
    <d v="2023-04-21T10:00:00"/>
    <d v="1900-01-09T00:00:00"/>
    <x v="1"/>
    <x v="0"/>
    <x v="0"/>
    <n v="7"/>
    <n v="8"/>
    <n v="0.875"/>
    <s v="Plan A"/>
  </r>
  <r>
    <s v="PAT5371"/>
    <n v="8"/>
    <x v="1"/>
    <x v="2"/>
    <x v="256"/>
    <d v="2024-03-21T00:00:00"/>
    <n v="1"/>
    <x v="2"/>
    <n v="3"/>
    <s v="Dr. Sharma"/>
    <n v="15435"/>
    <x v="2"/>
    <x v="0"/>
    <x v="0"/>
    <d v="2024-03-16T00:00:00"/>
    <d v="2024-03-17T09:00:00"/>
    <d v="1900-02-01T00:00:00"/>
    <x v="4"/>
    <x v="0"/>
    <x v="2"/>
    <n v="10"/>
    <n v="10"/>
    <n v="1"/>
    <s v="Plan B"/>
  </r>
  <r>
    <s v="PAT5372"/>
    <n v="16"/>
    <x v="1"/>
    <x v="5"/>
    <x v="257"/>
    <d v="2023-12-28T00:00:00"/>
    <n v="8"/>
    <x v="3"/>
    <n v="1"/>
    <s v="Dr. Mehta"/>
    <n v="33067"/>
    <x v="4"/>
    <x v="1"/>
    <x v="0"/>
    <d v="2023-12-18T00:00:00"/>
    <d v="2023-12-19T01:00:00"/>
    <d v="1900-01-24T00:00:00"/>
    <x v="3"/>
    <x v="0"/>
    <x v="1"/>
    <n v="5"/>
    <n v="10"/>
    <n v="0.5"/>
    <s v="Plan A"/>
  </r>
  <r>
    <s v="PAT5373"/>
    <n v="14"/>
    <x v="1"/>
    <x v="3"/>
    <x v="179"/>
    <d v="2023-11-30T00:00:00"/>
    <n v="12"/>
    <x v="2"/>
    <n v="5"/>
    <s v="Dr. Mehta"/>
    <n v="27258"/>
    <x v="4"/>
    <x v="1"/>
    <x v="0"/>
    <d v="2023-11-13T00:00:00"/>
    <d v="2023-11-14T03:00:00"/>
    <d v="1900-01-26T00:00:00"/>
    <x v="0"/>
    <x v="0"/>
    <x v="1"/>
    <n v="6"/>
    <n v="12"/>
    <n v="0.5"/>
    <s v="Plan C"/>
  </r>
  <r>
    <s v="PAT5374"/>
    <n v="76"/>
    <x v="2"/>
    <x v="1"/>
    <x v="258"/>
    <d v="2024-03-29T00:00:00"/>
    <n v="7"/>
    <x v="4"/>
    <n v="5"/>
    <s v="Dr. Rao"/>
    <n v="33287"/>
    <x v="1"/>
    <x v="1"/>
    <x v="1"/>
    <d v="2024-03-19T00:00:00"/>
    <d v="2024-03-20T15:00:00"/>
    <d v="1900-02-07T00:00:00"/>
    <x v="3"/>
    <x v="0"/>
    <x v="1"/>
    <n v="11"/>
    <n v="8"/>
    <n v="1.375"/>
    <s v="Plan C"/>
  </r>
  <r>
    <s v="PAT5375"/>
    <n v="87"/>
    <x v="2"/>
    <x v="2"/>
    <x v="259"/>
    <d v="2024-10-06T00:00:00"/>
    <n v="3"/>
    <x v="1"/>
    <n v="3"/>
    <s v="Dr. Rao"/>
    <n v="8688"/>
    <x v="2"/>
    <x v="1"/>
    <x v="0"/>
    <d v="2024-03-06T00:00:00"/>
    <d v="2024-03-06T09:00:00"/>
    <d v="1900-01-08T00:00:00"/>
    <x v="3"/>
    <x v="0"/>
    <x v="0"/>
    <n v="11"/>
    <n v="8"/>
    <n v="1.375"/>
    <s v="Plan C"/>
  </r>
  <r>
    <s v="PAT5376"/>
    <n v="15"/>
    <x v="1"/>
    <x v="2"/>
    <x v="211"/>
    <d v="2023-02-05T00:00:00"/>
    <n v="3"/>
    <x v="0"/>
    <n v="5"/>
    <s v="Dr. Gupta"/>
    <n v="12689"/>
    <x v="0"/>
    <x v="1"/>
    <x v="1"/>
    <d v="2023-04-26T00:00:00"/>
    <d v="2023-04-27T13:00:00"/>
    <d v="1900-02-05T00:00:00"/>
    <x v="3"/>
    <x v="0"/>
    <x v="2"/>
    <n v="10"/>
    <n v="8"/>
    <n v="1.25"/>
    <s v="Plan C"/>
  </r>
  <r>
    <s v="PAT5377"/>
    <n v="66"/>
    <x v="2"/>
    <x v="4"/>
    <x v="88"/>
    <d v="2024-06-02T00:00:00"/>
    <n v="7"/>
    <x v="1"/>
    <n v="4"/>
    <s v="Dr. Mehta"/>
    <n v="6379"/>
    <x v="1"/>
    <x v="1"/>
    <x v="1"/>
    <d v="2024-01-28T00:00:00"/>
    <d v="2024-01-29T01:00:00"/>
    <d v="1900-01-24T00:00:00"/>
    <x v="0"/>
    <x v="0"/>
    <x v="2"/>
    <n v="8"/>
    <n v="8"/>
    <n v="1"/>
    <s v="Plan C"/>
  </r>
  <r>
    <s v="PAT5378"/>
    <n v="32"/>
    <x v="3"/>
    <x v="4"/>
    <x v="146"/>
    <d v="2023-07-23T00:00:00"/>
    <n v="9"/>
    <x v="4"/>
    <n v="2"/>
    <s v="Dr. Mehta"/>
    <n v="42011"/>
    <x v="2"/>
    <x v="1"/>
    <x v="0"/>
    <d v="2023-07-13T00:00:00"/>
    <d v="2023-07-14T04:00:00"/>
    <d v="1900-01-27T00:00:00"/>
    <x v="0"/>
    <x v="0"/>
    <x v="2"/>
    <n v="6"/>
    <n v="12"/>
    <n v="0.5"/>
    <s v="Plan C"/>
  </r>
  <r>
    <s v="PAT5379"/>
    <n v="87"/>
    <x v="2"/>
    <x v="3"/>
    <x v="260"/>
    <d v="2023-09-30T00:00:00"/>
    <n v="12"/>
    <x v="1"/>
    <n v="2"/>
    <s v="Dr. Rao"/>
    <n v="48005"/>
    <x v="2"/>
    <x v="1"/>
    <x v="0"/>
    <d v="2023-09-15T00:00:00"/>
    <d v="2023-09-15T12:00:00"/>
    <d v="1900-01-11T00:00:00"/>
    <x v="3"/>
    <x v="0"/>
    <x v="1"/>
    <n v="10"/>
    <n v="10"/>
    <n v="1"/>
    <s v="Plan B"/>
  </r>
  <r>
    <s v="PAT5380"/>
    <n v="63"/>
    <x v="0"/>
    <x v="1"/>
    <x v="220"/>
    <d v="2023-02-19T00:00:00"/>
    <n v="4"/>
    <x v="0"/>
    <n v="1"/>
    <s v="Dr. Sharma"/>
    <n v="32624"/>
    <x v="4"/>
    <x v="0"/>
    <x v="0"/>
    <d v="2023-11-02T00:00:00"/>
    <d v="2023-12-02T08:00:00"/>
    <d v="1901-12-28T00:00:00"/>
    <x v="4"/>
    <x v="0"/>
    <x v="2"/>
    <n v="8"/>
    <n v="10"/>
    <n v="0.8"/>
    <s v="Plan B"/>
  </r>
  <r>
    <s v="PAT5381"/>
    <n v="86"/>
    <x v="2"/>
    <x v="2"/>
    <x v="258"/>
    <d v="2024-03-31T00:00:00"/>
    <n v="9"/>
    <x v="5"/>
    <n v="5"/>
    <s v="Dr. Sharma"/>
    <n v="30964"/>
    <x v="1"/>
    <x v="1"/>
    <x v="0"/>
    <d v="2024-03-20T00:00:00"/>
    <d v="2024-03-21T17:00:00"/>
    <d v="1900-02-09T00:00:00"/>
    <x v="2"/>
    <x v="0"/>
    <x v="1"/>
    <n v="5"/>
    <n v="8"/>
    <n v="0.625"/>
    <s v="Plan B"/>
  </r>
  <r>
    <s v="PAT5382"/>
    <n v="51"/>
    <x v="0"/>
    <x v="3"/>
    <x v="261"/>
    <d v="2023-11-01T00:00:00"/>
    <n v="9"/>
    <x v="2"/>
    <n v="1"/>
    <s v="Dr. Patel"/>
    <n v="27891"/>
    <x v="2"/>
    <x v="1"/>
    <x v="0"/>
    <d v="2022-12-29T00:00:00"/>
    <d v="2022-12-30T11:00:00"/>
    <d v="1900-02-03T00:00:00"/>
    <x v="3"/>
    <x v="0"/>
    <x v="0"/>
    <n v="8"/>
    <n v="8"/>
    <n v="1"/>
    <s v="Plan A"/>
  </r>
  <r>
    <s v="PAT5383"/>
    <n v="25"/>
    <x v="3"/>
    <x v="3"/>
    <x v="262"/>
    <d v="2024-06-30T00:00:00"/>
    <n v="14"/>
    <x v="0"/>
    <n v="2"/>
    <s v="Dr. Rao"/>
    <n v="43379"/>
    <x v="2"/>
    <x v="0"/>
    <x v="1"/>
    <d v="2024-06-14T00:00:00"/>
    <d v="2024-06-15T21:00:00"/>
    <d v="1900-02-13T00:00:00"/>
    <x v="1"/>
    <x v="1"/>
    <x v="2"/>
    <n v="7"/>
    <n v="8"/>
    <n v="0.875"/>
    <s v="Plan A"/>
  </r>
  <r>
    <s v="PAT5384"/>
    <n v="58"/>
    <x v="0"/>
    <x v="0"/>
    <x v="263"/>
    <d v="2023-01-08T00:00:00"/>
    <n v="11"/>
    <x v="3"/>
    <n v="2"/>
    <s v="Dr. Patel"/>
    <n v="17516"/>
    <x v="1"/>
    <x v="0"/>
    <x v="0"/>
    <d v="2023-07-16T00:00:00"/>
    <d v="2023-07-17T18:00:00"/>
    <d v="1900-02-10T00:00:00"/>
    <x v="3"/>
    <x v="0"/>
    <x v="1"/>
    <n v="4"/>
    <n v="10"/>
    <n v="0.4"/>
    <s v="Plan B"/>
  </r>
  <r>
    <s v="PAT5385"/>
    <n v="63"/>
    <x v="0"/>
    <x v="4"/>
    <x v="264"/>
    <d v="2024-01-21T00:00:00"/>
    <n v="13"/>
    <x v="4"/>
    <n v="5"/>
    <s v="Dr. Rao"/>
    <n v="18886"/>
    <x v="0"/>
    <x v="1"/>
    <x v="0"/>
    <d v="2024-03-01T00:00:00"/>
    <d v="2024-03-01T12:00:00"/>
    <d v="1900-01-11T00:00:00"/>
    <x v="0"/>
    <x v="0"/>
    <x v="2"/>
    <n v="7"/>
    <n v="10"/>
    <n v="0.7"/>
    <s v="Plan A"/>
  </r>
  <r>
    <s v="PAT5386"/>
    <n v="62"/>
    <x v="0"/>
    <x v="1"/>
    <x v="148"/>
    <d v="2024-03-23T00:00:00"/>
    <n v="6"/>
    <x v="5"/>
    <n v="4"/>
    <s v="Dr. Gupta"/>
    <n v="25307"/>
    <x v="1"/>
    <x v="1"/>
    <x v="0"/>
    <d v="2024-12-03T00:00:00"/>
    <d v="2024-03-13T12:00:00"/>
    <d v="1917-05-18T00:00:00"/>
    <x v="2"/>
    <x v="0"/>
    <x v="2"/>
    <n v="11"/>
    <n v="8"/>
    <n v="1.375"/>
    <s v="Plan A"/>
  </r>
  <r>
    <s v="PAT5387"/>
    <n v="22"/>
    <x v="3"/>
    <x v="2"/>
    <x v="41"/>
    <d v="2023-03-15T00:00:00"/>
    <n v="2"/>
    <x v="3"/>
    <n v="4"/>
    <s v="Dr. Mehta"/>
    <n v="29843"/>
    <x v="1"/>
    <x v="0"/>
    <x v="0"/>
    <d v="2023-08-03T00:00:00"/>
    <d v="2023-08-03T11:00:00"/>
    <d v="1900-01-10T00:00:00"/>
    <x v="1"/>
    <x v="0"/>
    <x v="0"/>
    <n v="10"/>
    <n v="12"/>
    <n v="0.83333333333333337"/>
    <s v="Plan C"/>
  </r>
  <r>
    <s v="PAT5388"/>
    <n v="58"/>
    <x v="0"/>
    <x v="3"/>
    <x v="137"/>
    <d v="2023-12-12T00:00:00"/>
    <n v="7"/>
    <x v="3"/>
    <n v="5"/>
    <s v="Dr. Gupta"/>
    <n v="10912"/>
    <x v="0"/>
    <x v="1"/>
    <x v="1"/>
    <d v="2023-11-30T00:00:00"/>
    <d v="2023-01-12T08:00:00"/>
    <d v="1921-02-18T00:00:00"/>
    <x v="2"/>
    <x v="0"/>
    <x v="2"/>
    <n v="10"/>
    <n v="10"/>
    <n v="1"/>
    <s v="Plan C"/>
  </r>
  <r>
    <s v="PAT5389"/>
    <n v="58"/>
    <x v="0"/>
    <x v="2"/>
    <x v="179"/>
    <d v="2023-02-12T00:00:00"/>
    <n v="14"/>
    <x v="4"/>
    <n v="5"/>
    <s v="Dr. Rao"/>
    <n v="26514"/>
    <x v="1"/>
    <x v="1"/>
    <x v="0"/>
    <d v="2023-11-16T00:00:00"/>
    <d v="2023-11-16T19:00:00"/>
    <d v="1900-01-18T00:00:00"/>
    <x v="2"/>
    <x v="0"/>
    <x v="0"/>
    <n v="9"/>
    <n v="10"/>
    <n v="0.9"/>
    <s v="Plan A"/>
  </r>
  <r>
    <s v="PAT5390"/>
    <n v="86"/>
    <x v="2"/>
    <x v="0"/>
    <x v="35"/>
    <d v="2023-05-20T00:00:00"/>
    <n v="12"/>
    <x v="5"/>
    <n v="1"/>
    <s v="Dr. Mehta"/>
    <n v="26823"/>
    <x v="2"/>
    <x v="1"/>
    <x v="0"/>
    <d v="2023-04-05T00:00:00"/>
    <d v="2023-04-05T09:00:00"/>
    <d v="1900-01-08T00:00:00"/>
    <x v="1"/>
    <x v="0"/>
    <x v="2"/>
    <n v="7"/>
    <n v="8"/>
    <n v="0.875"/>
    <s v="Plan A"/>
  </r>
  <r>
    <s v="PAT5391"/>
    <n v="49"/>
    <x v="4"/>
    <x v="1"/>
    <x v="196"/>
    <d v="2023-05-11T00:00:00"/>
    <n v="1"/>
    <x v="3"/>
    <n v="5"/>
    <s v="Dr. Sharma"/>
    <n v="33797"/>
    <x v="1"/>
    <x v="1"/>
    <x v="0"/>
    <d v="2023-01-11T00:00:00"/>
    <d v="2023-01-11T12:00:00"/>
    <d v="1900-01-11T00:00:00"/>
    <x v="3"/>
    <x v="0"/>
    <x v="2"/>
    <n v="6"/>
    <n v="12"/>
    <n v="0.5"/>
    <s v="Plan B"/>
  </r>
  <r>
    <s v="PAT5392"/>
    <n v="52"/>
    <x v="0"/>
    <x v="3"/>
    <x v="99"/>
    <d v="2024-10-06T00:00:00"/>
    <n v="7"/>
    <x v="3"/>
    <n v="4"/>
    <s v="Dr. Sharma"/>
    <n v="11449"/>
    <x v="0"/>
    <x v="1"/>
    <x v="0"/>
    <d v="2024-02-06T00:00:00"/>
    <d v="2024-02-06T21:00:00"/>
    <d v="1900-01-20T00:00:00"/>
    <x v="3"/>
    <x v="0"/>
    <x v="2"/>
    <n v="11"/>
    <n v="8"/>
    <n v="1.375"/>
    <s v="Plan A"/>
  </r>
  <r>
    <s v="PAT5393"/>
    <n v="42"/>
    <x v="4"/>
    <x v="2"/>
    <x v="265"/>
    <d v="2023-11-14T00:00:00"/>
    <n v="1"/>
    <x v="5"/>
    <n v="5"/>
    <s v="Dr. Patel"/>
    <n v="6725"/>
    <x v="3"/>
    <x v="0"/>
    <x v="0"/>
    <d v="2023-12-11T00:00:00"/>
    <d v="2023-11-13T05:00:00"/>
    <d v="1901-10-28T00:00:00"/>
    <x v="3"/>
    <x v="0"/>
    <x v="2"/>
    <n v="5"/>
    <n v="8"/>
    <n v="0.625"/>
    <s v="Plan C"/>
  </r>
  <r>
    <s v="PAT5394"/>
    <n v="70"/>
    <x v="2"/>
    <x v="4"/>
    <x v="266"/>
    <d v="2024-02-03T00:00:00"/>
    <n v="8"/>
    <x v="1"/>
    <n v="1"/>
    <s v="Dr. Rao"/>
    <n v="20870"/>
    <x v="1"/>
    <x v="1"/>
    <x v="0"/>
    <d v="2024-02-21T00:00:00"/>
    <d v="2024-02-22T16:00:00"/>
    <d v="1900-02-08T00:00:00"/>
    <x v="4"/>
    <x v="0"/>
    <x v="2"/>
    <n v="11"/>
    <n v="12"/>
    <n v="0.91666666666666663"/>
    <s v="Plan A"/>
  </r>
  <r>
    <s v="PAT5395"/>
    <n v="15"/>
    <x v="1"/>
    <x v="0"/>
    <x v="267"/>
    <d v="2023-12-16T00:00:00"/>
    <n v="15"/>
    <x v="3"/>
    <n v="1"/>
    <s v="Dr. Rao"/>
    <n v="14304"/>
    <x v="4"/>
    <x v="1"/>
    <x v="0"/>
    <d v="2023-11-27T00:00:00"/>
    <d v="2023-11-27T04:00:00"/>
    <d v="1900-01-03T00:00:00"/>
    <x v="3"/>
    <x v="0"/>
    <x v="2"/>
    <n v="9"/>
    <n v="12"/>
    <n v="0.75"/>
    <s v="Plan B"/>
  </r>
  <r>
    <s v="PAT5396"/>
    <n v="54"/>
    <x v="0"/>
    <x v="1"/>
    <x v="155"/>
    <d v="2024-02-19T00:00:00"/>
    <n v="2"/>
    <x v="2"/>
    <n v="1"/>
    <s v="Dr. Sharma"/>
    <n v="12522"/>
    <x v="2"/>
    <x v="1"/>
    <x v="0"/>
    <d v="2024-02-15T00:00:00"/>
    <d v="2024-02-15T23:00:00"/>
    <d v="1900-01-22T00:00:00"/>
    <x v="1"/>
    <x v="0"/>
    <x v="0"/>
    <n v="9"/>
    <n v="12"/>
    <n v="0.75"/>
    <s v="Plan C"/>
  </r>
  <r>
    <s v="PAT5397"/>
    <n v="60"/>
    <x v="0"/>
    <x v="0"/>
    <x v="268"/>
    <d v="2023-11-13T00:00:00"/>
    <n v="14"/>
    <x v="5"/>
    <n v="1"/>
    <s v="Dr. Gupta"/>
    <n v="18663"/>
    <x v="2"/>
    <x v="1"/>
    <x v="1"/>
    <d v="2023-10-29T00:00:00"/>
    <d v="2023-10-29T01:00:00"/>
    <d v="1899-12-31T00:00:00"/>
    <x v="4"/>
    <x v="1"/>
    <x v="0"/>
    <n v="9"/>
    <n v="10"/>
    <n v="0.9"/>
    <s v="Plan C"/>
  </r>
  <r>
    <s v="PAT5398"/>
    <n v="8"/>
    <x v="1"/>
    <x v="4"/>
    <x v="230"/>
    <d v="2023-05-17T00:00:00"/>
    <n v="6"/>
    <x v="3"/>
    <n v="3"/>
    <s v="Dr. Mehta"/>
    <n v="9784"/>
    <x v="4"/>
    <x v="0"/>
    <x v="1"/>
    <d v="2023-09-05T00:00:00"/>
    <d v="2023-10-05T08:00:00"/>
    <d v="1901-12-28T00:00:00"/>
    <x v="3"/>
    <x v="0"/>
    <x v="1"/>
    <n v="10"/>
    <n v="8"/>
    <n v="1.25"/>
    <s v="Plan C"/>
  </r>
  <r>
    <s v="PAT5399"/>
    <n v="53"/>
    <x v="0"/>
    <x v="1"/>
    <x v="40"/>
    <d v="2023-07-26T00:00:00"/>
    <n v="10"/>
    <x v="4"/>
    <n v="5"/>
    <s v="Dr. Gupta"/>
    <n v="14472"/>
    <x v="4"/>
    <x v="1"/>
    <x v="0"/>
    <d v="2023-07-14T00:00:00"/>
    <d v="2023-07-14T09:00:00"/>
    <d v="1900-01-08T00:00:00"/>
    <x v="4"/>
    <x v="0"/>
    <x v="2"/>
    <n v="4"/>
    <n v="10"/>
    <n v="0.4"/>
    <s v="Plan C"/>
  </r>
  <r>
    <s v="PAT5400"/>
    <n v="60"/>
    <x v="0"/>
    <x v="0"/>
    <x v="269"/>
    <d v="2024-03-13T00:00:00"/>
    <n v="7"/>
    <x v="0"/>
    <n v="2"/>
    <s v="Dr. Gupta"/>
    <n v="33952"/>
    <x v="1"/>
    <x v="0"/>
    <x v="1"/>
    <d v="2024-01-03T00:00:00"/>
    <d v="2024-01-03T13:00:00"/>
    <d v="1900-01-12T00:00:00"/>
    <x v="1"/>
    <x v="0"/>
    <x v="0"/>
    <n v="8"/>
    <n v="12"/>
    <n v="0.66666666666666663"/>
    <s v="Plan A"/>
  </r>
  <r>
    <s v="PAT5401"/>
    <n v="5"/>
    <x v="1"/>
    <x v="5"/>
    <x v="58"/>
    <d v="2024-03-02T00:00:00"/>
    <n v="10"/>
    <x v="2"/>
    <n v="5"/>
    <s v="Dr. Sharma"/>
    <n v="15055"/>
    <x v="4"/>
    <x v="1"/>
    <x v="1"/>
    <d v="2024-01-23T00:00:00"/>
    <d v="2024-01-24T01:00:00"/>
    <d v="1900-01-24T00:00:00"/>
    <x v="3"/>
    <x v="0"/>
    <x v="2"/>
    <n v="6"/>
    <n v="10"/>
    <n v="0.6"/>
    <s v="Plan B"/>
  </r>
  <r>
    <s v="PAT5402"/>
    <n v="68"/>
    <x v="2"/>
    <x v="4"/>
    <x v="270"/>
    <d v="2023-05-07T00:00:00"/>
    <n v="7"/>
    <x v="0"/>
    <n v="3"/>
    <s v="Dr. Sharma"/>
    <n v="34508"/>
    <x v="3"/>
    <x v="1"/>
    <x v="0"/>
    <d v="2023-06-23T00:00:00"/>
    <d v="2023-06-24T12:00:00"/>
    <d v="1900-02-04T00:00:00"/>
    <x v="0"/>
    <x v="0"/>
    <x v="2"/>
    <n v="11"/>
    <n v="12"/>
    <n v="0.91666666666666663"/>
    <s v="Plan A"/>
  </r>
  <r>
    <s v="PAT5403"/>
    <n v="6"/>
    <x v="1"/>
    <x v="4"/>
    <x v="271"/>
    <d v="2023-11-17T00:00:00"/>
    <n v="12"/>
    <x v="0"/>
    <n v="1"/>
    <s v="Dr. Sharma"/>
    <n v="17676"/>
    <x v="0"/>
    <x v="0"/>
    <x v="0"/>
    <d v="2023-10-31T00:00:00"/>
    <d v="2023-01-11T09:00:00"/>
    <d v="1919-03-24T00:00:00"/>
    <x v="1"/>
    <x v="0"/>
    <x v="0"/>
    <n v="10"/>
    <n v="12"/>
    <n v="0.83333333333333337"/>
    <s v="Plan A"/>
  </r>
  <r>
    <s v="PAT5404"/>
    <n v="47"/>
    <x v="4"/>
    <x v="4"/>
    <x v="272"/>
    <d v="2024-02-03T00:00:00"/>
    <n v="11"/>
    <x v="3"/>
    <n v="3"/>
    <s v="Dr. Patel"/>
    <n v="30192"/>
    <x v="4"/>
    <x v="1"/>
    <x v="0"/>
    <d v="2024-02-17T00:00:00"/>
    <d v="2024-02-18T18:00:00"/>
    <d v="1900-02-10T00:00:00"/>
    <x v="2"/>
    <x v="0"/>
    <x v="2"/>
    <n v="11"/>
    <n v="8"/>
    <n v="1.375"/>
    <s v="Plan C"/>
  </r>
  <r>
    <s v="PAT5405"/>
    <n v="55"/>
    <x v="0"/>
    <x v="5"/>
    <x v="104"/>
    <d v="2023-08-01T00:00:00"/>
    <n v="7"/>
    <x v="2"/>
    <n v="4"/>
    <s v="Dr. Gupta"/>
    <n v="29722"/>
    <x v="4"/>
    <x v="1"/>
    <x v="1"/>
    <d v="2022-12-30T00:00:00"/>
    <d v="2022-12-31T08:00:00"/>
    <d v="1900-01-31T00:00:00"/>
    <x v="2"/>
    <x v="0"/>
    <x v="0"/>
    <n v="5"/>
    <n v="8"/>
    <n v="0.625"/>
    <s v="Plan B"/>
  </r>
  <r>
    <s v="PAT5406"/>
    <n v="40"/>
    <x v="4"/>
    <x v="5"/>
    <x v="273"/>
    <d v="2023-11-13T00:00:00"/>
    <n v="5"/>
    <x v="2"/>
    <n v="4"/>
    <s v="Dr. Rao"/>
    <n v="12446"/>
    <x v="3"/>
    <x v="0"/>
    <x v="1"/>
    <d v="2023-05-11T00:00:00"/>
    <d v="2023-06-11T03:00:00"/>
    <d v="1902-01-16T00:00:00"/>
    <x v="1"/>
    <x v="0"/>
    <x v="0"/>
    <n v="10"/>
    <n v="8"/>
    <n v="1.25"/>
    <s v="Plan C"/>
  </r>
  <r>
    <s v="PAT5407"/>
    <n v="52"/>
    <x v="0"/>
    <x v="2"/>
    <x v="274"/>
    <d v="2023-10-23T00:00:00"/>
    <n v="2"/>
    <x v="1"/>
    <n v="5"/>
    <s v="Dr. Mehta"/>
    <n v="9725"/>
    <x v="2"/>
    <x v="1"/>
    <x v="1"/>
    <d v="2023-10-19T00:00:00"/>
    <d v="2023-10-20T20:00:00"/>
    <d v="1900-02-12T00:00:00"/>
    <x v="2"/>
    <x v="0"/>
    <x v="1"/>
    <n v="4"/>
    <n v="10"/>
    <n v="0.4"/>
    <s v="Plan A"/>
  </r>
  <r>
    <s v="PAT5408"/>
    <n v="16"/>
    <x v="1"/>
    <x v="3"/>
    <x v="215"/>
    <d v="2023-11-08T00:00:00"/>
    <n v="7"/>
    <x v="0"/>
    <n v="5"/>
    <s v="Dr. Patel"/>
    <n v="25061"/>
    <x v="2"/>
    <x v="0"/>
    <x v="0"/>
    <d v="2023-07-31T00:00:00"/>
    <d v="2023-01-08T08:00:00"/>
    <d v="1913-05-19T00:00:00"/>
    <x v="1"/>
    <x v="0"/>
    <x v="1"/>
    <n v="11"/>
    <n v="8"/>
    <n v="1.375"/>
    <s v="Plan A"/>
  </r>
  <r>
    <s v="PAT5409"/>
    <n v="13"/>
    <x v="1"/>
    <x v="0"/>
    <x v="229"/>
    <d v="2024-03-17T00:00:00"/>
    <n v="1"/>
    <x v="2"/>
    <n v="2"/>
    <s v="Dr. Rao"/>
    <n v="27671"/>
    <x v="1"/>
    <x v="0"/>
    <x v="0"/>
    <d v="2024-11-03T00:00:00"/>
    <d v="2024-12-03T03:00:00"/>
    <d v="1901-12-23T00:00:00"/>
    <x v="0"/>
    <x v="0"/>
    <x v="1"/>
    <n v="10"/>
    <n v="12"/>
    <n v="0.83333333333333337"/>
    <s v="Plan C"/>
  </r>
  <r>
    <s v="PAT5410"/>
    <n v="30"/>
    <x v="3"/>
    <x v="2"/>
    <x v="275"/>
    <d v="2023-02-12T00:00:00"/>
    <n v="6"/>
    <x v="1"/>
    <n v="2"/>
    <s v="Dr. Gupta"/>
    <n v="6409"/>
    <x v="3"/>
    <x v="1"/>
    <x v="0"/>
    <d v="2023-11-24T00:00:00"/>
    <d v="2023-11-25T22:00:00"/>
    <d v="1900-02-14T00:00:00"/>
    <x v="1"/>
    <x v="0"/>
    <x v="1"/>
    <n v="10"/>
    <n v="8"/>
    <n v="1.25"/>
    <s v="Plan A"/>
  </r>
  <r>
    <s v="PAT5411"/>
    <n v="19"/>
    <x v="3"/>
    <x v="0"/>
    <x v="276"/>
    <d v="2024-04-24T00:00:00"/>
    <n v="3"/>
    <x v="5"/>
    <n v="4"/>
    <s v="Dr. Sharma"/>
    <n v="13205"/>
    <x v="0"/>
    <x v="1"/>
    <x v="1"/>
    <d v="2024-04-19T00:00:00"/>
    <d v="2024-04-20T05:00:00"/>
    <d v="1900-01-28T00:00:00"/>
    <x v="3"/>
    <x v="0"/>
    <x v="2"/>
    <n v="7"/>
    <n v="10"/>
    <n v="0.7"/>
    <s v="Plan A"/>
  </r>
  <r>
    <s v="PAT5412"/>
    <n v="17"/>
    <x v="1"/>
    <x v="3"/>
    <x v="224"/>
    <d v="2024-10-04T00:00:00"/>
    <n v="13"/>
    <x v="1"/>
    <n v="1"/>
    <s v="Dr. Gupta"/>
    <n v="21365"/>
    <x v="0"/>
    <x v="1"/>
    <x v="0"/>
    <d v="2024-03-28T00:00:00"/>
    <d v="2024-03-29T08:00:00"/>
    <d v="1900-01-31T00:00:00"/>
    <x v="3"/>
    <x v="0"/>
    <x v="2"/>
    <n v="5"/>
    <n v="8"/>
    <n v="0.625"/>
    <s v="Plan C"/>
  </r>
  <r>
    <s v="PAT5413"/>
    <n v="63"/>
    <x v="0"/>
    <x v="5"/>
    <x v="224"/>
    <d v="2024-07-04T00:00:00"/>
    <n v="10"/>
    <x v="4"/>
    <n v="3"/>
    <s v="Dr. Mehta"/>
    <n v="5256"/>
    <x v="3"/>
    <x v="1"/>
    <x v="0"/>
    <d v="2024-03-24T00:00:00"/>
    <d v="2024-03-24T11:00:00"/>
    <d v="1900-01-10T00:00:00"/>
    <x v="4"/>
    <x v="0"/>
    <x v="1"/>
    <n v="9"/>
    <n v="8"/>
    <n v="1.125"/>
    <s v="Plan A"/>
  </r>
  <r>
    <s v="PAT5414"/>
    <n v="19"/>
    <x v="3"/>
    <x v="3"/>
    <x v="169"/>
    <d v="2023-08-15T00:00:00"/>
    <n v="8"/>
    <x v="3"/>
    <n v="2"/>
    <s v="Dr. Patel"/>
    <n v="20704"/>
    <x v="0"/>
    <x v="0"/>
    <x v="0"/>
    <d v="2023-02-08T00:00:00"/>
    <d v="2023-02-08T06:00:00"/>
    <d v="1900-01-05T00:00:00"/>
    <x v="2"/>
    <x v="0"/>
    <x v="0"/>
    <n v="5"/>
    <n v="8"/>
    <n v="0.625"/>
    <s v="Plan B"/>
  </r>
  <r>
    <s v="PAT5415"/>
    <n v="58"/>
    <x v="0"/>
    <x v="5"/>
    <x v="259"/>
    <d v="2024-06-21T00:00:00"/>
    <n v="14"/>
    <x v="5"/>
    <n v="2"/>
    <s v="Dr. Patel"/>
    <n v="34902"/>
    <x v="2"/>
    <x v="0"/>
    <x v="0"/>
    <d v="2024-03-06T00:00:00"/>
    <d v="2024-04-06T13:00:00"/>
    <d v="1902-01-26T00:00:00"/>
    <x v="2"/>
    <x v="0"/>
    <x v="0"/>
    <n v="5"/>
    <n v="10"/>
    <n v="0.5"/>
    <s v="Plan C"/>
  </r>
  <r>
    <s v="PAT5416"/>
    <n v="55"/>
    <x v="0"/>
    <x v="3"/>
    <x v="143"/>
    <d v="2024-11-05T00:00:00"/>
    <n v="12"/>
    <x v="5"/>
    <n v="1"/>
    <s v="Dr. Mehta"/>
    <n v="40758"/>
    <x v="0"/>
    <x v="1"/>
    <x v="0"/>
    <d v="2024-04-26T00:00:00"/>
    <d v="2024-04-26T02:00:00"/>
    <d v="1900-01-01T00:00:00"/>
    <x v="1"/>
    <x v="0"/>
    <x v="0"/>
    <n v="7"/>
    <n v="12"/>
    <n v="0.58333333333333337"/>
    <s v="Plan B"/>
  </r>
  <r>
    <s v="PAT5417"/>
    <n v="62"/>
    <x v="0"/>
    <x v="2"/>
    <x v="277"/>
    <d v="2023-08-07T00:00:00"/>
    <n v="15"/>
    <x v="4"/>
    <n v="1"/>
    <s v="Dr. Rao"/>
    <n v="6195"/>
    <x v="0"/>
    <x v="1"/>
    <x v="1"/>
    <d v="2023-06-20T00:00:00"/>
    <d v="2023-06-20T15:00:00"/>
    <d v="1900-01-14T00:00:00"/>
    <x v="2"/>
    <x v="0"/>
    <x v="0"/>
    <n v="8"/>
    <n v="12"/>
    <n v="0.66666666666666663"/>
    <s v="Plan A"/>
  </r>
  <r>
    <s v="PAT5418"/>
    <n v="23"/>
    <x v="3"/>
    <x v="1"/>
    <x v="278"/>
    <d v="2023-03-04T00:00:00"/>
    <n v="6"/>
    <x v="1"/>
    <n v="5"/>
    <s v="Dr. Rao"/>
    <n v="39012"/>
    <x v="3"/>
    <x v="1"/>
    <x v="1"/>
    <d v="2023-03-26T00:00:00"/>
    <d v="2023-03-26T19:00:00"/>
    <d v="1900-01-18T00:00:00"/>
    <x v="3"/>
    <x v="0"/>
    <x v="2"/>
    <n v="10"/>
    <n v="12"/>
    <n v="0.83333333333333337"/>
    <s v="Plan A"/>
  </r>
  <r>
    <s v="PAT5419"/>
    <n v="9"/>
    <x v="1"/>
    <x v="2"/>
    <x v="279"/>
    <d v="2023-10-20T00:00:00"/>
    <n v="2"/>
    <x v="3"/>
    <n v="3"/>
    <s v="Dr. Patel"/>
    <n v="16415"/>
    <x v="3"/>
    <x v="1"/>
    <x v="0"/>
    <d v="2023-10-17T00:00:00"/>
    <d v="2023-10-17T03:00:00"/>
    <d v="1900-01-02T00:00:00"/>
    <x v="0"/>
    <x v="0"/>
    <x v="0"/>
    <n v="6"/>
    <n v="8"/>
    <n v="0.75"/>
    <s v="Plan C"/>
  </r>
  <r>
    <s v="PAT5420"/>
    <n v="12"/>
    <x v="1"/>
    <x v="0"/>
    <x v="280"/>
    <d v="2024-06-18T00:00:00"/>
    <n v="7"/>
    <x v="1"/>
    <n v="1"/>
    <s v="Dr. Patel"/>
    <n v="44534"/>
    <x v="0"/>
    <x v="0"/>
    <x v="1"/>
    <d v="2024-09-06T00:00:00"/>
    <d v="2024-09-06T18:00:00"/>
    <d v="1900-01-17T00:00:00"/>
    <x v="1"/>
    <x v="0"/>
    <x v="0"/>
    <n v="9"/>
    <n v="8"/>
    <n v="1.125"/>
    <s v="Plan A"/>
  </r>
  <r>
    <s v="PAT5421"/>
    <n v="1"/>
    <x v="1"/>
    <x v="2"/>
    <x v="281"/>
    <d v="2023-12-24T00:00:00"/>
    <n v="14"/>
    <x v="2"/>
    <n v="2"/>
    <s v="Dr. Sharma"/>
    <n v="26686"/>
    <x v="4"/>
    <x v="1"/>
    <x v="1"/>
    <d v="2023-10-12T00:00:00"/>
    <d v="2023-10-12T15:00:00"/>
    <d v="1900-01-14T00:00:00"/>
    <x v="2"/>
    <x v="0"/>
    <x v="1"/>
    <n v="11"/>
    <n v="10"/>
    <n v="1.1000000000000001"/>
    <s v="Plan C"/>
  </r>
  <r>
    <s v="PAT5422"/>
    <n v="58"/>
    <x v="0"/>
    <x v="4"/>
    <x v="11"/>
    <d v="2023-08-04T00:00:00"/>
    <n v="2"/>
    <x v="1"/>
    <n v="2"/>
    <s v="Dr. Rao"/>
    <n v="16662"/>
    <x v="3"/>
    <x v="0"/>
    <x v="1"/>
    <d v="2023-04-04T00:00:00"/>
    <d v="2023-05-04T11:00:00"/>
    <d v="1901-12-31T00:00:00"/>
    <x v="3"/>
    <x v="0"/>
    <x v="0"/>
    <n v="8"/>
    <n v="12"/>
    <n v="0.66666666666666663"/>
    <s v="Plan C"/>
  </r>
  <r>
    <s v="PAT5423"/>
    <n v="1"/>
    <x v="1"/>
    <x v="0"/>
    <x v="186"/>
    <d v="2023-02-09T00:00:00"/>
    <n v="4"/>
    <x v="5"/>
    <n v="4"/>
    <s v="Dr. Mehta"/>
    <n v="33743"/>
    <x v="1"/>
    <x v="0"/>
    <x v="1"/>
    <d v="2023-08-24T00:00:00"/>
    <d v="2023-08-24T19:00:00"/>
    <d v="1900-01-18T00:00:00"/>
    <x v="4"/>
    <x v="0"/>
    <x v="2"/>
    <n v="4"/>
    <n v="8"/>
    <n v="0.5"/>
    <s v="Plan C"/>
  </r>
  <r>
    <s v="PAT5424"/>
    <n v="34"/>
    <x v="3"/>
    <x v="3"/>
    <x v="282"/>
    <d v="2023-11-21T00:00:00"/>
    <n v="7"/>
    <x v="3"/>
    <n v="1"/>
    <s v="Dr. Rao"/>
    <n v="37161"/>
    <x v="1"/>
    <x v="0"/>
    <x v="0"/>
    <d v="2023-11-14T00:00:00"/>
    <d v="2023-11-14T11:00:00"/>
    <d v="1900-01-10T00:00:00"/>
    <x v="2"/>
    <x v="0"/>
    <x v="0"/>
    <n v="10"/>
    <n v="8"/>
    <n v="1.25"/>
    <s v="Plan C"/>
  </r>
  <r>
    <s v="PAT5425"/>
    <n v="48"/>
    <x v="4"/>
    <x v="0"/>
    <x v="129"/>
    <d v="2023-08-29T00:00:00"/>
    <n v="10"/>
    <x v="1"/>
    <n v="5"/>
    <s v="Dr. Sharma"/>
    <n v="48081"/>
    <x v="2"/>
    <x v="1"/>
    <x v="0"/>
    <d v="2023-08-17T00:00:00"/>
    <d v="2023-08-18T06:00:00"/>
    <d v="1900-01-29T00:00:00"/>
    <x v="0"/>
    <x v="0"/>
    <x v="0"/>
    <n v="9"/>
    <n v="8"/>
    <n v="1.125"/>
    <s v="Plan C"/>
  </r>
  <r>
    <s v="PAT5426"/>
    <n v="89"/>
    <x v="2"/>
    <x v="1"/>
    <x v="16"/>
    <d v="2023-07-30T00:00:00"/>
    <n v="7"/>
    <x v="3"/>
    <n v="3"/>
    <s v="Dr. Patel"/>
    <n v="7402"/>
    <x v="0"/>
    <x v="0"/>
    <x v="0"/>
    <d v="2023-07-20T00:00:00"/>
    <d v="2023-07-21T13:00:00"/>
    <d v="1900-02-05T00:00:00"/>
    <x v="0"/>
    <x v="0"/>
    <x v="2"/>
    <n v="6"/>
    <n v="10"/>
    <n v="0.6"/>
    <s v="Plan B"/>
  </r>
  <r>
    <s v="PAT5427"/>
    <n v="1"/>
    <x v="1"/>
    <x v="5"/>
    <x v="283"/>
    <d v="2023-09-06T00:00:00"/>
    <n v="9"/>
    <x v="3"/>
    <n v="5"/>
    <s v="Dr. Patel"/>
    <n v="18275"/>
    <x v="4"/>
    <x v="1"/>
    <x v="0"/>
    <d v="2023-05-26T00:00:00"/>
    <d v="2023-05-28T00:00:00"/>
    <d v="1900-02-16T00:00:00"/>
    <x v="2"/>
    <x v="0"/>
    <x v="1"/>
    <n v="10"/>
    <n v="12"/>
    <n v="0.83333333333333337"/>
    <s v="Plan C"/>
  </r>
  <r>
    <s v="PAT5428"/>
    <n v="16"/>
    <x v="1"/>
    <x v="3"/>
    <x v="1"/>
    <d v="2023-01-28T00:00:00"/>
    <n v="2"/>
    <x v="2"/>
    <n v="2"/>
    <s v="Dr. Sharma"/>
    <n v="33182"/>
    <x v="2"/>
    <x v="0"/>
    <x v="0"/>
    <d v="2023-01-24T00:00:00"/>
    <d v="2023-01-25T08:00:00"/>
    <d v="1900-01-31T00:00:00"/>
    <x v="2"/>
    <x v="0"/>
    <x v="2"/>
    <n v="4"/>
    <n v="10"/>
    <n v="0.4"/>
    <s v="Plan B"/>
  </r>
  <r>
    <s v="PAT5429"/>
    <n v="61"/>
    <x v="0"/>
    <x v="0"/>
    <x v="284"/>
    <d v="2023-02-24T00:00:00"/>
    <n v="7"/>
    <x v="2"/>
    <n v="5"/>
    <s v="Dr. Mehta"/>
    <n v="19915"/>
    <x v="0"/>
    <x v="1"/>
    <x v="0"/>
    <d v="2023-12-02T00:00:00"/>
    <d v="2023-02-13T12:00:00"/>
    <d v="1919-02-25T00:00:00"/>
    <x v="3"/>
    <x v="0"/>
    <x v="1"/>
    <n v="7"/>
    <n v="12"/>
    <n v="0.58333333333333337"/>
    <s v="Plan A"/>
  </r>
  <r>
    <s v="PAT5430"/>
    <n v="64"/>
    <x v="0"/>
    <x v="3"/>
    <x v="3"/>
    <d v="2023-09-22T00:00:00"/>
    <n v="14"/>
    <x v="5"/>
    <n v="2"/>
    <s v="Dr. Patel"/>
    <n v="5909"/>
    <x v="3"/>
    <x v="1"/>
    <x v="0"/>
    <d v="2023-05-09T00:00:00"/>
    <d v="2023-06-09T09:00:00"/>
    <d v="1902-01-22T00:00:00"/>
    <x v="2"/>
    <x v="0"/>
    <x v="0"/>
    <n v="8"/>
    <n v="12"/>
    <n v="0.66666666666666663"/>
    <s v="Plan C"/>
  </r>
  <r>
    <s v="PAT5431"/>
    <n v="63"/>
    <x v="0"/>
    <x v="3"/>
    <x v="118"/>
    <d v="2024-06-05T00:00:00"/>
    <n v="5"/>
    <x v="4"/>
    <n v="2"/>
    <s v="Dr. Gupta"/>
    <n v="5372"/>
    <x v="1"/>
    <x v="1"/>
    <x v="0"/>
    <d v="2024-04-30T00:00:00"/>
    <d v="2024-04-30T08:00:00"/>
    <d v="1900-01-07T00:00:00"/>
    <x v="4"/>
    <x v="0"/>
    <x v="1"/>
    <n v="10"/>
    <n v="8"/>
    <n v="1.25"/>
    <s v="Plan A"/>
  </r>
  <r>
    <s v="PAT5432"/>
    <n v="69"/>
    <x v="2"/>
    <x v="3"/>
    <x v="198"/>
    <d v="2023-03-28T00:00:00"/>
    <n v="12"/>
    <x v="3"/>
    <n v="2"/>
    <s v="Dr. Patel"/>
    <n v="27620"/>
    <x v="4"/>
    <x v="1"/>
    <x v="1"/>
    <d v="2023-03-15T00:00:00"/>
    <d v="2023-03-16T13:00:00"/>
    <d v="1900-02-05T00:00:00"/>
    <x v="3"/>
    <x v="1"/>
    <x v="1"/>
    <n v="9"/>
    <n v="8"/>
    <n v="1.125"/>
    <s v="Plan C"/>
  </r>
  <r>
    <s v="PAT5433"/>
    <n v="22"/>
    <x v="3"/>
    <x v="5"/>
    <x v="285"/>
    <d v="2024-04-17T00:00:00"/>
    <n v="6"/>
    <x v="4"/>
    <n v="2"/>
    <s v="Dr. Gupta"/>
    <n v="39112"/>
    <x v="1"/>
    <x v="1"/>
    <x v="0"/>
    <d v="2024-07-04T00:00:00"/>
    <d v="2024-07-04T08:00:00"/>
    <d v="1900-01-07T00:00:00"/>
    <x v="1"/>
    <x v="0"/>
    <x v="1"/>
    <n v="5"/>
    <n v="8"/>
    <n v="0.625"/>
    <s v="Plan B"/>
  </r>
  <r>
    <s v="PAT5434"/>
    <n v="67"/>
    <x v="2"/>
    <x v="2"/>
    <x v="286"/>
    <d v="2024-04-03T00:00:00"/>
    <n v="4"/>
    <x v="5"/>
    <n v="2"/>
    <s v="Dr. Sharma"/>
    <n v="13515"/>
    <x v="3"/>
    <x v="0"/>
    <x v="0"/>
    <d v="2024-02-27T00:00:00"/>
    <d v="2024-02-27T18:00:00"/>
    <d v="1900-01-17T00:00:00"/>
    <x v="4"/>
    <x v="0"/>
    <x v="0"/>
    <n v="11"/>
    <n v="8"/>
    <n v="1.375"/>
    <s v="Plan B"/>
  </r>
  <r>
    <s v="PAT5435"/>
    <n v="76"/>
    <x v="2"/>
    <x v="3"/>
    <x v="287"/>
    <d v="2023-07-25T00:00:00"/>
    <n v="6"/>
    <x v="3"/>
    <n v="4"/>
    <s v="Dr. Sharma"/>
    <n v="7431"/>
    <x v="0"/>
    <x v="1"/>
    <x v="0"/>
    <d v="2023-07-15T00:00:00"/>
    <d v="2023-07-16T11:00:00"/>
    <d v="1900-02-03T00:00:00"/>
    <x v="3"/>
    <x v="0"/>
    <x v="1"/>
    <n v="11"/>
    <n v="8"/>
    <n v="1.375"/>
    <s v="Plan B"/>
  </r>
  <r>
    <s v="PAT5436"/>
    <n v="26"/>
    <x v="3"/>
    <x v="4"/>
    <x v="288"/>
    <d v="2024-11-02T00:00:00"/>
    <n v="13"/>
    <x v="3"/>
    <n v="5"/>
    <s v="Dr. Patel"/>
    <n v="26054"/>
    <x v="3"/>
    <x v="1"/>
    <x v="0"/>
    <d v="2024-01-24T00:00:00"/>
    <d v="2024-01-25T00:00:00"/>
    <d v="1900-01-23T00:00:00"/>
    <x v="3"/>
    <x v="0"/>
    <x v="1"/>
    <n v="11"/>
    <n v="12"/>
    <n v="0.91666666666666663"/>
    <s v="Plan A"/>
  </r>
  <r>
    <s v="PAT5437"/>
    <n v="16"/>
    <x v="1"/>
    <x v="1"/>
    <x v="289"/>
    <d v="2024-05-24T00:00:00"/>
    <n v="3"/>
    <x v="0"/>
    <n v="4"/>
    <s v="Dr. Rao"/>
    <n v="37624"/>
    <x v="3"/>
    <x v="1"/>
    <x v="0"/>
    <d v="2024-05-19T00:00:00"/>
    <d v="2024-05-20T11:00:00"/>
    <d v="1900-02-03T00:00:00"/>
    <x v="0"/>
    <x v="0"/>
    <x v="0"/>
    <n v="6"/>
    <n v="8"/>
    <n v="0.75"/>
    <s v="Plan C"/>
  </r>
  <r>
    <s v="PAT5438"/>
    <n v="51"/>
    <x v="0"/>
    <x v="5"/>
    <x v="253"/>
    <d v="2024-02-16T00:00:00"/>
    <n v="2"/>
    <x v="4"/>
    <n v="4"/>
    <s v="Dr. Gupta"/>
    <n v="15585"/>
    <x v="1"/>
    <x v="1"/>
    <x v="0"/>
    <d v="2024-02-13T00:00:00"/>
    <d v="2024-02-13T03:00:00"/>
    <d v="1900-01-02T00:00:00"/>
    <x v="3"/>
    <x v="0"/>
    <x v="2"/>
    <n v="10"/>
    <n v="8"/>
    <n v="1.25"/>
    <s v="Plan A"/>
  </r>
  <r>
    <s v="PAT5439"/>
    <n v="86"/>
    <x v="2"/>
    <x v="0"/>
    <x v="290"/>
    <d v="2023-09-16T00:00:00"/>
    <n v="9"/>
    <x v="1"/>
    <n v="1"/>
    <s v="Dr. Mehta"/>
    <n v="36958"/>
    <x v="4"/>
    <x v="1"/>
    <x v="1"/>
    <d v="2023-07-09T00:00:00"/>
    <d v="2023-08-09T23:00:00"/>
    <d v="1902-02-05T00:00:00"/>
    <x v="4"/>
    <x v="0"/>
    <x v="2"/>
    <n v="11"/>
    <n v="10"/>
    <n v="1.1000000000000001"/>
    <s v="Plan B"/>
  </r>
  <r>
    <s v="PAT5440"/>
    <n v="57"/>
    <x v="0"/>
    <x v="5"/>
    <x v="228"/>
    <d v="2023-12-06T00:00:00"/>
    <n v="11"/>
    <x v="2"/>
    <n v="1"/>
    <s v="Dr. Patel"/>
    <n v="6695"/>
    <x v="3"/>
    <x v="1"/>
    <x v="0"/>
    <d v="2023-05-28T00:00:00"/>
    <d v="2023-05-29T05:00:00"/>
    <d v="1900-01-28T00:00:00"/>
    <x v="2"/>
    <x v="0"/>
    <x v="2"/>
    <n v="9"/>
    <n v="10"/>
    <n v="0.9"/>
    <s v="Plan A"/>
  </r>
  <r>
    <s v="PAT5441"/>
    <n v="29"/>
    <x v="3"/>
    <x v="0"/>
    <x v="291"/>
    <d v="2023-08-01T00:00:00"/>
    <n v="2"/>
    <x v="1"/>
    <n v="1"/>
    <s v="Dr. Mehta"/>
    <n v="39675"/>
    <x v="1"/>
    <x v="1"/>
    <x v="0"/>
    <d v="2023-01-01T00:00:00"/>
    <d v="2023-02-01T11:00:00"/>
    <d v="1902-01-24T00:00:00"/>
    <x v="4"/>
    <x v="0"/>
    <x v="0"/>
    <n v="5"/>
    <n v="12"/>
    <n v="0.41666666666666669"/>
    <s v="Plan B"/>
  </r>
  <r>
    <s v="PAT5442"/>
    <n v="78"/>
    <x v="2"/>
    <x v="5"/>
    <x v="212"/>
    <d v="2023-04-29T00:00:00"/>
    <n v="9"/>
    <x v="4"/>
    <n v="3"/>
    <s v="Dr. Patel"/>
    <n v="38787"/>
    <x v="4"/>
    <x v="1"/>
    <x v="0"/>
    <d v="2023-04-16T00:00:00"/>
    <d v="2023-04-16T14:00:00"/>
    <d v="1900-01-13T00:00:00"/>
    <x v="1"/>
    <x v="0"/>
    <x v="0"/>
    <n v="9"/>
    <n v="12"/>
    <n v="0.75"/>
    <s v="Plan B"/>
  </r>
  <r>
    <s v="PAT5443"/>
    <n v="69"/>
    <x v="2"/>
    <x v="0"/>
    <x v="292"/>
    <d v="2024-03-20T00:00:00"/>
    <n v="9"/>
    <x v="2"/>
    <n v="1"/>
    <s v="Dr. Rao"/>
    <n v="49225"/>
    <x v="0"/>
    <x v="0"/>
    <x v="1"/>
    <d v="2024-10-03T00:00:00"/>
    <d v="2024-11-03T04:00:00"/>
    <d v="1902-01-17T00:00:00"/>
    <x v="3"/>
    <x v="0"/>
    <x v="2"/>
    <n v="10"/>
    <n v="10"/>
    <n v="1"/>
    <s v="Plan B"/>
  </r>
  <r>
    <s v="PAT5444"/>
    <n v="47"/>
    <x v="4"/>
    <x v="3"/>
    <x v="60"/>
    <d v="2023-08-17T00:00:00"/>
    <n v="4"/>
    <x v="1"/>
    <n v="5"/>
    <s v="Dr. Rao"/>
    <n v="6403"/>
    <x v="0"/>
    <x v="1"/>
    <x v="0"/>
    <d v="2023-12-08T00:00:00"/>
    <d v="2023-12-08T07:00:00"/>
    <d v="1900-01-06T00:00:00"/>
    <x v="3"/>
    <x v="0"/>
    <x v="1"/>
    <n v="4"/>
    <n v="10"/>
    <n v="0.4"/>
    <s v="Plan C"/>
  </r>
  <r>
    <s v="PAT5445"/>
    <n v="62"/>
    <x v="0"/>
    <x v="2"/>
    <x v="293"/>
    <d v="2023-07-15T00:00:00"/>
    <n v="15"/>
    <x v="0"/>
    <n v="4"/>
    <s v="Dr. Rao"/>
    <n v="22810"/>
    <x v="2"/>
    <x v="0"/>
    <x v="0"/>
    <d v="2023-06-30T00:00:00"/>
    <d v="2023-02-07T00:00:00"/>
    <d v="1909-05-24T00:00:00"/>
    <x v="3"/>
    <x v="0"/>
    <x v="2"/>
    <n v="5"/>
    <n v="8"/>
    <n v="0.625"/>
    <s v="Plan C"/>
  </r>
  <r>
    <s v="PAT5446"/>
    <n v="69"/>
    <x v="2"/>
    <x v="0"/>
    <x v="294"/>
    <d v="2024-06-27T00:00:00"/>
    <n v="13"/>
    <x v="2"/>
    <n v="5"/>
    <s v="Dr. Rao"/>
    <n v="13855"/>
    <x v="1"/>
    <x v="1"/>
    <x v="1"/>
    <d v="2024-09-06T00:00:00"/>
    <d v="2024-10-06T18:00:00"/>
    <d v="1902-01-07T00:00:00"/>
    <x v="3"/>
    <x v="0"/>
    <x v="0"/>
    <n v="5"/>
    <n v="8"/>
    <n v="0.625"/>
    <s v="Plan B"/>
  </r>
  <r>
    <s v="PAT5447"/>
    <n v="76"/>
    <x v="2"/>
    <x v="0"/>
    <x v="295"/>
    <d v="2024-04-26T00:00:00"/>
    <n v="6"/>
    <x v="3"/>
    <n v="1"/>
    <s v="Dr. Sharma"/>
    <n v="43636"/>
    <x v="4"/>
    <x v="1"/>
    <x v="0"/>
    <d v="2024-04-16T00:00:00"/>
    <d v="2024-04-16T16:00:00"/>
    <d v="1900-01-15T00:00:00"/>
    <x v="0"/>
    <x v="0"/>
    <x v="1"/>
    <n v="9"/>
    <n v="12"/>
    <n v="0.75"/>
    <s v="Plan A"/>
  </r>
  <r>
    <s v="PAT5448"/>
    <n v="16"/>
    <x v="1"/>
    <x v="4"/>
    <x v="164"/>
    <d v="2023-02-27T00:00:00"/>
    <n v="6"/>
    <x v="1"/>
    <n v="3"/>
    <s v="Dr. Sharma"/>
    <n v="15839"/>
    <x v="3"/>
    <x v="1"/>
    <x v="1"/>
    <d v="2023-02-20T00:00:00"/>
    <d v="2023-02-20T20:00:00"/>
    <d v="1900-01-19T00:00:00"/>
    <x v="0"/>
    <x v="0"/>
    <x v="1"/>
    <n v="7"/>
    <n v="10"/>
    <n v="0.7"/>
    <s v="Plan A"/>
  </r>
  <r>
    <s v="PAT5449"/>
    <n v="48"/>
    <x v="4"/>
    <x v="0"/>
    <x v="161"/>
    <d v="2023-09-25T00:00:00"/>
    <n v="12"/>
    <x v="2"/>
    <n v="3"/>
    <s v="Dr. Gupta"/>
    <n v="5010"/>
    <x v="0"/>
    <x v="1"/>
    <x v="0"/>
    <d v="2023-08-09T00:00:00"/>
    <d v="2023-08-09T03:00:00"/>
    <d v="1900-01-02T00:00:00"/>
    <x v="2"/>
    <x v="0"/>
    <x v="0"/>
    <n v="10"/>
    <n v="12"/>
    <n v="0.83333333333333337"/>
    <s v="Plan C"/>
  </r>
  <r>
    <s v="PAT5450"/>
    <n v="85"/>
    <x v="2"/>
    <x v="4"/>
    <x v="296"/>
    <d v="2023-05-19T00:00:00"/>
    <n v="14"/>
    <x v="0"/>
    <n v="4"/>
    <s v="Dr. Mehta"/>
    <n v="44098"/>
    <x v="4"/>
    <x v="0"/>
    <x v="0"/>
    <d v="2023-04-05T00:00:00"/>
    <d v="2023-05-05T05:00:00"/>
    <d v="1901-12-25T00:00:00"/>
    <x v="3"/>
    <x v="0"/>
    <x v="1"/>
    <n v="11"/>
    <n v="8"/>
    <n v="1.375"/>
    <s v="Plan B"/>
  </r>
  <r>
    <s v="PAT5451"/>
    <n v="39"/>
    <x v="4"/>
    <x v="1"/>
    <x v="297"/>
    <d v="2024-04-23T00:00:00"/>
    <n v="11"/>
    <x v="2"/>
    <n v="5"/>
    <s v="Dr. Patel"/>
    <n v="14230"/>
    <x v="1"/>
    <x v="0"/>
    <x v="0"/>
    <d v="2024-12-04T00:00:00"/>
    <d v="2024-12-04T17:00:00"/>
    <d v="1900-01-16T00:00:00"/>
    <x v="1"/>
    <x v="0"/>
    <x v="2"/>
    <n v="7"/>
    <n v="12"/>
    <n v="0.58333333333333337"/>
    <s v="Plan A"/>
  </r>
  <r>
    <s v="PAT5452"/>
    <n v="33"/>
    <x v="3"/>
    <x v="3"/>
    <x v="298"/>
    <d v="2023-05-31T00:00:00"/>
    <n v="14"/>
    <x v="2"/>
    <n v="2"/>
    <s v="Dr. Patel"/>
    <n v="45232"/>
    <x v="2"/>
    <x v="1"/>
    <x v="1"/>
    <d v="2023-05-17T00:00:00"/>
    <d v="2023-05-17T23:00:00"/>
    <d v="1900-01-22T00:00:00"/>
    <x v="2"/>
    <x v="0"/>
    <x v="0"/>
    <n v="8"/>
    <n v="12"/>
    <n v="0.66666666666666663"/>
    <s v="Plan B"/>
  </r>
  <r>
    <s v="PAT5453"/>
    <n v="23"/>
    <x v="3"/>
    <x v="4"/>
    <x v="295"/>
    <d v="2024-04-23T00:00:00"/>
    <n v="3"/>
    <x v="0"/>
    <n v="5"/>
    <s v="Dr. Sharma"/>
    <n v="40771"/>
    <x v="0"/>
    <x v="1"/>
    <x v="0"/>
    <d v="2024-04-17T00:00:00"/>
    <d v="2024-04-17T06:00:00"/>
    <d v="1900-01-05T00:00:00"/>
    <x v="3"/>
    <x v="0"/>
    <x v="0"/>
    <n v="11"/>
    <n v="12"/>
    <n v="0.91666666666666663"/>
    <s v="Plan A"/>
  </r>
  <r>
    <s v="PAT5454"/>
    <n v="10"/>
    <x v="1"/>
    <x v="2"/>
    <x v="299"/>
    <d v="2023-11-25T00:00:00"/>
    <n v="4"/>
    <x v="1"/>
    <n v="1"/>
    <s v="Dr. Patel"/>
    <n v="34256"/>
    <x v="4"/>
    <x v="1"/>
    <x v="1"/>
    <d v="2023-11-19T00:00:00"/>
    <d v="2023-11-20T05:00:00"/>
    <d v="1900-01-28T00:00:00"/>
    <x v="0"/>
    <x v="0"/>
    <x v="0"/>
    <n v="4"/>
    <n v="8"/>
    <n v="0.5"/>
    <s v="Plan C"/>
  </r>
  <r>
    <s v="PAT5455"/>
    <n v="69"/>
    <x v="2"/>
    <x v="3"/>
    <x v="163"/>
    <d v="2024-03-31T00:00:00"/>
    <n v="2"/>
    <x v="5"/>
    <n v="2"/>
    <s v="Dr. Sharma"/>
    <n v="30651"/>
    <x v="4"/>
    <x v="1"/>
    <x v="1"/>
    <d v="2024-03-24T00:00:00"/>
    <d v="2024-03-24T08:00:00"/>
    <d v="1900-01-07T00:00:00"/>
    <x v="1"/>
    <x v="0"/>
    <x v="0"/>
    <n v="7"/>
    <n v="12"/>
    <n v="0.58333333333333337"/>
    <s v="Plan B"/>
  </r>
  <r>
    <s v="PAT5456"/>
    <n v="34"/>
    <x v="3"/>
    <x v="4"/>
    <x v="300"/>
    <d v="2024-03-06T00:00:00"/>
    <n v="3"/>
    <x v="1"/>
    <n v="3"/>
    <s v="Dr. Gupta"/>
    <n v="37383"/>
    <x v="4"/>
    <x v="1"/>
    <x v="1"/>
    <d v="2024-05-28T00:00:00"/>
    <d v="2024-05-28T16:00:00"/>
    <d v="1900-01-15T00:00:00"/>
    <x v="2"/>
    <x v="1"/>
    <x v="1"/>
    <n v="9"/>
    <n v="8"/>
    <n v="1.125"/>
    <s v="Plan B"/>
  </r>
  <r>
    <s v="PAT5457"/>
    <n v="52"/>
    <x v="0"/>
    <x v="3"/>
    <x v="301"/>
    <d v="2024-03-17T00:00:00"/>
    <n v="5"/>
    <x v="4"/>
    <n v="4"/>
    <s v="Dr. Mehta"/>
    <n v="44963"/>
    <x v="1"/>
    <x v="0"/>
    <x v="1"/>
    <d v="2024-12-03T00:00:00"/>
    <d v="2024-12-03T14:00:00"/>
    <d v="1900-01-13T00:00:00"/>
    <x v="1"/>
    <x v="0"/>
    <x v="0"/>
    <n v="10"/>
    <n v="10"/>
    <n v="1"/>
    <s v="Plan A"/>
  </r>
  <r>
    <s v="PAT5458"/>
    <n v="10"/>
    <x v="1"/>
    <x v="3"/>
    <x v="302"/>
    <d v="2024-05-04T00:00:00"/>
    <n v="4"/>
    <x v="0"/>
    <n v="4"/>
    <s v="Dr. Gupta"/>
    <n v="18662"/>
    <x v="1"/>
    <x v="0"/>
    <x v="0"/>
    <d v="2024-03-27T00:00:00"/>
    <d v="2024-03-29T00:00:00"/>
    <d v="1900-02-16T00:00:00"/>
    <x v="3"/>
    <x v="0"/>
    <x v="0"/>
    <n v="7"/>
    <n v="12"/>
    <n v="0.58333333333333337"/>
    <s v="Plan A"/>
  </r>
  <r>
    <s v="PAT5459"/>
    <n v="19"/>
    <x v="3"/>
    <x v="3"/>
    <x v="303"/>
    <d v="2023-06-15T00:00:00"/>
    <n v="3"/>
    <x v="1"/>
    <n v="3"/>
    <s v="Dr. Rao"/>
    <n v="18739"/>
    <x v="1"/>
    <x v="0"/>
    <x v="1"/>
    <d v="2023-11-06T00:00:00"/>
    <d v="2023-12-06T14:00:00"/>
    <d v="1902-01-03T00:00:00"/>
    <x v="4"/>
    <x v="0"/>
    <x v="1"/>
    <n v="8"/>
    <n v="12"/>
    <n v="0.66666666666666663"/>
    <s v="Plan A"/>
  </r>
  <r>
    <s v="PAT5460"/>
    <n v="58"/>
    <x v="0"/>
    <x v="1"/>
    <x v="118"/>
    <d v="2024-11-05T00:00:00"/>
    <n v="10"/>
    <x v="2"/>
    <n v="1"/>
    <s v="Dr. Rao"/>
    <n v="6789"/>
    <x v="3"/>
    <x v="0"/>
    <x v="0"/>
    <d v="2024-01-05T00:00:00"/>
    <d v="2024-02-05T21:00:00"/>
    <d v="1902-02-03T00:00:00"/>
    <x v="1"/>
    <x v="0"/>
    <x v="0"/>
    <n v="6"/>
    <n v="8"/>
    <n v="0.75"/>
    <s v="Plan B"/>
  </r>
  <r>
    <s v="PAT5461"/>
    <n v="1"/>
    <x v="1"/>
    <x v="2"/>
    <x v="304"/>
    <d v="2024-08-04T00:00:00"/>
    <n v="3"/>
    <x v="0"/>
    <n v="3"/>
    <s v="Dr. Rao"/>
    <n v="24420"/>
    <x v="4"/>
    <x v="0"/>
    <x v="0"/>
    <d v="2024-01-04T00:00:00"/>
    <d v="2024-01-04T23:00:00"/>
    <d v="1900-01-22T00:00:00"/>
    <x v="1"/>
    <x v="0"/>
    <x v="1"/>
    <n v="8"/>
    <n v="12"/>
    <n v="0.66666666666666663"/>
    <s v="Plan C"/>
  </r>
  <r>
    <s v="PAT5462"/>
    <n v="69"/>
    <x v="2"/>
    <x v="5"/>
    <x v="305"/>
    <d v="2023-06-10T00:00:00"/>
    <n v="13"/>
    <x v="3"/>
    <n v="1"/>
    <s v="Dr. Gupta"/>
    <n v="28761"/>
    <x v="0"/>
    <x v="1"/>
    <x v="0"/>
    <d v="2023-09-22T00:00:00"/>
    <d v="2023-09-23T22:00:00"/>
    <d v="1900-02-14T00:00:00"/>
    <x v="0"/>
    <x v="0"/>
    <x v="1"/>
    <n v="5"/>
    <n v="8"/>
    <n v="0.625"/>
    <s v="Plan C"/>
  </r>
  <r>
    <s v="PAT5463"/>
    <n v="4"/>
    <x v="1"/>
    <x v="5"/>
    <x v="128"/>
    <d v="2023-09-24T00:00:00"/>
    <n v="13"/>
    <x v="1"/>
    <n v="2"/>
    <s v="Dr. Patel"/>
    <n v="45366"/>
    <x v="1"/>
    <x v="1"/>
    <x v="0"/>
    <d v="2023-08-09T00:00:00"/>
    <d v="2023-09-09T16:00:00"/>
    <d v="1902-01-29T00:00:00"/>
    <x v="3"/>
    <x v="0"/>
    <x v="0"/>
    <n v="11"/>
    <n v="12"/>
    <n v="0.91666666666666663"/>
    <s v="Plan A"/>
  </r>
  <r>
    <s v="PAT5464"/>
    <n v="16"/>
    <x v="1"/>
    <x v="4"/>
    <x v="219"/>
    <d v="2023-10-22T00:00:00"/>
    <n v="11"/>
    <x v="0"/>
    <n v="3"/>
    <s v="Dr. Mehta"/>
    <n v="42606"/>
    <x v="1"/>
    <x v="1"/>
    <x v="0"/>
    <d v="2023-06-10T00:00:00"/>
    <d v="2023-07-10T17:00:00"/>
    <d v="1902-01-06T00:00:00"/>
    <x v="1"/>
    <x v="1"/>
    <x v="2"/>
    <n v="10"/>
    <n v="10"/>
    <n v="1"/>
    <s v="Plan C"/>
  </r>
  <r>
    <s v="PAT5465"/>
    <n v="24"/>
    <x v="3"/>
    <x v="3"/>
    <x v="306"/>
    <d v="2024-06-19T00:00:00"/>
    <n v="2"/>
    <x v="1"/>
    <n v="1"/>
    <s v="Dr. Rao"/>
    <n v="43640"/>
    <x v="4"/>
    <x v="0"/>
    <x v="0"/>
    <d v="2024-06-14T00:00:00"/>
    <d v="2024-06-15T04:00:00"/>
    <d v="1900-01-27T00:00:00"/>
    <x v="3"/>
    <x v="0"/>
    <x v="0"/>
    <n v="5"/>
    <n v="10"/>
    <n v="0.5"/>
    <s v="Plan A"/>
  </r>
  <r>
    <s v="PAT5466"/>
    <n v="80"/>
    <x v="2"/>
    <x v="4"/>
    <x v="307"/>
    <d v="2024-05-14T00:00:00"/>
    <n v="3"/>
    <x v="0"/>
    <n v="2"/>
    <s v="Dr. Rao"/>
    <n v="49135"/>
    <x v="1"/>
    <x v="0"/>
    <x v="1"/>
    <d v="2024-08-05T00:00:00"/>
    <d v="2024-08-05T11:00:00"/>
    <d v="1900-01-10T00:00:00"/>
    <x v="0"/>
    <x v="0"/>
    <x v="2"/>
    <n v="7"/>
    <n v="10"/>
    <n v="0.7"/>
    <s v="Plan C"/>
  </r>
  <r>
    <s v="PAT5467"/>
    <n v="2"/>
    <x v="1"/>
    <x v="1"/>
    <x v="194"/>
    <d v="2023-09-15T00:00:00"/>
    <n v="13"/>
    <x v="2"/>
    <n v="3"/>
    <s v="Dr. Rao"/>
    <n v="42067"/>
    <x v="3"/>
    <x v="0"/>
    <x v="0"/>
    <d v="2023-08-28T00:00:00"/>
    <d v="2023-08-29T16:00:00"/>
    <d v="1900-02-08T00:00:00"/>
    <x v="3"/>
    <x v="1"/>
    <x v="1"/>
    <n v="7"/>
    <n v="12"/>
    <n v="0.58333333333333337"/>
    <s v="Plan B"/>
  </r>
  <r>
    <s v="PAT5468"/>
    <n v="32"/>
    <x v="3"/>
    <x v="1"/>
    <x v="2"/>
    <d v="2023-10-20T00:00:00"/>
    <n v="11"/>
    <x v="3"/>
    <n v="4"/>
    <s v="Dr. Mehta"/>
    <n v="22357"/>
    <x v="3"/>
    <x v="0"/>
    <x v="1"/>
    <d v="2023-08-10T00:00:00"/>
    <d v="2023-08-10T09:00:00"/>
    <d v="1900-01-08T00:00:00"/>
    <x v="0"/>
    <x v="0"/>
    <x v="2"/>
    <n v="8"/>
    <n v="12"/>
    <n v="0.66666666666666663"/>
    <s v="Plan A"/>
  </r>
  <r>
    <s v="PAT5469"/>
    <n v="84"/>
    <x v="2"/>
    <x v="0"/>
    <x v="308"/>
    <d v="2024-03-04T00:00:00"/>
    <n v="8"/>
    <x v="3"/>
    <n v="3"/>
    <s v="Dr. Rao"/>
    <n v="44851"/>
    <x v="1"/>
    <x v="0"/>
    <x v="1"/>
    <d v="2024-03-24T00:00:00"/>
    <d v="2024-03-24T14:00:00"/>
    <d v="1900-01-13T00:00:00"/>
    <x v="0"/>
    <x v="1"/>
    <x v="0"/>
    <n v="8"/>
    <n v="10"/>
    <n v="0.8"/>
    <s v="Plan C"/>
  </r>
  <r>
    <s v="PAT5470"/>
    <n v="24"/>
    <x v="3"/>
    <x v="1"/>
    <x v="309"/>
    <d v="2023-03-29T00:00:00"/>
    <n v="8"/>
    <x v="4"/>
    <n v="5"/>
    <s v="Dr. Mehta"/>
    <n v="43262"/>
    <x v="4"/>
    <x v="0"/>
    <x v="1"/>
    <d v="2023-03-19T00:00:00"/>
    <d v="2023-03-19T14:00:00"/>
    <d v="1900-01-13T00:00:00"/>
    <x v="2"/>
    <x v="1"/>
    <x v="0"/>
    <n v="9"/>
    <n v="10"/>
    <n v="0.9"/>
    <s v="Plan B"/>
  </r>
  <r>
    <s v="PAT5471"/>
    <n v="12"/>
    <x v="1"/>
    <x v="0"/>
    <x v="174"/>
    <d v="2023-02-11T00:00:00"/>
    <n v="13"/>
    <x v="0"/>
    <n v="3"/>
    <s v="Dr. Rao"/>
    <n v="16317"/>
    <x v="4"/>
    <x v="1"/>
    <x v="0"/>
    <d v="2023-10-18T00:00:00"/>
    <d v="2023-10-18T04:00:00"/>
    <d v="1900-01-03T00:00:00"/>
    <x v="3"/>
    <x v="0"/>
    <x v="2"/>
    <n v="4"/>
    <n v="8"/>
    <n v="0.5"/>
    <s v="Plan C"/>
  </r>
  <r>
    <s v="PAT5472"/>
    <n v="50"/>
    <x v="4"/>
    <x v="2"/>
    <x v="186"/>
    <d v="2023-08-09T00:00:00"/>
    <n v="10"/>
    <x v="1"/>
    <n v="5"/>
    <s v="Dr. Gupta"/>
    <n v="26534"/>
    <x v="4"/>
    <x v="0"/>
    <x v="1"/>
    <d v="2023-08-24T00:00:00"/>
    <d v="2023-08-25T13:00:00"/>
    <d v="1900-02-05T00:00:00"/>
    <x v="4"/>
    <x v="0"/>
    <x v="0"/>
    <n v="9"/>
    <n v="8"/>
    <n v="1.125"/>
    <s v="Plan B"/>
  </r>
  <r>
    <s v="PAT5473"/>
    <n v="35"/>
    <x v="3"/>
    <x v="4"/>
    <x v="213"/>
    <d v="2023-10-19T00:00:00"/>
    <n v="13"/>
    <x v="3"/>
    <n v="2"/>
    <s v="Dr. Gupta"/>
    <n v="30734"/>
    <x v="2"/>
    <x v="1"/>
    <x v="0"/>
    <d v="2023-06-10T00:00:00"/>
    <d v="2023-06-10T23:00:00"/>
    <d v="1900-01-22T00:00:00"/>
    <x v="2"/>
    <x v="0"/>
    <x v="2"/>
    <n v="5"/>
    <n v="10"/>
    <n v="0.5"/>
    <s v="Plan B"/>
  </r>
  <r>
    <s v="PAT5474"/>
    <n v="33"/>
    <x v="3"/>
    <x v="2"/>
    <x v="281"/>
    <d v="2023-12-20T00:00:00"/>
    <n v="10"/>
    <x v="3"/>
    <n v="3"/>
    <s v="Dr. Mehta"/>
    <n v="40897"/>
    <x v="1"/>
    <x v="1"/>
    <x v="1"/>
    <d v="2023-10-12T00:00:00"/>
    <d v="2023-11-12T11:00:00"/>
    <d v="1902-01-24T00:00:00"/>
    <x v="0"/>
    <x v="0"/>
    <x v="1"/>
    <n v="9"/>
    <n v="10"/>
    <n v="0.9"/>
    <s v="Plan C"/>
  </r>
  <r>
    <s v="PAT5475"/>
    <n v="33"/>
    <x v="3"/>
    <x v="1"/>
    <x v="310"/>
    <d v="2023-02-12T00:00:00"/>
    <n v="8"/>
    <x v="5"/>
    <n v="2"/>
    <s v="Dr. Gupta"/>
    <n v="37872"/>
    <x v="4"/>
    <x v="0"/>
    <x v="0"/>
    <d v="2023-11-19T00:00:00"/>
    <d v="2023-11-19T18:00:00"/>
    <d v="1900-01-17T00:00:00"/>
    <x v="4"/>
    <x v="1"/>
    <x v="2"/>
    <n v="8"/>
    <n v="12"/>
    <n v="0.66666666666666663"/>
    <s v="Plan C"/>
  </r>
  <r>
    <s v="PAT5476"/>
    <n v="61"/>
    <x v="0"/>
    <x v="2"/>
    <x v="184"/>
    <d v="2023-04-04T00:00:00"/>
    <n v="11"/>
    <x v="5"/>
    <n v="2"/>
    <s v="Dr. Mehta"/>
    <n v="45201"/>
    <x v="3"/>
    <x v="0"/>
    <x v="1"/>
    <d v="2023-03-20T00:00:00"/>
    <d v="2023-03-21T15:00:00"/>
    <d v="1900-02-07T00:00:00"/>
    <x v="1"/>
    <x v="0"/>
    <x v="2"/>
    <n v="10"/>
    <n v="10"/>
    <n v="1"/>
    <s v="Plan B"/>
  </r>
  <r>
    <s v="PAT5477"/>
    <n v="51"/>
    <x v="0"/>
    <x v="2"/>
    <x v="80"/>
    <d v="2023-06-06T00:00:00"/>
    <n v="15"/>
    <x v="3"/>
    <n v="1"/>
    <s v="Dr. Gupta"/>
    <n v="12689"/>
    <x v="0"/>
    <x v="1"/>
    <x v="1"/>
    <d v="2023-05-21T00:00:00"/>
    <d v="2023-05-22T11:00:00"/>
    <d v="1900-02-03T00:00:00"/>
    <x v="1"/>
    <x v="0"/>
    <x v="2"/>
    <n v="9"/>
    <n v="8"/>
    <n v="1.125"/>
    <s v="Plan B"/>
  </r>
  <r>
    <s v="PAT5478"/>
    <n v="43"/>
    <x v="4"/>
    <x v="2"/>
    <x v="311"/>
    <d v="2023-06-19T00:00:00"/>
    <n v="15"/>
    <x v="0"/>
    <n v="2"/>
    <s v="Dr. Gupta"/>
    <n v="8567"/>
    <x v="0"/>
    <x v="1"/>
    <x v="0"/>
    <d v="2023-05-31T00:00:00"/>
    <d v="2023-05-31T11:00:00"/>
    <d v="1900-01-10T00:00:00"/>
    <x v="2"/>
    <x v="0"/>
    <x v="2"/>
    <n v="6"/>
    <n v="8"/>
    <n v="0.75"/>
    <s v="Plan B"/>
  </r>
  <r>
    <s v="PAT5479"/>
    <n v="12"/>
    <x v="1"/>
    <x v="1"/>
    <x v="312"/>
    <d v="2023-04-09T00:00:00"/>
    <n v="10"/>
    <x v="4"/>
    <n v="2"/>
    <s v="Dr. Mehta"/>
    <n v="25732"/>
    <x v="4"/>
    <x v="0"/>
    <x v="1"/>
    <d v="2023-08-20T00:00:00"/>
    <d v="2023-08-20T21:00:00"/>
    <d v="1900-01-20T00:00:00"/>
    <x v="4"/>
    <x v="0"/>
    <x v="1"/>
    <n v="11"/>
    <n v="8"/>
    <n v="1.375"/>
    <s v="Plan A"/>
  </r>
  <r>
    <s v="PAT5480"/>
    <n v="67"/>
    <x v="2"/>
    <x v="3"/>
    <x v="313"/>
    <d v="2024-08-02T00:00:00"/>
    <n v="11"/>
    <x v="3"/>
    <n v="3"/>
    <s v="Dr. Patel"/>
    <n v="25774"/>
    <x v="0"/>
    <x v="1"/>
    <x v="0"/>
    <d v="2024-01-23T00:00:00"/>
    <d v="2024-01-24T22:00:00"/>
    <d v="1900-02-14T00:00:00"/>
    <x v="3"/>
    <x v="0"/>
    <x v="1"/>
    <n v="4"/>
    <n v="8"/>
    <n v="0.5"/>
    <s v="Plan B"/>
  </r>
  <r>
    <s v="PAT5481"/>
    <n v="65"/>
    <x v="0"/>
    <x v="2"/>
    <x v="86"/>
    <d v="2023-06-17T00:00:00"/>
    <n v="11"/>
    <x v="2"/>
    <n v="3"/>
    <s v="Dr. Gupta"/>
    <n v="28195"/>
    <x v="0"/>
    <x v="0"/>
    <x v="0"/>
    <d v="2023-06-06T00:00:00"/>
    <d v="2023-06-06T19:00:00"/>
    <d v="1900-01-18T00:00:00"/>
    <x v="4"/>
    <x v="0"/>
    <x v="1"/>
    <n v="8"/>
    <n v="8"/>
    <n v="1"/>
    <s v="Plan A"/>
  </r>
  <r>
    <s v="PAT5482"/>
    <n v="33"/>
    <x v="3"/>
    <x v="0"/>
    <x v="141"/>
    <d v="2023-08-18T00:00:00"/>
    <n v="10"/>
    <x v="1"/>
    <n v="4"/>
    <s v="Dr. Rao"/>
    <n v="42412"/>
    <x v="2"/>
    <x v="1"/>
    <x v="1"/>
    <d v="2023-07-08T00:00:00"/>
    <d v="2023-07-08T19:00:00"/>
    <d v="1900-01-18T00:00:00"/>
    <x v="2"/>
    <x v="0"/>
    <x v="2"/>
    <n v="10"/>
    <n v="8"/>
    <n v="1.25"/>
    <s v="Plan B"/>
  </r>
  <r>
    <s v="PAT5483"/>
    <n v="40"/>
    <x v="4"/>
    <x v="1"/>
    <x v="87"/>
    <d v="2023-03-13T00:00:00"/>
    <n v="6"/>
    <x v="4"/>
    <n v="1"/>
    <s v="Dr. Patel"/>
    <n v="49098"/>
    <x v="3"/>
    <x v="1"/>
    <x v="0"/>
    <d v="2023-04-03T00:00:00"/>
    <d v="2023-05-03T13:00:00"/>
    <d v="1902-01-02T00:00:00"/>
    <x v="3"/>
    <x v="0"/>
    <x v="1"/>
    <n v="7"/>
    <n v="10"/>
    <n v="0.7"/>
    <s v="Plan A"/>
  </r>
  <r>
    <s v="PAT5484"/>
    <n v="74"/>
    <x v="2"/>
    <x v="2"/>
    <x v="286"/>
    <d v="2024-03-14T00:00:00"/>
    <n v="14"/>
    <x v="2"/>
    <n v="2"/>
    <s v="Dr. Mehta"/>
    <n v="27257"/>
    <x v="3"/>
    <x v="1"/>
    <x v="1"/>
    <d v="2024-02-28T00:00:00"/>
    <d v="2024-02-28T18:00:00"/>
    <d v="1900-01-17T00:00:00"/>
    <x v="3"/>
    <x v="1"/>
    <x v="0"/>
    <n v="11"/>
    <n v="8"/>
    <n v="1.375"/>
    <s v="Plan B"/>
  </r>
  <r>
    <s v="PAT5485"/>
    <n v="43"/>
    <x v="4"/>
    <x v="3"/>
    <x v="314"/>
    <d v="2024-04-03T00:00:00"/>
    <n v="11"/>
    <x v="4"/>
    <n v="1"/>
    <s v="Dr. Patel"/>
    <n v="9394"/>
    <x v="2"/>
    <x v="1"/>
    <x v="0"/>
    <d v="2024-02-22T00:00:00"/>
    <d v="2024-02-23T09:00:00"/>
    <d v="1900-02-01T00:00:00"/>
    <x v="1"/>
    <x v="0"/>
    <x v="1"/>
    <n v="9"/>
    <n v="8"/>
    <n v="1.125"/>
    <s v="Plan B"/>
  </r>
  <r>
    <s v="PAT5486"/>
    <n v="44"/>
    <x v="4"/>
    <x v="1"/>
    <x v="137"/>
    <d v="2023-11-12T00:00:00"/>
    <n v="6"/>
    <x v="2"/>
    <n v="5"/>
    <s v="Dr. Sharma"/>
    <n v="41302"/>
    <x v="2"/>
    <x v="1"/>
    <x v="1"/>
    <d v="2023-02-12T00:00:00"/>
    <d v="2023-03-12T20:00:00"/>
    <d v="1901-11-22T00:00:00"/>
    <x v="4"/>
    <x v="0"/>
    <x v="2"/>
    <n v="8"/>
    <n v="8"/>
    <n v="1"/>
    <s v="Plan B"/>
  </r>
  <r>
    <s v="PAT5487"/>
    <n v="29"/>
    <x v="3"/>
    <x v="5"/>
    <x v="315"/>
    <d v="2024-04-25T00:00:00"/>
    <n v="3"/>
    <x v="1"/>
    <n v="2"/>
    <s v="Dr. Sharma"/>
    <n v="27228"/>
    <x v="0"/>
    <x v="0"/>
    <x v="0"/>
    <d v="2024-04-19T00:00:00"/>
    <d v="2024-04-19T07:00:00"/>
    <d v="1900-01-06T00:00:00"/>
    <x v="3"/>
    <x v="0"/>
    <x v="0"/>
    <n v="7"/>
    <n v="8"/>
    <n v="0.875"/>
    <s v="Plan C"/>
  </r>
  <r>
    <s v="PAT5488"/>
    <n v="13"/>
    <x v="1"/>
    <x v="3"/>
    <x v="316"/>
    <d v="2024-09-03T00:00:00"/>
    <n v="8"/>
    <x v="1"/>
    <n v="1"/>
    <s v="Dr. Gupta"/>
    <n v="17388"/>
    <x v="1"/>
    <x v="1"/>
    <x v="1"/>
    <d v="2024-02-29T00:00:00"/>
    <d v="2024-02-29T09:00:00"/>
    <d v="1900-01-08T00:00:00"/>
    <x v="2"/>
    <x v="0"/>
    <x v="2"/>
    <n v="7"/>
    <n v="10"/>
    <n v="0.7"/>
    <s v="Plan C"/>
  </r>
  <r>
    <s v="PAT5489"/>
    <n v="12"/>
    <x v="1"/>
    <x v="0"/>
    <x v="317"/>
    <d v="2023-07-03T00:00:00"/>
    <n v="2"/>
    <x v="5"/>
    <n v="4"/>
    <s v="Dr. Gupta"/>
    <n v="16319"/>
    <x v="0"/>
    <x v="1"/>
    <x v="0"/>
    <d v="2023-02-28T00:00:00"/>
    <d v="2023-01-03T03:00:00"/>
    <d v="1903-09-02T00:00:00"/>
    <x v="1"/>
    <x v="0"/>
    <x v="0"/>
    <n v="5"/>
    <n v="12"/>
    <n v="0.41666666666666669"/>
    <s v="Plan B"/>
  </r>
  <r>
    <s v="PAT5490"/>
    <n v="46"/>
    <x v="4"/>
    <x v="2"/>
    <x v="318"/>
    <d v="2023-08-08T00:00:00"/>
    <n v="8"/>
    <x v="0"/>
    <n v="4"/>
    <s v="Dr. Rao"/>
    <n v="11475"/>
    <x v="2"/>
    <x v="1"/>
    <x v="0"/>
    <d v="2023-07-29T00:00:00"/>
    <d v="2023-07-29T04:00:00"/>
    <d v="1900-01-03T00:00:00"/>
    <x v="3"/>
    <x v="1"/>
    <x v="2"/>
    <n v="5"/>
    <n v="12"/>
    <n v="0.41666666666666669"/>
    <s v="Plan A"/>
  </r>
  <r>
    <s v="PAT5491"/>
    <n v="2"/>
    <x v="1"/>
    <x v="5"/>
    <x v="269"/>
    <d v="2024-03-14T00:00:00"/>
    <n v="8"/>
    <x v="2"/>
    <n v="2"/>
    <s v="Dr. Patel"/>
    <n v="36555"/>
    <x v="3"/>
    <x v="1"/>
    <x v="0"/>
    <d v="2024-06-03T00:00:00"/>
    <d v="2024-06-03T18:00:00"/>
    <d v="1900-01-17T00:00:00"/>
    <x v="4"/>
    <x v="0"/>
    <x v="2"/>
    <n v="10"/>
    <n v="12"/>
    <n v="0.83333333333333337"/>
    <s v="Plan A"/>
  </r>
  <r>
    <s v="PAT5492"/>
    <n v="35"/>
    <x v="3"/>
    <x v="5"/>
    <x v="319"/>
    <d v="2024-02-14T00:00:00"/>
    <n v="11"/>
    <x v="5"/>
    <n v="5"/>
    <s v="Dr. Sharma"/>
    <n v="23158"/>
    <x v="0"/>
    <x v="0"/>
    <x v="0"/>
    <d v="2024-03-02T00:00:00"/>
    <d v="2024-04-02T18:00:00"/>
    <d v="1902-01-31T00:00:00"/>
    <x v="1"/>
    <x v="0"/>
    <x v="0"/>
    <n v="8"/>
    <n v="12"/>
    <n v="0.66666666666666663"/>
    <s v="Plan B"/>
  </r>
  <r>
    <s v="PAT5493"/>
    <n v="87"/>
    <x v="2"/>
    <x v="1"/>
    <x v="320"/>
    <d v="2023-01-26T00:00:00"/>
    <n v="5"/>
    <x v="2"/>
    <n v="4"/>
    <s v="Dr. Gupta"/>
    <n v="19728"/>
    <x v="1"/>
    <x v="1"/>
    <x v="0"/>
    <d v="2023-01-19T00:00:00"/>
    <d v="2023-01-19T09:00:00"/>
    <d v="1900-01-08T00:00:00"/>
    <x v="4"/>
    <x v="0"/>
    <x v="1"/>
    <n v="11"/>
    <n v="8"/>
    <n v="1.375"/>
    <s v="Plan C"/>
  </r>
  <r>
    <s v="PAT5494"/>
    <n v="81"/>
    <x v="2"/>
    <x v="5"/>
    <x v="28"/>
    <d v="2024-07-02T00:00:00"/>
    <n v="13"/>
    <x v="5"/>
    <n v="4"/>
    <s v="Dr. Patel"/>
    <n v="49774"/>
    <x v="0"/>
    <x v="0"/>
    <x v="0"/>
    <d v="2024-01-21T00:00:00"/>
    <d v="2024-01-22T21:00:00"/>
    <d v="1900-02-13T00:00:00"/>
    <x v="4"/>
    <x v="0"/>
    <x v="0"/>
    <n v="10"/>
    <n v="12"/>
    <n v="0.83333333333333337"/>
    <s v="Plan A"/>
  </r>
  <r>
    <s v="PAT5495"/>
    <n v="8"/>
    <x v="1"/>
    <x v="0"/>
    <x v="181"/>
    <d v="2024-08-05T00:00:00"/>
    <n v="5"/>
    <x v="1"/>
    <n v="5"/>
    <s v="Dr. Gupta"/>
    <n v="34545"/>
    <x v="4"/>
    <x v="1"/>
    <x v="1"/>
    <d v="2024-04-29T00:00:00"/>
    <d v="2024-04-29T09:00:00"/>
    <d v="1900-01-08T00:00:00"/>
    <x v="4"/>
    <x v="0"/>
    <x v="0"/>
    <n v="8"/>
    <n v="12"/>
    <n v="0.66666666666666663"/>
    <s v="Plan C"/>
  </r>
  <r>
    <s v="PAT5496"/>
    <n v="26"/>
    <x v="3"/>
    <x v="0"/>
    <x v="21"/>
    <d v="2023-01-17T00:00:00"/>
    <n v="10"/>
    <x v="4"/>
    <n v="1"/>
    <s v="Dr. Gupta"/>
    <n v="36100"/>
    <x v="0"/>
    <x v="1"/>
    <x v="1"/>
    <d v="2023-07-01T00:00:00"/>
    <d v="2023-07-01T16:00:00"/>
    <d v="1900-01-15T00:00:00"/>
    <x v="1"/>
    <x v="0"/>
    <x v="0"/>
    <n v="6"/>
    <n v="10"/>
    <n v="0.6"/>
    <s v="Plan A"/>
  </r>
  <r>
    <s v="PAT5497"/>
    <n v="74"/>
    <x v="2"/>
    <x v="4"/>
    <x v="321"/>
    <d v="2023-12-28T00:00:00"/>
    <n v="1"/>
    <x v="5"/>
    <n v="4"/>
    <s v="Dr. Sharma"/>
    <n v="21150"/>
    <x v="2"/>
    <x v="1"/>
    <x v="1"/>
    <d v="2023-12-25T00:00:00"/>
    <d v="2023-12-25T10:00:00"/>
    <d v="1900-01-09T00:00:00"/>
    <x v="3"/>
    <x v="0"/>
    <x v="0"/>
    <n v="4"/>
    <n v="10"/>
    <n v="0.4"/>
    <s v="Plan B"/>
  </r>
  <r>
    <s v="PAT5498"/>
    <n v="34"/>
    <x v="3"/>
    <x v="0"/>
    <x v="101"/>
    <d v="2023-08-11T00:00:00"/>
    <n v="6"/>
    <x v="2"/>
    <n v="3"/>
    <s v="Dr. Sharma"/>
    <n v="38214"/>
    <x v="3"/>
    <x v="1"/>
    <x v="0"/>
    <d v="2023-10-31T00:00:00"/>
    <d v="2023-01-11T22:00:00"/>
    <d v="1919-03-11T00:00:00"/>
    <x v="0"/>
    <x v="0"/>
    <x v="0"/>
    <n v="4"/>
    <n v="10"/>
    <n v="0.4"/>
    <s v="Plan C"/>
  </r>
  <r>
    <s v="PAT5499"/>
    <n v="7"/>
    <x v="1"/>
    <x v="3"/>
    <x v="172"/>
    <d v="2024-02-13T00:00:00"/>
    <n v="9"/>
    <x v="2"/>
    <n v="4"/>
    <s v="Dr. Gupta"/>
    <n v="37876"/>
    <x v="3"/>
    <x v="0"/>
    <x v="0"/>
    <d v="2024-01-02T00:00:00"/>
    <d v="2024-01-02T21:00:00"/>
    <d v="1900-01-20T00:00:00"/>
    <x v="3"/>
    <x v="0"/>
    <x v="2"/>
    <n v="11"/>
    <n v="8"/>
    <n v="1.375"/>
    <s v="Plan A"/>
  </r>
  <r>
    <s v="PAT5500"/>
    <n v="68"/>
    <x v="2"/>
    <x v="5"/>
    <x v="17"/>
    <d v="2024-07-03T00:00:00"/>
    <n v="2"/>
    <x v="0"/>
    <n v="1"/>
    <s v="Dr. Mehta"/>
    <n v="8239"/>
    <x v="2"/>
    <x v="1"/>
    <x v="0"/>
    <d v="2024-02-29T00:00:00"/>
    <d v="2024-02-29T16:00:00"/>
    <d v="1900-01-15T00:00:00"/>
    <x v="1"/>
    <x v="0"/>
    <x v="2"/>
    <n v="8"/>
    <n v="8"/>
    <n v="1"/>
    <s v="Plan B"/>
  </r>
  <r>
    <s v="PAT5501"/>
    <n v="58"/>
    <x v="0"/>
    <x v="0"/>
    <x v="18"/>
    <d v="2023-08-19T00:00:00"/>
    <n v="5"/>
    <x v="1"/>
    <n v="1"/>
    <s v="Dr. Gupta"/>
    <n v="43699"/>
    <x v="4"/>
    <x v="0"/>
    <x v="1"/>
    <d v="2023-10-08T00:00:00"/>
    <d v="2023-11-08T20:00:00"/>
    <d v="1902-02-02T00:00:00"/>
    <x v="0"/>
    <x v="0"/>
    <x v="1"/>
    <n v="5"/>
    <n v="8"/>
    <n v="0.625"/>
    <s v="Plan B"/>
  </r>
  <r>
    <s v="PAT5502"/>
    <n v="75"/>
    <x v="2"/>
    <x v="1"/>
    <x v="322"/>
    <d v="2024-05-22T00:00:00"/>
    <n v="8"/>
    <x v="2"/>
    <n v="2"/>
    <s v="Dr. Gupta"/>
    <n v="41821"/>
    <x v="2"/>
    <x v="1"/>
    <x v="0"/>
    <d v="2024-10-05T00:00:00"/>
    <d v="2024-11-05T02:00:00"/>
    <d v="1902-01-15T00:00:00"/>
    <x v="0"/>
    <x v="0"/>
    <x v="1"/>
    <n v="11"/>
    <n v="10"/>
    <n v="1.1000000000000001"/>
    <s v="Plan B"/>
  </r>
  <r>
    <s v="PAT5503"/>
    <n v="29"/>
    <x v="3"/>
    <x v="4"/>
    <x v="60"/>
    <d v="2023-08-21T00:00:00"/>
    <n v="8"/>
    <x v="3"/>
    <n v="3"/>
    <s v="Dr. Rao"/>
    <n v="35615"/>
    <x v="0"/>
    <x v="0"/>
    <x v="1"/>
    <d v="2023-10-08T00:00:00"/>
    <d v="2023-11-08T08:00:00"/>
    <d v="1902-01-21T00:00:00"/>
    <x v="0"/>
    <x v="1"/>
    <x v="0"/>
    <n v="9"/>
    <n v="12"/>
    <n v="0.75"/>
    <s v="Plan C"/>
  </r>
  <r>
    <s v="PAT5504"/>
    <n v="36"/>
    <x v="4"/>
    <x v="5"/>
    <x v="323"/>
    <d v="2023-08-10T00:00:00"/>
    <n v="1"/>
    <x v="4"/>
    <n v="1"/>
    <s v="Dr. Rao"/>
    <n v="18746"/>
    <x v="2"/>
    <x v="0"/>
    <x v="0"/>
    <d v="2023-06-10T00:00:00"/>
    <d v="2023-06-10T10:00:00"/>
    <d v="1900-01-09T00:00:00"/>
    <x v="2"/>
    <x v="0"/>
    <x v="1"/>
    <n v="10"/>
    <n v="10"/>
    <n v="1"/>
    <s v="Plan C"/>
  </r>
  <r>
    <s v="PAT5505"/>
    <n v="89"/>
    <x v="2"/>
    <x v="4"/>
    <x v="258"/>
    <d v="2024-03-23T00:00:00"/>
    <n v="1"/>
    <x v="5"/>
    <n v="5"/>
    <s v="Dr. Rao"/>
    <n v="25921"/>
    <x v="2"/>
    <x v="1"/>
    <x v="0"/>
    <d v="2024-03-18T00:00:00"/>
    <d v="2024-03-19T13:00:00"/>
    <d v="1900-02-05T00:00:00"/>
    <x v="1"/>
    <x v="0"/>
    <x v="1"/>
    <n v="6"/>
    <n v="8"/>
    <n v="0.75"/>
    <s v="Plan B"/>
  </r>
  <r>
    <s v="PAT5506"/>
    <n v="21"/>
    <x v="3"/>
    <x v="5"/>
    <x v="114"/>
    <d v="2024-05-18T00:00:00"/>
    <n v="6"/>
    <x v="0"/>
    <n v="3"/>
    <s v="Dr. Mehta"/>
    <n v="27745"/>
    <x v="4"/>
    <x v="1"/>
    <x v="0"/>
    <d v="2024-09-05T00:00:00"/>
    <d v="2024-10-05T17:00:00"/>
    <d v="1902-01-06T00:00:00"/>
    <x v="2"/>
    <x v="1"/>
    <x v="0"/>
    <n v="4"/>
    <n v="10"/>
    <n v="0.4"/>
    <s v="Plan C"/>
  </r>
  <r>
    <s v="PAT5507"/>
    <n v="36"/>
    <x v="4"/>
    <x v="1"/>
    <x v="324"/>
    <d v="2023-02-13T00:00:00"/>
    <n v="14"/>
    <x v="4"/>
    <n v="3"/>
    <s v="Dr. Mehta"/>
    <n v="6245"/>
    <x v="0"/>
    <x v="0"/>
    <x v="0"/>
    <d v="2023-01-28T00:00:00"/>
    <d v="2023-01-28T18:00:00"/>
    <d v="1900-01-17T00:00:00"/>
    <x v="0"/>
    <x v="0"/>
    <x v="2"/>
    <n v="8"/>
    <n v="12"/>
    <n v="0.66666666666666663"/>
    <s v="Plan A"/>
  </r>
  <r>
    <s v="PAT5508"/>
    <n v="10"/>
    <x v="1"/>
    <x v="4"/>
    <x v="319"/>
    <d v="2024-08-02T00:00:00"/>
    <n v="5"/>
    <x v="1"/>
    <n v="5"/>
    <s v="Dr. Gupta"/>
    <n v="29853"/>
    <x v="1"/>
    <x v="1"/>
    <x v="0"/>
    <d v="2024-02-02T00:00:00"/>
    <d v="2024-03-02T17:00:00"/>
    <d v="1901-12-13T00:00:00"/>
    <x v="2"/>
    <x v="0"/>
    <x v="2"/>
    <n v="5"/>
    <n v="8"/>
    <n v="0.625"/>
    <s v="Plan B"/>
  </r>
  <r>
    <s v="PAT5509"/>
    <n v="73"/>
    <x v="2"/>
    <x v="2"/>
    <x v="26"/>
    <d v="2023-12-13T00:00:00"/>
    <n v="2"/>
    <x v="0"/>
    <n v="4"/>
    <s v="Dr. Rao"/>
    <n v="32632"/>
    <x v="1"/>
    <x v="1"/>
    <x v="1"/>
    <d v="2023-11-12T00:00:00"/>
    <d v="2023-12-12T03:00:00"/>
    <d v="1901-12-23T00:00:00"/>
    <x v="2"/>
    <x v="0"/>
    <x v="1"/>
    <n v="5"/>
    <n v="12"/>
    <n v="0.41666666666666669"/>
    <s v="Plan B"/>
  </r>
  <r>
    <s v="PAT5510"/>
    <n v="24"/>
    <x v="3"/>
    <x v="3"/>
    <x v="325"/>
    <d v="2024-01-03T00:00:00"/>
    <n v="11"/>
    <x v="5"/>
    <n v="5"/>
    <s v="Dr. Mehta"/>
    <n v="17856"/>
    <x v="3"/>
    <x v="1"/>
    <x v="0"/>
    <d v="2024-02-17T00:00:00"/>
    <d v="2024-02-18T01:00:00"/>
    <d v="1900-01-24T00:00:00"/>
    <x v="1"/>
    <x v="0"/>
    <x v="2"/>
    <n v="5"/>
    <n v="12"/>
    <n v="0.41666666666666669"/>
    <s v="Plan C"/>
  </r>
  <r>
    <s v="PAT5511"/>
    <n v="64"/>
    <x v="0"/>
    <x v="3"/>
    <x v="119"/>
    <d v="2023-03-07T00:00:00"/>
    <n v="14"/>
    <x v="5"/>
    <n v="5"/>
    <s v="Dr. Sharma"/>
    <n v="10105"/>
    <x v="2"/>
    <x v="0"/>
    <x v="1"/>
    <d v="2023-06-18T00:00:00"/>
    <d v="2023-06-19T05:00:00"/>
    <d v="1900-01-28T00:00:00"/>
    <x v="4"/>
    <x v="0"/>
    <x v="2"/>
    <n v="10"/>
    <n v="8"/>
    <n v="1.25"/>
    <s v="Plan B"/>
  </r>
  <r>
    <s v="PAT5512"/>
    <n v="49"/>
    <x v="4"/>
    <x v="5"/>
    <x v="151"/>
    <d v="2024-07-05T00:00:00"/>
    <n v="14"/>
    <x v="3"/>
    <n v="4"/>
    <s v="Dr. Gupta"/>
    <n v="40690"/>
    <x v="3"/>
    <x v="0"/>
    <x v="0"/>
    <d v="2024-04-18T00:00:00"/>
    <d v="2024-04-18T05:00:00"/>
    <d v="1900-01-04T00:00:00"/>
    <x v="2"/>
    <x v="0"/>
    <x v="1"/>
    <n v="9"/>
    <n v="12"/>
    <n v="0.75"/>
    <s v="Plan A"/>
  </r>
  <r>
    <s v="PAT5513"/>
    <n v="36"/>
    <x v="4"/>
    <x v="2"/>
    <x v="230"/>
    <d v="2023-05-13T00:00:00"/>
    <n v="2"/>
    <x v="1"/>
    <n v="4"/>
    <s v="Dr. Patel"/>
    <n v="7513"/>
    <x v="4"/>
    <x v="1"/>
    <x v="0"/>
    <d v="2023-08-05T00:00:00"/>
    <d v="2023-09-05T17:00:00"/>
    <d v="1902-01-30T00:00:00"/>
    <x v="2"/>
    <x v="0"/>
    <x v="0"/>
    <n v="7"/>
    <n v="10"/>
    <n v="0.7"/>
    <s v="Plan C"/>
  </r>
  <r>
    <s v="PAT5514"/>
    <n v="82"/>
    <x v="2"/>
    <x v="4"/>
    <x v="15"/>
    <d v="2023-07-02T00:00:00"/>
    <n v="10"/>
    <x v="0"/>
    <n v="4"/>
    <s v="Dr. Gupta"/>
    <n v="7801"/>
    <x v="1"/>
    <x v="1"/>
    <x v="1"/>
    <d v="2023-01-23T00:00:00"/>
    <d v="2023-01-23T06:00:00"/>
    <d v="1900-01-05T00:00:00"/>
    <x v="0"/>
    <x v="0"/>
    <x v="1"/>
    <n v="11"/>
    <n v="12"/>
    <n v="0.91666666666666663"/>
    <s v="Plan C"/>
  </r>
  <r>
    <s v="PAT5515"/>
    <n v="24"/>
    <x v="3"/>
    <x v="2"/>
    <x v="326"/>
    <d v="2024-02-18T00:00:00"/>
    <n v="10"/>
    <x v="0"/>
    <n v="4"/>
    <s v="Dr. Patel"/>
    <n v="37345"/>
    <x v="2"/>
    <x v="0"/>
    <x v="1"/>
    <d v="2024-06-02T00:00:00"/>
    <d v="2024-07-02T02:00:00"/>
    <d v="1901-12-22T00:00:00"/>
    <x v="0"/>
    <x v="1"/>
    <x v="1"/>
    <n v="10"/>
    <n v="12"/>
    <n v="0.83333333333333337"/>
    <s v="Plan B"/>
  </r>
  <r>
    <s v="PAT5516"/>
    <n v="23"/>
    <x v="3"/>
    <x v="2"/>
    <x v="15"/>
    <d v="2023-06-02T00:00:00"/>
    <n v="9"/>
    <x v="2"/>
    <n v="4"/>
    <s v="Dr. Rao"/>
    <n v="18895"/>
    <x v="4"/>
    <x v="1"/>
    <x v="0"/>
    <d v="2023-01-23T00:00:00"/>
    <d v="2023-01-24T09:00:00"/>
    <d v="1900-02-01T00:00:00"/>
    <x v="0"/>
    <x v="0"/>
    <x v="1"/>
    <n v="9"/>
    <n v="12"/>
    <n v="0.75"/>
    <s v="Plan B"/>
  </r>
  <r>
    <s v="PAT5517"/>
    <n v="62"/>
    <x v="0"/>
    <x v="4"/>
    <x v="327"/>
    <d v="2023-03-04T00:00:00"/>
    <n v="7"/>
    <x v="3"/>
    <n v="5"/>
    <s v="Dr. Patel"/>
    <n v="44749"/>
    <x v="4"/>
    <x v="1"/>
    <x v="0"/>
    <d v="2023-03-26T00:00:00"/>
    <d v="2023-03-28T00:00:00"/>
    <d v="1900-02-16T00:00:00"/>
    <x v="3"/>
    <x v="0"/>
    <x v="0"/>
    <n v="5"/>
    <n v="10"/>
    <n v="0.5"/>
    <s v="Plan B"/>
  </r>
  <r>
    <s v="PAT5518"/>
    <n v="37"/>
    <x v="4"/>
    <x v="1"/>
    <x v="78"/>
    <d v="2024-03-22T00:00:00"/>
    <n v="8"/>
    <x v="3"/>
    <n v="2"/>
    <s v="Dr. Rao"/>
    <n v="13221"/>
    <x v="2"/>
    <x v="1"/>
    <x v="0"/>
    <d v="2024-03-14T00:00:00"/>
    <d v="2024-03-14T18:00:00"/>
    <d v="1900-01-17T00:00:00"/>
    <x v="2"/>
    <x v="0"/>
    <x v="0"/>
    <n v="8"/>
    <n v="12"/>
    <n v="0.66666666666666663"/>
    <s v="Plan C"/>
  </r>
  <r>
    <s v="PAT5519"/>
    <n v="12"/>
    <x v="1"/>
    <x v="2"/>
    <x v="328"/>
    <d v="2023-05-29T00:00:00"/>
    <n v="10"/>
    <x v="0"/>
    <n v="2"/>
    <s v="Dr. Sharma"/>
    <n v="11038"/>
    <x v="4"/>
    <x v="0"/>
    <x v="1"/>
    <d v="2023-05-14T00:00:00"/>
    <d v="2023-05-15T21:00:00"/>
    <d v="1900-02-13T00:00:00"/>
    <x v="0"/>
    <x v="0"/>
    <x v="0"/>
    <n v="11"/>
    <n v="12"/>
    <n v="0.91666666666666663"/>
    <s v="Plan B"/>
  </r>
  <r>
    <s v="PAT5520"/>
    <n v="55"/>
    <x v="0"/>
    <x v="2"/>
    <x v="329"/>
    <d v="2024-04-26T00:00:00"/>
    <n v="9"/>
    <x v="0"/>
    <n v="1"/>
    <s v="Dr. Patel"/>
    <n v="37031"/>
    <x v="2"/>
    <x v="1"/>
    <x v="1"/>
    <d v="2024-04-15T00:00:00"/>
    <d v="2024-04-16T00:00:00"/>
    <d v="1900-01-23T00:00:00"/>
    <x v="1"/>
    <x v="0"/>
    <x v="0"/>
    <n v="6"/>
    <n v="10"/>
    <n v="0.6"/>
    <s v="Plan A"/>
  </r>
  <r>
    <s v="PAT5521"/>
    <n v="13"/>
    <x v="1"/>
    <x v="1"/>
    <x v="330"/>
    <d v="2023-07-19T00:00:00"/>
    <n v="13"/>
    <x v="4"/>
    <n v="2"/>
    <s v="Dr. Gupta"/>
    <n v="20082"/>
    <x v="2"/>
    <x v="0"/>
    <x v="0"/>
    <d v="2023-04-07T00:00:00"/>
    <d v="2023-05-07T06:00:00"/>
    <d v="1901-12-26T00:00:00"/>
    <x v="3"/>
    <x v="1"/>
    <x v="1"/>
    <n v="9"/>
    <n v="8"/>
    <n v="1.125"/>
    <s v="Plan B"/>
  </r>
  <r>
    <s v="PAT5522"/>
    <n v="23"/>
    <x v="3"/>
    <x v="2"/>
    <x v="164"/>
    <d v="2023-05-03T00:00:00"/>
    <n v="12"/>
    <x v="4"/>
    <n v="2"/>
    <s v="Dr. Rao"/>
    <n v="19648"/>
    <x v="0"/>
    <x v="1"/>
    <x v="0"/>
    <d v="2023-02-17T00:00:00"/>
    <d v="2023-02-18T08:00:00"/>
    <d v="1900-01-31T00:00:00"/>
    <x v="4"/>
    <x v="0"/>
    <x v="2"/>
    <n v="8"/>
    <n v="8"/>
    <n v="1"/>
    <s v="Plan B"/>
  </r>
  <r>
    <s v="PAT5523"/>
    <n v="89"/>
    <x v="2"/>
    <x v="2"/>
    <x v="331"/>
    <d v="2023-09-10T00:00:00"/>
    <n v="15"/>
    <x v="4"/>
    <n v="5"/>
    <s v="Dr. Gupta"/>
    <n v="5364"/>
    <x v="3"/>
    <x v="0"/>
    <x v="1"/>
    <d v="2023-09-19T00:00:00"/>
    <d v="2023-09-19T21:00:00"/>
    <d v="1900-01-20T00:00:00"/>
    <x v="2"/>
    <x v="0"/>
    <x v="1"/>
    <n v="10"/>
    <n v="8"/>
    <n v="1.25"/>
    <s v="Plan C"/>
  </r>
  <r>
    <s v="PAT5524"/>
    <n v="30"/>
    <x v="3"/>
    <x v="2"/>
    <x v="58"/>
    <d v="2024-01-25T00:00:00"/>
    <n v="1"/>
    <x v="3"/>
    <n v="4"/>
    <s v="Dr. Mehta"/>
    <n v="39568"/>
    <x v="4"/>
    <x v="0"/>
    <x v="0"/>
    <d v="2024-01-23T00:00:00"/>
    <d v="2024-01-24T14:00:00"/>
    <d v="1900-02-06T00:00:00"/>
    <x v="2"/>
    <x v="0"/>
    <x v="0"/>
    <n v="10"/>
    <n v="12"/>
    <n v="0.83333333333333337"/>
    <s v="Plan B"/>
  </r>
  <r>
    <s v="PAT5525"/>
    <n v="17"/>
    <x v="1"/>
    <x v="3"/>
    <x v="332"/>
    <d v="2023-10-12T00:00:00"/>
    <n v="8"/>
    <x v="2"/>
    <n v="4"/>
    <s v="Dr. Rao"/>
    <n v="19110"/>
    <x v="4"/>
    <x v="1"/>
    <x v="1"/>
    <d v="2023-01-12T00:00:00"/>
    <d v="2023-01-12T01:00:00"/>
    <d v="1899-12-31T00:00:00"/>
    <x v="1"/>
    <x v="0"/>
    <x v="2"/>
    <n v="11"/>
    <n v="8"/>
    <n v="1.375"/>
    <s v="Plan C"/>
  </r>
  <r>
    <s v="PAT5526"/>
    <n v="62"/>
    <x v="0"/>
    <x v="0"/>
    <x v="68"/>
    <d v="2023-08-20T00:00:00"/>
    <n v="15"/>
    <x v="5"/>
    <n v="5"/>
    <s v="Dr. Patel"/>
    <n v="10958"/>
    <x v="0"/>
    <x v="1"/>
    <x v="0"/>
    <d v="2023-01-08T00:00:00"/>
    <d v="2023-02-08T23:00:00"/>
    <d v="1902-02-05T00:00:00"/>
    <x v="4"/>
    <x v="0"/>
    <x v="1"/>
    <n v="5"/>
    <n v="10"/>
    <n v="0.5"/>
    <s v="Plan B"/>
  </r>
  <r>
    <s v="PAT5527"/>
    <n v="84"/>
    <x v="2"/>
    <x v="1"/>
    <x v="173"/>
    <d v="2024-04-23T00:00:00"/>
    <n v="13"/>
    <x v="4"/>
    <n v="2"/>
    <s v="Dr. Rao"/>
    <n v="14096"/>
    <x v="0"/>
    <x v="1"/>
    <x v="0"/>
    <d v="2024-05-04T00:00:00"/>
    <d v="2024-05-04T06:00:00"/>
    <d v="1900-01-05T00:00:00"/>
    <x v="4"/>
    <x v="0"/>
    <x v="2"/>
    <n v="6"/>
    <n v="12"/>
    <n v="0.5"/>
    <s v="Plan A"/>
  </r>
  <r>
    <s v="PAT5528"/>
    <n v="89"/>
    <x v="2"/>
    <x v="2"/>
    <x v="267"/>
    <d v="2023-11-12T00:00:00"/>
    <n v="10"/>
    <x v="2"/>
    <n v="5"/>
    <s v="Dr. Gupta"/>
    <n v="12436"/>
    <x v="0"/>
    <x v="1"/>
    <x v="0"/>
    <d v="2023-11-28T00:00:00"/>
    <d v="2023-11-29T23:00:00"/>
    <d v="1900-02-15T00:00:00"/>
    <x v="3"/>
    <x v="0"/>
    <x v="0"/>
    <n v="4"/>
    <n v="12"/>
    <n v="0.33333333333333331"/>
    <s v="Plan A"/>
  </r>
  <r>
    <s v="PAT5529"/>
    <n v="86"/>
    <x v="2"/>
    <x v="3"/>
    <x v="333"/>
    <d v="2023-12-23T00:00:00"/>
    <n v="11"/>
    <x v="1"/>
    <n v="1"/>
    <s v="Dr. Sharma"/>
    <n v="26177"/>
    <x v="1"/>
    <x v="0"/>
    <x v="0"/>
    <d v="2023-09-12T00:00:00"/>
    <d v="2023-10-12T06:00:00"/>
    <d v="1901-12-26T00:00:00"/>
    <x v="2"/>
    <x v="0"/>
    <x v="2"/>
    <n v="4"/>
    <n v="12"/>
    <n v="0.33333333333333331"/>
    <s v="Plan C"/>
  </r>
  <r>
    <s v="PAT5530"/>
    <n v="13"/>
    <x v="1"/>
    <x v="1"/>
    <x v="58"/>
    <d v="2024-01-28T00:00:00"/>
    <n v="4"/>
    <x v="4"/>
    <n v="4"/>
    <s v="Dr. Rao"/>
    <n v="31754"/>
    <x v="1"/>
    <x v="1"/>
    <x v="0"/>
    <d v="2024-01-20T00:00:00"/>
    <d v="2024-01-21T17:00:00"/>
    <d v="1900-02-09T00:00:00"/>
    <x v="0"/>
    <x v="0"/>
    <x v="2"/>
    <n v="10"/>
    <n v="8"/>
    <n v="1.25"/>
    <s v="Plan C"/>
  </r>
  <r>
    <s v="PAT5531"/>
    <n v="59"/>
    <x v="0"/>
    <x v="5"/>
    <x v="20"/>
    <d v="2023-10-18T00:00:00"/>
    <n v="6"/>
    <x v="5"/>
    <n v="3"/>
    <s v="Dr. Patel"/>
    <n v="29544"/>
    <x v="1"/>
    <x v="0"/>
    <x v="1"/>
    <d v="2023-10-10T00:00:00"/>
    <d v="2023-11-10T19:00:00"/>
    <d v="1902-02-01T00:00:00"/>
    <x v="1"/>
    <x v="0"/>
    <x v="0"/>
    <n v="8"/>
    <n v="8"/>
    <n v="1"/>
    <s v="Plan B"/>
  </r>
  <r>
    <s v="PAT5532"/>
    <n v="19"/>
    <x v="3"/>
    <x v="5"/>
    <x v="334"/>
    <d v="2024-03-17T00:00:00"/>
    <n v="10"/>
    <x v="1"/>
    <n v="1"/>
    <s v="Dr. Mehta"/>
    <n v="17638"/>
    <x v="2"/>
    <x v="1"/>
    <x v="1"/>
    <d v="2024-07-03T00:00:00"/>
    <d v="2024-08-03T21:00:00"/>
    <d v="1902-02-03T00:00:00"/>
    <x v="1"/>
    <x v="0"/>
    <x v="2"/>
    <n v="6"/>
    <n v="8"/>
    <n v="0.75"/>
    <s v="Plan B"/>
  </r>
  <r>
    <s v="PAT5533"/>
    <n v="49"/>
    <x v="4"/>
    <x v="2"/>
    <x v="335"/>
    <d v="2023-09-24T00:00:00"/>
    <n v="8"/>
    <x v="1"/>
    <n v="1"/>
    <s v="Dr. Sharma"/>
    <n v="5179"/>
    <x v="4"/>
    <x v="1"/>
    <x v="0"/>
    <d v="2023-09-13T00:00:00"/>
    <d v="2023-09-13T23:00:00"/>
    <d v="1900-01-22T00:00:00"/>
    <x v="1"/>
    <x v="0"/>
    <x v="1"/>
    <n v="8"/>
    <n v="12"/>
    <n v="0.66666666666666663"/>
    <s v="Plan A"/>
  </r>
  <r>
    <s v="PAT5534"/>
    <n v="12"/>
    <x v="1"/>
    <x v="3"/>
    <x v="190"/>
    <d v="2023-03-04T00:00:00"/>
    <n v="9"/>
    <x v="5"/>
    <n v="5"/>
    <s v="Dr. Mehta"/>
    <n v="8873"/>
    <x v="3"/>
    <x v="1"/>
    <x v="0"/>
    <d v="2023-03-20T00:00:00"/>
    <d v="2023-03-20T05:00:00"/>
    <d v="1900-01-04T00:00:00"/>
    <x v="1"/>
    <x v="0"/>
    <x v="2"/>
    <n v="6"/>
    <n v="10"/>
    <n v="0.6"/>
    <s v="Plan B"/>
  </r>
  <r>
    <s v="PAT5535"/>
    <n v="61"/>
    <x v="0"/>
    <x v="3"/>
    <x v="243"/>
    <d v="2024-04-29T00:00:00"/>
    <n v="3"/>
    <x v="4"/>
    <n v="2"/>
    <s v="Dr. Rao"/>
    <n v="22570"/>
    <x v="2"/>
    <x v="1"/>
    <x v="0"/>
    <d v="2024-04-26T00:00:00"/>
    <d v="2024-04-27T11:00:00"/>
    <d v="1900-02-03T00:00:00"/>
    <x v="0"/>
    <x v="0"/>
    <x v="1"/>
    <n v="6"/>
    <n v="12"/>
    <n v="0.5"/>
    <s v="Plan A"/>
  </r>
  <r>
    <s v="PAT5536"/>
    <n v="19"/>
    <x v="3"/>
    <x v="1"/>
    <x v="107"/>
    <d v="2023-01-21T00:00:00"/>
    <n v="1"/>
    <x v="3"/>
    <n v="4"/>
    <s v="Dr. Gupta"/>
    <n v="22157"/>
    <x v="4"/>
    <x v="1"/>
    <x v="0"/>
    <d v="2023-01-19T00:00:00"/>
    <d v="2023-01-20T02:00:00"/>
    <d v="1900-01-25T00:00:00"/>
    <x v="0"/>
    <x v="0"/>
    <x v="2"/>
    <n v="10"/>
    <n v="10"/>
    <n v="1"/>
    <s v="Plan C"/>
  </r>
  <r>
    <s v="PAT5537"/>
    <n v="76"/>
    <x v="2"/>
    <x v="1"/>
    <x v="336"/>
    <d v="2023-03-03T00:00:00"/>
    <n v="8"/>
    <x v="5"/>
    <n v="3"/>
    <s v="Dr. Gupta"/>
    <n v="9460"/>
    <x v="4"/>
    <x v="0"/>
    <x v="0"/>
    <d v="2023-02-22T00:00:00"/>
    <d v="2023-02-22T14:00:00"/>
    <d v="1900-01-13T00:00:00"/>
    <x v="3"/>
    <x v="0"/>
    <x v="2"/>
    <n v="8"/>
    <n v="12"/>
    <n v="0.66666666666666663"/>
    <s v="Plan B"/>
  </r>
  <r>
    <s v="PAT5538"/>
    <n v="9"/>
    <x v="1"/>
    <x v="3"/>
    <x v="247"/>
    <d v="2023-12-27T00:00:00"/>
    <n v="2"/>
    <x v="5"/>
    <n v="1"/>
    <s v="Dr. Patel"/>
    <n v="5352"/>
    <x v="0"/>
    <x v="1"/>
    <x v="1"/>
    <d v="2023-12-22T00:00:00"/>
    <d v="2023-12-23T04:00:00"/>
    <d v="1900-01-27T00:00:00"/>
    <x v="2"/>
    <x v="0"/>
    <x v="0"/>
    <n v="10"/>
    <n v="10"/>
    <n v="1"/>
    <s v="Plan C"/>
  </r>
  <r>
    <s v="PAT5539"/>
    <n v="71"/>
    <x v="2"/>
    <x v="1"/>
    <x v="337"/>
    <d v="2023-08-31T00:00:00"/>
    <n v="13"/>
    <x v="5"/>
    <n v="3"/>
    <s v="Dr. Gupta"/>
    <n v="26586"/>
    <x v="0"/>
    <x v="1"/>
    <x v="0"/>
    <d v="2023-08-16T00:00:00"/>
    <d v="2023-08-16T14:00:00"/>
    <d v="1900-01-13T00:00:00"/>
    <x v="0"/>
    <x v="0"/>
    <x v="0"/>
    <n v="11"/>
    <n v="12"/>
    <n v="0.91666666666666663"/>
    <s v="Plan B"/>
  </r>
  <r>
    <s v="PAT5540"/>
    <n v="28"/>
    <x v="3"/>
    <x v="3"/>
    <x v="115"/>
    <d v="2023-03-27T00:00:00"/>
    <n v="15"/>
    <x v="1"/>
    <n v="2"/>
    <s v="Dr. Sharma"/>
    <n v="10344"/>
    <x v="2"/>
    <x v="0"/>
    <x v="0"/>
    <d v="2023-11-03T00:00:00"/>
    <d v="2023-12-03T08:00:00"/>
    <d v="1901-12-28T00:00:00"/>
    <x v="3"/>
    <x v="1"/>
    <x v="1"/>
    <n v="6"/>
    <n v="12"/>
    <n v="0.5"/>
    <s v="Plan A"/>
  </r>
  <r>
    <s v="PAT5541"/>
    <n v="78"/>
    <x v="2"/>
    <x v="0"/>
    <x v="338"/>
    <d v="2023-02-25T00:00:00"/>
    <n v="14"/>
    <x v="2"/>
    <n v="2"/>
    <s v="Dr. Gupta"/>
    <n v="9507"/>
    <x v="0"/>
    <x v="0"/>
    <x v="0"/>
    <d v="2023-11-02T00:00:00"/>
    <d v="2023-11-02T18:00:00"/>
    <d v="1900-01-17T00:00:00"/>
    <x v="4"/>
    <x v="0"/>
    <x v="0"/>
    <n v="9"/>
    <n v="10"/>
    <n v="0.9"/>
    <s v="Plan C"/>
  </r>
  <r>
    <s v="PAT5542"/>
    <n v="52"/>
    <x v="0"/>
    <x v="3"/>
    <x v="339"/>
    <d v="2023-07-02T00:00:00"/>
    <n v="6"/>
    <x v="3"/>
    <n v="3"/>
    <s v="Dr. Patel"/>
    <n v="42598"/>
    <x v="4"/>
    <x v="1"/>
    <x v="0"/>
    <d v="2023-01-30T00:00:00"/>
    <d v="2023-01-30T21:00:00"/>
    <d v="1900-01-20T00:00:00"/>
    <x v="2"/>
    <x v="0"/>
    <x v="0"/>
    <n v="5"/>
    <n v="10"/>
    <n v="0.5"/>
    <s v="Plan C"/>
  </r>
  <r>
    <s v="PAT5543"/>
    <n v="83"/>
    <x v="2"/>
    <x v="5"/>
    <x v="128"/>
    <d v="2023-09-23T00:00:00"/>
    <n v="12"/>
    <x v="4"/>
    <n v="4"/>
    <s v="Dr. Rao"/>
    <n v="48988"/>
    <x v="0"/>
    <x v="1"/>
    <x v="1"/>
    <d v="2023-08-09T00:00:00"/>
    <d v="2023-08-09T19:00:00"/>
    <d v="1900-01-18T00:00:00"/>
    <x v="0"/>
    <x v="0"/>
    <x v="0"/>
    <n v="11"/>
    <n v="10"/>
    <n v="1.1000000000000001"/>
    <s v="Plan B"/>
  </r>
  <r>
    <s v="PAT5544"/>
    <n v="16"/>
    <x v="1"/>
    <x v="1"/>
    <x v="245"/>
    <d v="2023-07-26T00:00:00"/>
    <n v="2"/>
    <x v="4"/>
    <n v="2"/>
    <s v="Dr. Rao"/>
    <n v="37885"/>
    <x v="1"/>
    <x v="1"/>
    <x v="0"/>
    <d v="2023-07-23T00:00:00"/>
    <d v="2023-07-23T22:00:00"/>
    <d v="1900-01-21T00:00:00"/>
    <x v="4"/>
    <x v="0"/>
    <x v="0"/>
    <n v="6"/>
    <n v="10"/>
    <n v="0.6"/>
    <s v="Plan C"/>
  </r>
  <r>
    <s v="PAT5545"/>
    <n v="69"/>
    <x v="2"/>
    <x v="3"/>
    <x v="320"/>
    <d v="2023-01-30T00:00:00"/>
    <n v="9"/>
    <x v="2"/>
    <n v="3"/>
    <s v="Dr. Gupta"/>
    <n v="21865"/>
    <x v="0"/>
    <x v="0"/>
    <x v="0"/>
    <d v="2023-01-18T00:00:00"/>
    <d v="2023-01-19T12:00:00"/>
    <d v="1900-02-04T00:00:00"/>
    <x v="3"/>
    <x v="0"/>
    <x v="0"/>
    <n v="9"/>
    <n v="10"/>
    <n v="0.9"/>
    <s v="Plan A"/>
  </r>
  <r>
    <s v="PAT5546"/>
    <n v="12"/>
    <x v="1"/>
    <x v="3"/>
    <x v="86"/>
    <d v="2023-06-17T00:00:00"/>
    <n v="11"/>
    <x v="5"/>
    <n v="1"/>
    <s v="Dr. Mehta"/>
    <n v="42055"/>
    <x v="4"/>
    <x v="0"/>
    <x v="0"/>
    <d v="2023-04-06T00:00:00"/>
    <d v="2023-05-06T13:00:00"/>
    <d v="1902-01-02T00:00:00"/>
    <x v="0"/>
    <x v="0"/>
    <x v="1"/>
    <n v="6"/>
    <n v="10"/>
    <n v="0.6"/>
    <s v="Plan C"/>
  </r>
  <r>
    <s v="PAT5547"/>
    <n v="25"/>
    <x v="3"/>
    <x v="1"/>
    <x v="194"/>
    <d v="2023-05-09T00:00:00"/>
    <n v="3"/>
    <x v="3"/>
    <n v="3"/>
    <s v="Dr. Rao"/>
    <n v="32213"/>
    <x v="2"/>
    <x v="0"/>
    <x v="1"/>
    <d v="2023-08-31T00:00:00"/>
    <d v="2023-08-31T09:00:00"/>
    <d v="1900-01-08T00:00:00"/>
    <x v="0"/>
    <x v="0"/>
    <x v="1"/>
    <n v="9"/>
    <n v="10"/>
    <n v="0.9"/>
    <s v="Plan C"/>
  </r>
  <r>
    <s v="PAT5548"/>
    <n v="52"/>
    <x v="0"/>
    <x v="0"/>
    <x v="340"/>
    <d v="2023-11-05T00:00:00"/>
    <n v="1"/>
    <x v="4"/>
    <n v="3"/>
    <s v="Dr. Gupta"/>
    <n v="9477"/>
    <x v="3"/>
    <x v="0"/>
    <x v="1"/>
    <d v="2023-08-05T00:00:00"/>
    <d v="2023-09-05T13:00:00"/>
    <d v="1902-01-26T00:00:00"/>
    <x v="4"/>
    <x v="1"/>
    <x v="0"/>
    <n v="8"/>
    <n v="10"/>
    <n v="0.8"/>
    <s v="Plan B"/>
  </r>
  <r>
    <s v="PAT5549"/>
    <n v="85"/>
    <x v="2"/>
    <x v="0"/>
    <x v="143"/>
    <d v="2024-03-05T00:00:00"/>
    <n v="4"/>
    <x v="0"/>
    <n v="5"/>
    <s v="Dr. Patel"/>
    <n v="11533"/>
    <x v="0"/>
    <x v="1"/>
    <x v="1"/>
    <d v="2024-04-25T00:00:00"/>
    <d v="2024-04-26T08:00:00"/>
    <d v="1900-01-31T00:00:00"/>
    <x v="0"/>
    <x v="0"/>
    <x v="0"/>
    <n v="4"/>
    <n v="12"/>
    <n v="0.33333333333333331"/>
    <s v="Plan C"/>
  </r>
  <r>
    <s v="PAT5550"/>
    <n v="53"/>
    <x v="0"/>
    <x v="1"/>
    <x v="93"/>
    <d v="2023-10-05T00:00:00"/>
    <n v="12"/>
    <x v="4"/>
    <n v="2"/>
    <s v="Dr. Gupta"/>
    <n v="28396"/>
    <x v="4"/>
    <x v="0"/>
    <x v="1"/>
    <d v="2023-04-23T00:00:00"/>
    <d v="2023-04-23T22:00:00"/>
    <d v="1900-01-21T00:00:00"/>
    <x v="1"/>
    <x v="0"/>
    <x v="1"/>
    <n v="7"/>
    <n v="10"/>
    <n v="0.7"/>
    <s v="Plan B"/>
  </r>
  <r>
    <s v="PAT5551"/>
    <n v="23"/>
    <x v="3"/>
    <x v="4"/>
    <x v="12"/>
    <d v="2023-08-20T00:00:00"/>
    <n v="8"/>
    <x v="5"/>
    <n v="4"/>
    <s v="Dr. Rao"/>
    <n v="17755"/>
    <x v="3"/>
    <x v="1"/>
    <x v="0"/>
    <d v="2023-08-08T00:00:00"/>
    <d v="2023-09-08T20:00:00"/>
    <d v="1902-02-02T00:00:00"/>
    <x v="0"/>
    <x v="0"/>
    <x v="2"/>
    <n v="11"/>
    <n v="10"/>
    <n v="1.1000000000000001"/>
    <s v="Plan B"/>
  </r>
  <r>
    <s v="PAT5552"/>
    <n v="16"/>
    <x v="1"/>
    <x v="1"/>
    <x v="276"/>
    <d v="2024-04-29T00:00:00"/>
    <n v="8"/>
    <x v="0"/>
    <n v="4"/>
    <s v="Dr. Patel"/>
    <n v="5865"/>
    <x v="3"/>
    <x v="1"/>
    <x v="0"/>
    <d v="2024-04-21T00:00:00"/>
    <d v="2024-04-21T04:00:00"/>
    <d v="1900-01-03T00:00:00"/>
    <x v="2"/>
    <x v="0"/>
    <x v="1"/>
    <n v="6"/>
    <n v="12"/>
    <n v="0.5"/>
    <s v="Plan C"/>
  </r>
  <r>
    <s v="PAT5553"/>
    <n v="57"/>
    <x v="0"/>
    <x v="1"/>
    <x v="341"/>
    <d v="2023-09-29T00:00:00"/>
    <n v="9"/>
    <x v="2"/>
    <n v="5"/>
    <s v="Dr. Gupta"/>
    <n v="16173"/>
    <x v="1"/>
    <x v="1"/>
    <x v="0"/>
    <d v="2023-09-18T00:00:00"/>
    <d v="2023-09-18T03:00:00"/>
    <d v="1900-01-02T00:00:00"/>
    <x v="4"/>
    <x v="0"/>
    <x v="2"/>
    <n v="7"/>
    <n v="12"/>
    <n v="0.58333333333333337"/>
    <s v="Plan A"/>
  </r>
  <r>
    <s v="PAT5554"/>
    <n v="39"/>
    <x v="4"/>
    <x v="0"/>
    <x v="342"/>
    <d v="2024-01-22T00:00:00"/>
    <n v="9"/>
    <x v="3"/>
    <n v="4"/>
    <s v="Dr. Sharma"/>
    <n v="43097"/>
    <x v="3"/>
    <x v="0"/>
    <x v="0"/>
    <d v="2024-08-01T00:00:00"/>
    <d v="2024-08-01T07:00:00"/>
    <d v="1900-01-06T00:00:00"/>
    <x v="2"/>
    <x v="0"/>
    <x v="0"/>
    <n v="6"/>
    <n v="8"/>
    <n v="0.75"/>
    <s v="Plan B"/>
  </r>
  <r>
    <s v="PAT5555"/>
    <n v="53"/>
    <x v="0"/>
    <x v="0"/>
    <x v="343"/>
    <d v="2023-01-07T00:00:00"/>
    <n v="10"/>
    <x v="2"/>
    <n v="3"/>
    <s v="Dr. Patel"/>
    <n v="38371"/>
    <x v="4"/>
    <x v="0"/>
    <x v="0"/>
    <d v="2023-06-19T00:00:00"/>
    <d v="2023-06-20T17:00:00"/>
    <d v="1900-02-09T00:00:00"/>
    <x v="3"/>
    <x v="0"/>
    <x v="0"/>
    <n v="8"/>
    <n v="8"/>
    <n v="1"/>
    <s v="Plan C"/>
  </r>
  <r>
    <s v="PAT5556"/>
    <n v="42"/>
    <x v="4"/>
    <x v="1"/>
    <x v="93"/>
    <d v="2023-01-05T00:00:00"/>
    <n v="3"/>
    <x v="2"/>
    <n v="5"/>
    <s v="Dr. Sharma"/>
    <n v="43524"/>
    <x v="4"/>
    <x v="1"/>
    <x v="1"/>
    <d v="2023-04-23T00:00:00"/>
    <d v="2023-04-24T06:00:00"/>
    <d v="1900-01-29T00:00:00"/>
    <x v="2"/>
    <x v="0"/>
    <x v="1"/>
    <n v="8"/>
    <n v="10"/>
    <n v="0.8"/>
    <s v="Plan B"/>
  </r>
  <r>
    <s v="PAT5557"/>
    <n v="58"/>
    <x v="0"/>
    <x v="1"/>
    <x v="56"/>
    <d v="2023-06-23T00:00:00"/>
    <n v="6"/>
    <x v="3"/>
    <n v="1"/>
    <s v="Dr. Mehta"/>
    <n v="16254"/>
    <x v="0"/>
    <x v="0"/>
    <x v="0"/>
    <d v="2023-06-16T00:00:00"/>
    <d v="2023-06-16T02:00:00"/>
    <d v="1900-01-01T00:00:00"/>
    <x v="1"/>
    <x v="0"/>
    <x v="0"/>
    <n v="9"/>
    <n v="10"/>
    <n v="0.9"/>
    <s v="Plan A"/>
  </r>
  <r>
    <s v="PAT5558"/>
    <n v="39"/>
    <x v="4"/>
    <x v="1"/>
    <x v="344"/>
    <d v="2023-11-21T00:00:00"/>
    <n v="6"/>
    <x v="3"/>
    <n v="2"/>
    <s v="Dr. Patel"/>
    <n v="9018"/>
    <x v="0"/>
    <x v="0"/>
    <x v="0"/>
    <d v="2023-11-15T00:00:00"/>
    <d v="2023-11-15T08:00:00"/>
    <d v="1900-01-07T00:00:00"/>
    <x v="1"/>
    <x v="1"/>
    <x v="2"/>
    <n v="6"/>
    <n v="8"/>
    <n v="0.75"/>
    <s v="Plan A"/>
  </r>
  <r>
    <s v="PAT5559"/>
    <n v="14"/>
    <x v="1"/>
    <x v="0"/>
    <x v="240"/>
    <d v="2023-06-05T00:00:00"/>
    <n v="15"/>
    <x v="4"/>
    <n v="2"/>
    <s v="Dr. Sharma"/>
    <n v="10192"/>
    <x v="0"/>
    <x v="1"/>
    <x v="1"/>
    <d v="2023-04-16T00:00:00"/>
    <d v="2023-04-16T11:00:00"/>
    <d v="1900-01-10T00:00:00"/>
    <x v="2"/>
    <x v="0"/>
    <x v="2"/>
    <n v="8"/>
    <n v="8"/>
    <n v="1"/>
    <s v="Plan B"/>
  </r>
  <r>
    <s v="PAT5560"/>
    <n v="5"/>
    <x v="1"/>
    <x v="1"/>
    <x v="345"/>
    <d v="2023-01-02T00:00:00"/>
    <n v="5"/>
    <x v="4"/>
    <n v="2"/>
    <s v="Dr. Rao"/>
    <n v="7015"/>
    <x v="3"/>
    <x v="1"/>
    <x v="1"/>
    <d v="2023-01-27T00:00:00"/>
    <d v="2023-01-28T05:00:00"/>
    <d v="1900-01-28T00:00:00"/>
    <x v="3"/>
    <x v="0"/>
    <x v="1"/>
    <n v="8"/>
    <n v="10"/>
    <n v="0.8"/>
    <s v="Plan A"/>
  </r>
  <r>
    <s v="PAT5561"/>
    <n v="35"/>
    <x v="3"/>
    <x v="1"/>
    <x v="123"/>
    <d v="2023-11-23T00:00:00"/>
    <n v="7"/>
    <x v="3"/>
    <n v="3"/>
    <s v="Dr. Rao"/>
    <n v="47618"/>
    <x v="3"/>
    <x v="0"/>
    <x v="0"/>
    <d v="2023-11-13T00:00:00"/>
    <d v="2023-11-14T06:00:00"/>
    <d v="1900-01-29T00:00:00"/>
    <x v="0"/>
    <x v="0"/>
    <x v="2"/>
    <n v="6"/>
    <n v="8"/>
    <n v="0.75"/>
    <s v="Plan C"/>
  </r>
  <r>
    <s v="PAT5562"/>
    <n v="87"/>
    <x v="2"/>
    <x v="2"/>
    <x v="346"/>
    <d v="2024-01-27T00:00:00"/>
    <n v="7"/>
    <x v="0"/>
    <n v="1"/>
    <s v="Dr. Mehta"/>
    <n v="8380"/>
    <x v="1"/>
    <x v="1"/>
    <x v="0"/>
    <d v="2024-01-18T00:00:00"/>
    <d v="2024-01-18T01:00:00"/>
    <d v="1899-12-31T00:00:00"/>
    <x v="1"/>
    <x v="0"/>
    <x v="1"/>
    <n v="9"/>
    <n v="10"/>
    <n v="0.9"/>
    <s v="Plan C"/>
  </r>
  <r>
    <s v="PAT5563"/>
    <n v="75"/>
    <x v="2"/>
    <x v="4"/>
    <x v="347"/>
    <d v="2024-02-24T00:00:00"/>
    <n v="13"/>
    <x v="1"/>
    <n v="5"/>
    <s v="Dr. Patel"/>
    <n v="33343"/>
    <x v="0"/>
    <x v="1"/>
    <x v="0"/>
    <d v="2024-10-02T00:00:00"/>
    <d v="2024-11-02T04:00:00"/>
    <d v="1902-01-17T00:00:00"/>
    <x v="2"/>
    <x v="0"/>
    <x v="1"/>
    <n v="9"/>
    <n v="12"/>
    <n v="0.75"/>
    <s v="Plan B"/>
  </r>
  <r>
    <s v="PAT5564"/>
    <n v="18"/>
    <x v="1"/>
    <x v="5"/>
    <x v="16"/>
    <d v="2023-07-29T00:00:00"/>
    <n v="6"/>
    <x v="4"/>
    <n v="5"/>
    <s v="Dr. Patel"/>
    <n v="8770"/>
    <x v="2"/>
    <x v="0"/>
    <x v="1"/>
    <d v="2023-07-20T00:00:00"/>
    <d v="2023-07-20T13:00:00"/>
    <d v="1900-01-12T00:00:00"/>
    <x v="2"/>
    <x v="0"/>
    <x v="2"/>
    <n v="9"/>
    <n v="12"/>
    <n v="0.75"/>
    <s v="Plan A"/>
  </r>
  <r>
    <s v="PAT5565"/>
    <n v="76"/>
    <x v="2"/>
    <x v="4"/>
    <x v="162"/>
    <d v="2023-03-30T00:00:00"/>
    <n v="11"/>
    <x v="1"/>
    <n v="2"/>
    <s v="Dr. Patel"/>
    <n v="10829"/>
    <x v="1"/>
    <x v="0"/>
    <x v="0"/>
    <d v="2023-03-14T00:00:00"/>
    <d v="2023-03-15T21:00:00"/>
    <d v="1900-02-13T00:00:00"/>
    <x v="2"/>
    <x v="0"/>
    <x v="2"/>
    <n v="9"/>
    <n v="8"/>
    <n v="1.125"/>
    <s v="Plan C"/>
  </r>
  <r>
    <s v="PAT5566"/>
    <n v="9"/>
    <x v="1"/>
    <x v="2"/>
    <x v="144"/>
    <d v="2023-09-16T00:00:00"/>
    <n v="10"/>
    <x v="0"/>
    <n v="1"/>
    <s v="Dr. Mehta"/>
    <n v="39381"/>
    <x v="2"/>
    <x v="0"/>
    <x v="0"/>
    <d v="2023-02-09T00:00:00"/>
    <d v="2023-02-09T09:00:00"/>
    <d v="1900-01-08T00:00:00"/>
    <x v="0"/>
    <x v="0"/>
    <x v="2"/>
    <n v="4"/>
    <n v="12"/>
    <n v="0.33333333333333331"/>
    <s v="Plan C"/>
  </r>
  <r>
    <s v="PAT5567"/>
    <n v="74"/>
    <x v="2"/>
    <x v="5"/>
    <x v="6"/>
    <d v="2023-04-16T00:00:00"/>
    <n v="1"/>
    <x v="3"/>
    <n v="1"/>
    <s v="Dr. Patel"/>
    <n v="20545"/>
    <x v="3"/>
    <x v="0"/>
    <x v="1"/>
    <d v="2023-10-04T00:00:00"/>
    <d v="2023-11-04T18:00:00"/>
    <d v="1902-01-31T00:00:00"/>
    <x v="4"/>
    <x v="0"/>
    <x v="2"/>
    <n v="6"/>
    <n v="12"/>
    <n v="0.5"/>
    <s v="Plan C"/>
  </r>
  <r>
    <s v="PAT5568"/>
    <n v="58"/>
    <x v="0"/>
    <x v="1"/>
    <x v="271"/>
    <d v="2023-11-18T00:00:00"/>
    <n v="13"/>
    <x v="0"/>
    <n v="1"/>
    <s v="Dr. Rao"/>
    <n v="23263"/>
    <x v="1"/>
    <x v="1"/>
    <x v="0"/>
    <d v="2023-03-11T00:00:00"/>
    <d v="2023-03-11T20:00:00"/>
    <d v="1900-01-19T00:00:00"/>
    <x v="3"/>
    <x v="0"/>
    <x v="2"/>
    <n v="10"/>
    <n v="12"/>
    <n v="0.83333333333333337"/>
    <s v="Plan B"/>
  </r>
  <r>
    <s v="PAT5569"/>
    <n v="17"/>
    <x v="1"/>
    <x v="2"/>
    <x v="127"/>
    <d v="2023-05-15T00:00:00"/>
    <n v="11"/>
    <x v="4"/>
    <n v="4"/>
    <s v="Dr. Sharma"/>
    <n v="43140"/>
    <x v="1"/>
    <x v="1"/>
    <x v="1"/>
    <d v="2023-04-29T00:00:00"/>
    <d v="2023-04-29T11:00:00"/>
    <d v="1900-01-10T00:00:00"/>
    <x v="4"/>
    <x v="1"/>
    <x v="2"/>
    <n v="4"/>
    <n v="12"/>
    <n v="0.33333333333333331"/>
    <s v="Plan B"/>
  </r>
  <r>
    <s v="PAT5570"/>
    <n v="7"/>
    <x v="1"/>
    <x v="1"/>
    <x v="231"/>
    <d v="2023-02-23T00:00:00"/>
    <n v="11"/>
    <x v="2"/>
    <n v="4"/>
    <s v="Dr. Rao"/>
    <n v="48306"/>
    <x v="4"/>
    <x v="1"/>
    <x v="0"/>
    <d v="2023-12-02T00:00:00"/>
    <d v="2023-12-02T18:00:00"/>
    <d v="1900-01-17T00:00:00"/>
    <x v="3"/>
    <x v="0"/>
    <x v="2"/>
    <n v="8"/>
    <n v="10"/>
    <n v="0.8"/>
    <s v="Plan C"/>
  </r>
  <r>
    <s v="PAT5571"/>
    <n v="46"/>
    <x v="4"/>
    <x v="0"/>
    <x v="348"/>
    <d v="2023-12-28T00:00:00"/>
    <n v="6"/>
    <x v="3"/>
    <n v="2"/>
    <s v="Dr. Rao"/>
    <n v="30675"/>
    <x v="3"/>
    <x v="1"/>
    <x v="1"/>
    <d v="2023-12-17T00:00:00"/>
    <d v="2023-12-17T06:00:00"/>
    <d v="1900-01-05T00:00:00"/>
    <x v="3"/>
    <x v="0"/>
    <x v="0"/>
    <n v="4"/>
    <n v="10"/>
    <n v="0.4"/>
    <s v="Plan C"/>
  </r>
  <r>
    <s v="PAT5572"/>
    <n v="13"/>
    <x v="1"/>
    <x v="3"/>
    <x v="78"/>
    <d v="2024-03-16T00:00:00"/>
    <n v="2"/>
    <x v="5"/>
    <n v="1"/>
    <s v="Dr. Sharma"/>
    <n v="30362"/>
    <x v="3"/>
    <x v="0"/>
    <x v="1"/>
    <d v="2024-12-03T00:00:00"/>
    <d v="2024-03-13T18:00:00"/>
    <d v="1917-05-12T00:00:00"/>
    <x v="2"/>
    <x v="0"/>
    <x v="1"/>
    <n v="11"/>
    <n v="8"/>
    <n v="1.375"/>
    <s v="Plan A"/>
  </r>
  <r>
    <s v="PAT5573"/>
    <n v="40"/>
    <x v="4"/>
    <x v="2"/>
    <x v="50"/>
    <d v="2024-01-21T00:00:00"/>
    <n v="6"/>
    <x v="1"/>
    <n v="1"/>
    <s v="Dr. Rao"/>
    <n v="5148"/>
    <x v="1"/>
    <x v="1"/>
    <x v="1"/>
    <d v="2024-01-13T00:00:00"/>
    <d v="2024-01-14T00:00:00"/>
    <d v="1900-01-23T00:00:00"/>
    <x v="1"/>
    <x v="0"/>
    <x v="1"/>
    <n v="10"/>
    <n v="12"/>
    <n v="0.83333333333333337"/>
    <s v="Plan A"/>
  </r>
  <r>
    <s v="PAT5574"/>
    <n v="42"/>
    <x v="4"/>
    <x v="0"/>
    <x v="115"/>
    <d v="2023-03-14T00:00:00"/>
    <n v="2"/>
    <x v="0"/>
    <n v="5"/>
    <s v="Dr. Mehta"/>
    <n v="6754"/>
    <x v="3"/>
    <x v="1"/>
    <x v="1"/>
    <d v="2023-08-03T00:00:00"/>
    <d v="2023-08-03T17:00:00"/>
    <d v="1900-01-16T00:00:00"/>
    <x v="2"/>
    <x v="0"/>
    <x v="2"/>
    <n v="10"/>
    <n v="12"/>
    <n v="0.83333333333333337"/>
    <s v="Plan A"/>
  </r>
  <r>
    <s v="PAT5575"/>
    <n v="9"/>
    <x v="1"/>
    <x v="2"/>
    <x v="202"/>
    <d v="2024-11-06T00:00:00"/>
    <n v="9"/>
    <x v="3"/>
    <n v="5"/>
    <s v="Dr. Sharma"/>
    <n v="31745"/>
    <x v="1"/>
    <x v="1"/>
    <x v="0"/>
    <d v="2024-01-06T00:00:00"/>
    <d v="2024-01-06T06:00:00"/>
    <d v="1900-01-05T00:00:00"/>
    <x v="0"/>
    <x v="1"/>
    <x v="1"/>
    <n v="10"/>
    <n v="12"/>
    <n v="0.83333333333333337"/>
    <s v="Plan B"/>
  </r>
  <r>
    <s v="PAT5576"/>
    <n v="50"/>
    <x v="4"/>
    <x v="2"/>
    <x v="349"/>
    <d v="2023-12-27T00:00:00"/>
    <n v="11"/>
    <x v="0"/>
    <n v="2"/>
    <s v="Dr. Rao"/>
    <n v="12378"/>
    <x v="4"/>
    <x v="0"/>
    <x v="1"/>
    <d v="2023-12-15T00:00:00"/>
    <d v="2023-12-16T00:00:00"/>
    <d v="1900-01-23T00:00:00"/>
    <x v="3"/>
    <x v="0"/>
    <x v="2"/>
    <n v="9"/>
    <n v="8"/>
    <n v="1.125"/>
    <s v="Plan C"/>
  </r>
  <r>
    <s v="PAT5577"/>
    <n v="27"/>
    <x v="3"/>
    <x v="0"/>
    <x v="350"/>
    <d v="2023-01-20T00:00:00"/>
    <n v="7"/>
    <x v="3"/>
    <n v="1"/>
    <s v="Dr. Gupta"/>
    <n v="25140"/>
    <x v="1"/>
    <x v="1"/>
    <x v="0"/>
    <d v="2023-12-01T00:00:00"/>
    <d v="2023-01-13T19:00:00"/>
    <d v="1921-02-07T00:00:00"/>
    <x v="1"/>
    <x v="0"/>
    <x v="0"/>
    <n v="8"/>
    <n v="10"/>
    <n v="0.8"/>
    <s v="Plan B"/>
  </r>
  <r>
    <s v="PAT5578"/>
    <n v="66"/>
    <x v="2"/>
    <x v="5"/>
    <x v="269"/>
    <d v="2024-11-03T00:00:00"/>
    <n v="5"/>
    <x v="4"/>
    <n v="2"/>
    <s v="Dr. Rao"/>
    <n v="14371"/>
    <x v="3"/>
    <x v="1"/>
    <x v="1"/>
    <d v="2024-03-03T00:00:00"/>
    <d v="2024-04-03T18:00:00"/>
    <d v="1902-01-31T00:00:00"/>
    <x v="3"/>
    <x v="0"/>
    <x v="1"/>
    <n v="4"/>
    <n v="12"/>
    <n v="0.33333333333333331"/>
    <s v="Plan C"/>
  </r>
  <r>
    <s v="PAT5579"/>
    <n v="5"/>
    <x v="1"/>
    <x v="4"/>
    <x v="351"/>
    <d v="2024-05-21T00:00:00"/>
    <n v="5"/>
    <x v="4"/>
    <n v="5"/>
    <s v="Dr. Mehta"/>
    <n v="31999"/>
    <x v="3"/>
    <x v="1"/>
    <x v="0"/>
    <d v="2024-05-15T00:00:00"/>
    <d v="2024-05-15T11:00:00"/>
    <d v="1900-01-10T00:00:00"/>
    <x v="3"/>
    <x v="0"/>
    <x v="1"/>
    <n v="4"/>
    <n v="10"/>
    <n v="0.4"/>
    <s v="Plan A"/>
  </r>
  <r>
    <s v="PAT5580"/>
    <n v="29"/>
    <x v="3"/>
    <x v="1"/>
    <x v="100"/>
    <d v="2023-01-05T00:00:00"/>
    <n v="12"/>
    <x v="4"/>
    <n v="5"/>
    <s v="Dr. Patel"/>
    <n v="17779"/>
    <x v="1"/>
    <x v="0"/>
    <x v="0"/>
    <d v="2023-04-16T00:00:00"/>
    <d v="2023-04-16T04:00:00"/>
    <d v="1900-01-03T00:00:00"/>
    <x v="2"/>
    <x v="0"/>
    <x v="0"/>
    <n v="11"/>
    <n v="8"/>
    <n v="1.375"/>
    <s v="Plan A"/>
  </r>
  <r>
    <s v="PAT5581"/>
    <n v="37"/>
    <x v="4"/>
    <x v="2"/>
    <x v="352"/>
    <d v="2024-02-04T00:00:00"/>
    <n v="14"/>
    <x v="0"/>
    <n v="4"/>
    <s v="Dr. Rao"/>
    <n v="36075"/>
    <x v="1"/>
    <x v="1"/>
    <x v="1"/>
    <d v="2024-03-14T00:00:00"/>
    <d v="2024-03-15T02:00:00"/>
    <d v="1900-01-25T00:00:00"/>
    <x v="1"/>
    <x v="0"/>
    <x v="0"/>
    <n v="6"/>
    <n v="10"/>
    <n v="0.6"/>
    <s v="Plan A"/>
  </r>
  <r>
    <s v="PAT5582"/>
    <n v="38"/>
    <x v="4"/>
    <x v="1"/>
    <x v="39"/>
    <d v="2024-01-17T00:00:00"/>
    <n v="11"/>
    <x v="5"/>
    <n v="2"/>
    <s v="Dr. Patel"/>
    <n v="35697"/>
    <x v="1"/>
    <x v="1"/>
    <x v="0"/>
    <d v="2024-02-01T00:00:00"/>
    <d v="2024-03-01T17:00:00"/>
    <d v="1901-12-13T00:00:00"/>
    <x v="1"/>
    <x v="0"/>
    <x v="0"/>
    <n v="4"/>
    <n v="12"/>
    <n v="0.33333333333333331"/>
    <s v="Plan A"/>
  </r>
  <r>
    <s v="PAT5583"/>
    <n v="83"/>
    <x v="2"/>
    <x v="3"/>
    <x v="34"/>
    <d v="2024-04-30T00:00:00"/>
    <n v="15"/>
    <x v="4"/>
    <n v="2"/>
    <s v="Dr. Gupta"/>
    <n v="14795"/>
    <x v="0"/>
    <x v="1"/>
    <x v="1"/>
    <d v="2024-04-13T00:00:00"/>
    <d v="2024-04-13T20:00:00"/>
    <d v="1900-01-19T00:00:00"/>
    <x v="3"/>
    <x v="0"/>
    <x v="1"/>
    <n v="11"/>
    <n v="10"/>
    <n v="1.1000000000000001"/>
    <s v="Plan C"/>
  </r>
  <r>
    <s v="PAT5584"/>
    <n v="8"/>
    <x v="1"/>
    <x v="0"/>
    <x v="86"/>
    <d v="2023-06-16T00:00:00"/>
    <n v="10"/>
    <x v="3"/>
    <n v="1"/>
    <s v="Dr. Rao"/>
    <n v="43460"/>
    <x v="3"/>
    <x v="0"/>
    <x v="0"/>
    <d v="2023-03-06T00:00:00"/>
    <d v="2023-04-06T23:00:00"/>
    <d v="1902-02-05T00:00:00"/>
    <x v="1"/>
    <x v="0"/>
    <x v="1"/>
    <n v="8"/>
    <n v="10"/>
    <n v="0.8"/>
    <s v="Plan A"/>
  </r>
  <r>
    <s v="PAT5585"/>
    <n v="65"/>
    <x v="0"/>
    <x v="1"/>
    <x v="94"/>
    <d v="2024-04-04T00:00:00"/>
    <n v="14"/>
    <x v="4"/>
    <n v="1"/>
    <s v="Dr. Sharma"/>
    <n v="9218"/>
    <x v="3"/>
    <x v="1"/>
    <x v="0"/>
    <d v="2024-03-16T00:00:00"/>
    <d v="2024-03-17T21:00:00"/>
    <d v="1900-02-13T00:00:00"/>
    <x v="1"/>
    <x v="0"/>
    <x v="0"/>
    <n v="9"/>
    <n v="8"/>
    <n v="1.125"/>
    <s v="Plan C"/>
  </r>
  <r>
    <s v="PAT5586"/>
    <n v="86"/>
    <x v="2"/>
    <x v="0"/>
    <x v="293"/>
    <d v="2023-03-07T00:00:00"/>
    <n v="3"/>
    <x v="2"/>
    <n v="4"/>
    <s v="Dr. Patel"/>
    <n v="42571"/>
    <x v="0"/>
    <x v="1"/>
    <x v="0"/>
    <d v="2023-06-26T00:00:00"/>
    <d v="2023-06-26T15:00:00"/>
    <d v="1900-01-14T00:00:00"/>
    <x v="2"/>
    <x v="0"/>
    <x v="0"/>
    <n v="6"/>
    <n v="8"/>
    <n v="0.75"/>
    <s v="Plan C"/>
  </r>
  <r>
    <s v="PAT5587"/>
    <n v="17"/>
    <x v="1"/>
    <x v="1"/>
    <x v="353"/>
    <d v="2024-06-24T00:00:00"/>
    <n v="6"/>
    <x v="4"/>
    <n v="3"/>
    <s v="Dr. Gupta"/>
    <n v="16672"/>
    <x v="1"/>
    <x v="1"/>
    <x v="0"/>
    <d v="2024-06-15T00:00:00"/>
    <d v="2024-06-16T04:00:00"/>
    <d v="1900-01-27T00:00:00"/>
    <x v="4"/>
    <x v="0"/>
    <x v="0"/>
    <n v="11"/>
    <n v="8"/>
    <n v="1.375"/>
    <s v="Plan B"/>
  </r>
  <r>
    <s v="PAT5588"/>
    <n v="71"/>
    <x v="2"/>
    <x v="4"/>
    <x v="59"/>
    <d v="2023-06-10T00:00:00"/>
    <n v="2"/>
    <x v="0"/>
    <n v="3"/>
    <s v="Dr. Sharma"/>
    <n v="36042"/>
    <x v="4"/>
    <x v="1"/>
    <x v="0"/>
    <d v="2023-09-30T00:00:00"/>
    <d v="2023-01-10T18:00:00"/>
    <d v="1917-03-25T00:00:00"/>
    <x v="0"/>
    <x v="0"/>
    <x v="0"/>
    <n v="4"/>
    <n v="8"/>
    <n v="0.5"/>
    <s v="Plan A"/>
  </r>
  <r>
    <s v="PAT5589"/>
    <n v="89"/>
    <x v="2"/>
    <x v="4"/>
    <x v="354"/>
    <d v="2024-05-20T00:00:00"/>
    <n v="10"/>
    <x v="5"/>
    <n v="3"/>
    <s v="Dr. Sharma"/>
    <n v="40950"/>
    <x v="1"/>
    <x v="0"/>
    <x v="1"/>
    <d v="2024-05-05T00:00:00"/>
    <d v="2024-05-05T06:00:00"/>
    <d v="1900-01-05T00:00:00"/>
    <x v="4"/>
    <x v="0"/>
    <x v="0"/>
    <n v="6"/>
    <n v="10"/>
    <n v="0.6"/>
    <s v="Plan A"/>
  </r>
  <r>
    <s v="PAT5590"/>
    <n v="45"/>
    <x v="4"/>
    <x v="4"/>
    <x v="276"/>
    <d v="2024-02-05T00:00:00"/>
    <n v="11"/>
    <x v="2"/>
    <n v="2"/>
    <s v="Dr. Sharma"/>
    <n v="16009"/>
    <x v="1"/>
    <x v="1"/>
    <x v="1"/>
    <d v="2024-04-20T00:00:00"/>
    <d v="2024-04-21T22:00:00"/>
    <d v="1900-02-14T00:00:00"/>
    <x v="1"/>
    <x v="1"/>
    <x v="2"/>
    <n v="7"/>
    <n v="10"/>
    <n v="0.7"/>
    <s v="Plan B"/>
  </r>
  <r>
    <s v="PAT5591"/>
    <n v="4"/>
    <x v="1"/>
    <x v="4"/>
    <x v="258"/>
    <d v="2024-03-25T00:00:00"/>
    <n v="3"/>
    <x v="0"/>
    <n v="2"/>
    <s v="Dr. Sharma"/>
    <n v="24544"/>
    <x v="0"/>
    <x v="0"/>
    <x v="0"/>
    <d v="2024-03-21T00:00:00"/>
    <d v="2024-03-21T07:00:00"/>
    <d v="1900-01-06T00:00:00"/>
    <x v="3"/>
    <x v="0"/>
    <x v="0"/>
    <n v="6"/>
    <n v="8"/>
    <n v="0.75"/>
    <s v="Plan C"/>
  </r>
  <r>
    <s v="PAT5592"/>
    <n v="36"/>
    <x v="4"/>
    <x v="4"/>
    <x v="66"/>
    <d v="2023-10-17T00:00:00"/>
    <n v="15"/>
    <x v="0"/>
    <n v="5"/>
    <s v="Dr. Rao"/>
    <n v="34381"/>
    <x v="3"/>
    <x v="0"/>
    <x v="0"/>
    <d v="2023-09-27T00:00:00"/>
    <d v="2023-09-27T01:00:00"/>
    <d v="1899-12-31T00:00:00"/>
    <x v="0"/>
    <x v="0"/>
    <x v="2"/>
    <n v="10"/>
    <n v="8"/>
    <n v="1.25"/>
    <s v="Plan A"/>
  </r>
  <r>
    <s v="PAT5593"/>
    <n v="70"/>
    <x v="2"/>
    <x v="4"/>
    <x v="355"/>
    <d v="2023-03-12T00:00:00"/>
    <n v="6"/>
    <x v="0"/>
    <n v="2"/>
    <s v="Dr. Rao"/>
    <n v="30287"/>
    <x v="1"/>
    <x v="1"/>
    <x v="0"/>
    <d v="2023-11-23T00:00:00"/>
    <d v="2023-11-23T14:00:00"/>
    <d v="1900-01-13T00:00:00"/>
    <x v="0"/>
    <x v="0"/>
    <x v="1"/>
    <n v="9"/>
    <n v="12"/>
    <n v="0.75"/>
    <s v="Plan C"/>
  </r>
  <r>
    <s v="PAT5594"/>
    <n v="31"/>
    <x v="3"/>
    <x v="0"/>
    <x v="356"/>
    <d v="2023-09-14T00:00:00"/>
    <n v="5"/>
    <x v="3"/>
    <n v="2"/>
    <s v="Dr. Rao"/>
    <n v="7586"/>
    <x v="3"/>
    <x v="0"/>
    <x v="0"/>
    <d v="2023-09-09T00:00:00"/>
    <d v="2023-10-09T07:00:00"/>
    <d v="1901-12-27T00:00:00"/>
    <x v="3"/>
    <x v="0"/>
    <x v="1"/>
    <n v="10"/>
    <n v="12"/>
    <n v="0.83333333333333337"/>
    <s v="Plan B"/>
  </r>
  <r>
    <s v="PAT5595"/>
    <n v="19"/>
    <x v="3"/>
    <x v="2"/>
    <x v="357"/>
    <d v="2023-10-04T00:00:00"/>
    <n v="11"/>
    <x v="0"/>
    <n v="2"/>
    <s v="Dr. Gupta"/>
    <n v="7648"/>
    <x v="2"/>
    <x v="0"/>
    <x v="0"/>
    <d v="2023-03-26T00:00:00"/>
    <d v="2023-03-26T05:00:00"/>
    <d v="1900-01-04T00:00:00"/>
    <x v="0"/>
    <x v="0"/>
    <x v="2"/>
    <n v="7"/>
    <n v="8"/>
    <n v="0.875"/>
    <s v="Plan C"/>
  </r>
  <r>
    <s v="PAT5596"/>
    <n v="61"/>
    <x v="0"/>
    <x v="1"/>
    <x v="140"/>
    <d v="2023-10-25T00:00:00"/>
    <n v="12"/>
    <x v="3"/>
    <n v="4"/>
    <s v="Dr. Gupta"/>
    <n v="45081"/>
    <x v="3"/>
    <x v="0"/>
    <x v="0"/>
    <d v="2023-10-10T00:00:00"/>
    <d v="2023-10-10T09:00:00"/>
    <d v="1900-01-08T00:00:00"/>
    <x v="3"/>
    <x v="0"/>
    <x v="0"/>
    <n v="10"/>
    <n v="10"/>
    <n v="1"/>
    <s v="Plan A"/>
  </r>
  <r>
    <s v="PAT5597"/>
    <n v="54"/>
    <x v="0"/>
    <x v="4"/>
    <x v="358"/>
    <d v="2024-04-17T00:00:00"/>
    <n v="11"/>
    <x v="0"/>
    <n v="2"/>
    <s v="Dr. Gupta"/>
    <n v="23101"/>
    <x v="4"/>
    <x v="1"/>
    <x v="0"/>
    <d v="2024-02-04T00:00:00"/>
    <d v="2024-03-04T14:00:00"/>
    <d v="1901-12-10T00:00:00"/>
    <x v="0"/>
    <x v="0"/>
    <x v="1"/>
    <n v="7"/>
    <n v="8"/>
    <n v="0.875"/>
    <s v="Plan C"/>
  </r>
  <r>
    <s v="PAT5598"/>
    <n v="39"/>
    <x v="4"/>
    <x v="0"/>
    <x v="290"/>
    <d v="2023-09-14T00:00:00"/>
    <n v="7"/>
    <x v="1"/>
    <n v="1"/>
    <s v="Dr. Mehta"/>
    <n v="26692"/>
    <x v="4"/>
    <x v="1"/>
    <x v="0"/>
    <d v="2023-02-09T00:00:00"/>
    <d v="2023-02-09T15:00:00"/>
    <d v="1900-01-14T00:00:00"/>
    <x v="4"/>
    <x v="0"/>
    <x v="0"/>
    <n v="6"/>
    <n v="10"/>
    <n v="0.6"/>
    <s v="Plan C"/>
  </r>
  <r>
    <s v="PAT5599"/>
    <n v="74"/>
    <x v="2"/>
    <x v="0"/>
    <x v="295"/>
    <d v="2024-04-23T00:00:00"/>
    <n v="3"/>
    <x v="2"/>
    <n v="1"/>
    <s v="Dr. Gupta"/>
    <n v="12407"/>
    <x v="1"/>
    <x v="1"/>
    <x v="0"/>
    <d v="2024-04-18T00:00:00"/>
    <d v="2024-04-19T10:00:00"/>
    <d v="1900-02-02T00:00:00"/>
    <x v="0"/>
    <x v="0"/>
    <x v="0"/>
    <n v="8"/>
    <n v="10"/>
    <n v="0.8"/>
    <s v="Plan A"/>
  </r>
  <r>
    <s v="PAT5600"/>
    <n v="19"/>
    <x v="3"/>
    <x v="0"/>
    <x v="58"/>
    <d v="2024-03-02T00:00:00"/>
    <n v="10"/>
    <x v="1"/>
    <n v="5"/>
    <s v="Dr. Rao"/>
    <n v="22254"/>
    <x v="3"/>
    <x v="0"/>
    <x v="1"/>
    <d v="2024-01-24T00:00:00"/>
    <d v="2024-01-25T20:00:00"/>
    <d v="1900-02-12T00:00:00"/>
    <x v="2"/>
    <x v="0"/>
    <x v="2"/>
    <n v="9"/>
    <n v="12"/>
    <n v="0.75"/>
    <s v="Plan A"/>
  </r>
  <r>
    <s v="PAT5601"/>
    <n v="39"/>
    <x v="4"/>
    <x v="2"/>
    <x v="26"/>
    <d v="2023-12-23T00:00:00"/>
    <n v="12"/>
    <x v="0"/>
    <n v="4"/>
    <s v="Dr. Rao"/>
    <n v="20234"/>
    <x v="1"/>
    <x v="1"/>
    <x v="1"/>
    <d v="2023-07-12T00:00:00"/>
    <d v="2023-08-12T05:00:00"/>
    <d v="1902-01-18T00:00:00"/>
    <x v="3"/>
    <x v="0"/>
    <x v="1"/>
    <n v="8"/>
    <n v="8"/>
    <n v="1"/>
    <s v="Plan C"/>
  </r>
  <r>
    <s v="PAT5602"/>
    <n v="67"/>
    <x v="2"/>
    <x v="1"/>
    <x v="324"/>
    <d v="2023-01-02T00:00:00"/>
    <n v="2"/>
    <x v="2"/>
    <n v="1"/>
    <s v="Dr. Mehta"/>
    <n v="27211"/>
    <x v="0"/>
    <x v="1"/>
    <x v="0"/>
    <d v="2023-01-30T00:00:00"/>
    <d v="2023-01-30T01:00:00"/>
    <d v="1899-12-31T00:00:00"/>
    <x v="0"/>
    <x v="0"/>
    <x v="1"/>
    <n v="9"/>
    <n v="8"/>
    <n v="1.125"/>
    <s v="Plan C"/>
  </r>
  <r>
    <s v="PAT5603"/>
    <n v="45"/>
    <x v="4"/>
    <x v="2"/>
    <x v="289"/>
    <d v="2024-05-26T00:00:00"/>
    <n v="5"/>
    <x v="2"/>
    <n v="4"/>
    <s v="Dr. Mehta"/>
    <n v="34480"/>
    <x v="4"/>
    <x v="1"/>
    <x v="1"/>
    <d v="2024-05-21T00:00:00"/>
    <d v="2024-05-21T01:00:00"/>
    <d v="1899-12-31T00:00:00"/>
    <x v="3"/>
    <x v="0"/>
    <x v="2"/>
    <n v="11"/>
    <n v="10"/>
    <n v="1.1000000000000001"/>
    <s v="Plan B"/>
  </r>
  <r>
    <s v="PAT5604"/>
    <n v="13"/>
    <x v="1"/>
    <x v="5"/>
    <x v="61"/>
    <d v="2023-08-12T00:00:00"/>
    <n v="9"/>
    <x v="5"/>
    <n v="4"/>
    <s v="Dr. Gupta"/>
    <n v="29846"/>
    <x v="1"/>
    <x v="1"/>
    <x v="0"/>
    <d v="2023-11-25T00:00:00"/>
    <d v="2023-11-26T21:00:00"/>
    <d v="1900-02-13T00:00:00"/>
    <x v="2"/>
    <x v="0"/>
    <x v="0"/>
    <n v="9"/>
    <n v="8"/>
    <n v="1.125"/>
    <s v="Plan A"/>
  </r>
  <r>
    <s v="PAT5605"/>
    <n v="58"/>
    <x v="0"/>
    <x v="0"/>
    <x v="330"/>
    <d v="2023-07-13T00:00:00"/>
    <n v="7"/>
    <x v="1"/>
    <n v="5"/>
    <s v="Dr. Patel"/>
    <n v="47503"/>
    <x v="0"/>
    <x v="1"/>
    <x v="0"/>
    <d v="2023-02-07T00:00:00"/>
    <d v="2023-02-07T22:00:00"/>
    <d v="1900-01-21T00:00:00"/>
    <x v="0"/>
    <x v="0"/>
    <x v="0"/>
    <n v="10"/>
    <n v="12"/>
    <n v="0.83333333333333337"/>
    <s v="Plan C"/>
  </r>
  <r>
    <s v="PAT5606"/>
    <n v="20"/>
    <x v="3"/>
    <x v="5"/>
    <x v="322"/>
    <d v="2024-05-25T00:00:00"/>
    <n v="11"/>
    <x v="5"/>
    <n v="4"/>
    <s v="Dr. Mehta"/>
    <n v="20321"/>
    <x v="1"/>
    <x v="1"/>
    <x v="0"/>
    <d v="2024-05-13T00:00:00"/>
    <d v="2024-05-13T08:00:00"/>
    <d v="1900-01-07T00:00:00"/>
    <x v="0"/>
    <x v="0"/>
    <x v="1"/>
    <n v="10"/>
    <n v="12"/>
    <n v="0.83333333333333337"/>
    <s v="Plan A"/>
  </r>
  <r>
    <s v="PAT5607"/>
    <n v="72"/>
    <x v="2"/>
    <x v="3"/>
    <x v="70"/>
    <d v="2023-08-19T00:00:00"/>
    <n v="13"/>
    <x v="2"/>
    <n v="2"/>
    <s v="Dr. Sharma"/>
    <n v="17646"/>
    <x v="3"/>
    <x v="1"/>
    <x v="0"/>
    <d v="2023-02-08T00:00:00"/>
    <d v="2023-03-08T04:00:00"/>
    <d v="1901-11-06T00:00:00"/>
    <x v="2"/>
    <x v="0"/>
    <x v="2"/>
    <n v="8"/>
    <n v="8"/>
    <n v="1"/>
    <s v="Plan B"/>
  </r>
  <r>
    <s v="PAT5608"/>
    <n v="61"/>
    <x v="0"/>
    <x v="4"/>
    <x v="51"/>
    <d v="2024-05-01T00:00:00"/>
    <n v="6"/>
    <x v="3"/>
    <n v="4"/>
    <s v="Dr. Rao"/>
    <n v="27117"/>
    <x v="3"/>
    <x v="0"/>
    <x v="0"/>
    <d v="2023-12-26T00:00:00"/>
    <d v="2023-12-27T21:00:00"/>
    <d v="1900-02-13T00:00:00"/>
    <x v="2"/>
    <x v="0"/>
    <x v="2"/>
    <n v="5"/>
    <n v="8"/>
    <n v="0.625"/>
    <s v="Plan C"/>
  </r>
  <r>
    <s v="PAT5609"/>
    <n v="39"/>
    <x v="4"/>
    <x v="4"/>
    <x v="359"/>
    <d v="2023-06-10T00:00:00"/>
    <n v="14"/>
    <x v="2"/>
    <n v="5"/>
    <s v="Dr. Sharma"/>
    <n v="9893"/>
    <x v="3"/>
    <x v="1"/>
    <x v="0"/>
    <d v="2023-09-21T00:00:00"/>
    <d v="2023-09-21T09:00:00"/>
    <d v="1900-01-08T00:00:00"/>
    <x v="2"/>
    <x v="0"/>
    <x v="0"/>
    <n v="11"/>
    <n v="12"/>
    <n v="0.91666666666666663"/>
    <s v="Plan C"/>
  </r>
  <r>
    <s v="PAT5610"/>
    <n v="1"/>
    <x v="1"/>
    <x v="2"/>
    <x v="23"/>
    <d v="2023-12-18T00:00:00"/>
    <n v="3"/>
    <x v="5"/>
    <n v="5"/>
    <s v="Dr. Rao"/>
    <n v="14476"/>
    <x v="3"/>
    <x v="0"/>
    <x v="0"/>
    <d v="2023-12-14T00:00:00"/>
    <d v="2023-12-15T07:00:00"/>
    <d v="1900-01-30T00:00:00"/>
    <x v="3"/>
    <x v="0"/>
    <x v="0"/>
    <n v="7"/>
    <n v="8"/>
    <n v="0.875"/>
    <s v="Plan C"/>
  </r>
  <r>
    <s v="PAT5611"/>
    <n v="3"/>
    <x v="1"/>
    <x v="1"/>
    <x v="360"/>
    <d v="2023-10-25T00:00:00"/>
    <n v="11"/>
    <x v="1"/>
    <n v="5"/>
    <s v="Dr. Rao"/>
    <n v="22270"/>
    <x v="2"/>
    <x v="1"/>
    <x v="0"/>
    <d v="2023-12-10T00:00:00"/>
    <d v="2023-12-10T05:00:00"/>
    <d v="1900-01-04T00:00:00"/>
    <x v="2"/>
    <x v="1"/>
    <x v="2"/>
    <n v="10"/>
    <n v="10"/>
    <n v="1"/>
    <s v="Plan A"/>
  </r>
  <r>
    <s v="PAT5612"/>
    <n v="77"/>
    <x v="2"/>
    <x v="5"/>
    <x v="361"/>
    <d v="2023-10-22T00:00:00"/>
    <n v="12"/>
    <x v="0"/>
    <n v="1"/>
    <s v="Dr. Mehta"/>
    <n v="26702"/>
    <x v="0"/>
    <x v="1"/>
    <x v="0"/>
    <d v="2023-06-10T00:00:00"/>
    <d v="2023-06-10T15:00:00"/>
    <d v="1900-01-14T00:00:00"/>
    <x v="3"/>
    <x v="0"/>
    <x v="1"/>
    <n v="11"/>
    <n v="8"/>
    <n v="1.375"/>
    <s v="Plan B"/>
  </r>
  <r>
    <s v="PAT5613"/>
    <n v="62"/>
    <x v="0"/>
    <x v="1"/>
    <x v="362"/>
    <d v="2023-01-25T00:00:00"/>
    <n v="14"/>
    <x v="0"/>
    <n v="2"/>
    <s v="Dr. Mehta"/>
    <n v="9382"/>
    <x v="0"/>
    <x v="0"/>
    <x v="0"/>
    <d v="2023-08-01T00:00:00"/>
    <d v="2023-09-01T01:00:00"/>
    <d v="1902-01-14T00:00:00"/>
    <x v="4"/>
    <x v="0"/>
    <x v="0"/>
    <n v="10"/>
    <n v="10"/>
    <n v="1"/>
    <s v="Plan A"/>
  </r>
  <r>
    <s v="PAT5614"/>
    <n v="63"/>
    <x v="0"/>
    <x v="2"/>
    <x v="125"/>
    <d v="2024-06-25T00:00:00"/>
    <n v="12"/>
    <x v="1"/>
    <n v="1"/>
    <s v="Dr. Sharma"/>
    <n v="6785"/>
    <x v="3"/>
    <x v="0"/>
    <x v="0"/>
    <d v="2024-06-13T00:00:00"/>
    <d v="2024-06-13T06:00:00"/>
    <d v="1900-01-05T00:00:00"/>
    <x v="0"/>
    <x v="0"/>
    <x v="2"/>
    <n v="10"/>
    <n v="8"/>
    <n v="1.25"/>
    <s v="Plan C"/>
  </r>
  <r>
    <s v="PAT5615"/>
    <n v="25"/>
    <x v="3"/>
    <x v="4"/>
    <x v="363"/>
    <d v="2023-07-26T00:00:00"/>
    <n v="11"/>
    <x v="0"/>
    <n v="3"/>
    <s v="Dr. Rao"/>
    <n v="16735"/>
    <x v="2"/>
    <x v="1"/>
    <x v="0"/>
    <d v="2023-10-07T00:00:00"/>
    <d v="2023-11-07T23:00:00"/>
    <d v="1902-02-05T00:00:00"/>
    <x v="0"/>
    <x v="0"/>
    <x v="2"/>
    <n v="6"/>
    <n v="8"/>
    <n v="0.75"/>
    <s v="Plan B"/>
  </r>
  <r>
    <s v="PAT5616"/>
    <n v="56"/>
    <x v="0"/>
    <x v="1"/>
    <x v="113"/>
    <d v="2023-04-13T00:00:00"/>
    <n v="15"/>
    <x v="0"/>
    <n v="2"/>
    <s v="Dr. Sharma"/>
    <n v="35177"/>
    <x v="3"/>
    <x v="0"/>
    <x v="0"/>
    <d v="2023-03-28T00:00:00"/>
    <d v="2023-03-28T07:00:00"/>
    <d v="1900-01-06T00:00:00"/>
    <x v="1"/>
    <x v="0"/>
    <x v="2"/>
    <n v="8"/>
    <n v="12"/>
    <n v="0.66666666666666663"/>
    <s v="Plan C"/>
  </r>
  <r>
    <s v="PAT5617"/>
    <n v="33"/>
    <x v="3"/>
    <x v="1"/>
    <x v="364"/>
    <d v="2023-09-14T00:00:00"/>
    <n v="9"/>
    <x v="5"/>
    <n v="4"/>
    <s v="Dr. Patel"/>
    <n v="35712"/>
    <x v="2"/>
    <x v="0"/>
    <x v="0"/>
    <d v="2023-08-31T00:00:00"/>
    <d v="2023-08-31T07:00:00"/>
    <d v="1900-01-06T00:00:00"/>
    <x v="4"/>
    <x v="0"/>
    <x v="1"/>
    <n v="8"/>
    <n v="10"/>
    <n v="0.8"/>
    <s v="Plan C"/>
  </r>
  <r>
    <s v="PAT5618"/>
    <n v="38"/>
    <x v="4"/>
    <x v="4"/>
    <x v="145"/>
    <d v="2024-02-23T00:00:00"/>
    <n v="2"/>
    <x v="1"/>
    <n v="5"/>
    <s v="Dr. Sharma"/>
    <n v="21679"/>
    <x v="3"/>
    <x v="0"/>
    <x v="0"/>
    <d v="2024-02-17T00:00:00"/>
    <d v="2024-02-17T21:00:00"/>
    <d v="1900-01-20T00:00:00"/>
    <x v="2"/>
    <x v="1"/>
    <x v="0"/>
    <n v="10"/>
    <n v="12"/>
    <n v="0.83333333333333337"/>
    <s v="Plan A"/>
  </r>
  <r>
    <s v="PAT5619"/>
    <n v="6"/>
    <x v="1"/>
    <x v="5"/>
    <x v="106"/>
    <d v="2024-05-26T00:00:00"/>
    <n v="11"/>
    <x v="4"/>
    <n v="3"/>
    <s v="Dr. Gupta"/>
    <n v="48013"/>
    <x v="4"/>
    <x v="1"/>
    <x v="0"/>
    <d v="2024-12-05T00:00:00"/>
    <d v="2024-05-13T00:00:00"/>
    <d v="1913-07-14T00:00:00"/>
    <x v="2"/>
    <x v="0"/>
    <x v="0"/>
    <n v="6"/>
    <n v="8"/>
    <n v="0.75"/>
    <s v="Plan C"/>
  </r>
  <r>
    <s v="PAT5620"/>
    <n v="58"/>
    <x v="0"/>
    <x v="4"/>
    <x v="112"/>
    <d v="2023-09-15T00:00:00"/>
    <n v="11"/>
    <x v="3"/>
    <n v="2"/>
    <s v="Dr. Sharma"/>
    <n v="40365"/>
    <x v="4"/>
    <x v="1"/>
    <x v="0"/>
    <d v="2023-04-09T00:00:00"/>
    <d v="2023-04-09T20:00:00"/>
    <d v="1900-01-19T00:00:00"/>
    <x v="4"/>
    <x v="0"/>
    <x v="0"/>
    <n v="10"/>
    <n v="12"/>
    <n v="0.83333333333333337"/>
    <s v="Plan B"/>
  </r>
  <r>
    <s v="PAT5621"/>
    <n v="44"/>
    <x v="4"/>
    <x v="1"/>
    <x v="365"/>
    <d v="2024-09-05T00:00:00"/>
    <n v="7"/>
    <x v="3"/>
    <n v="1"/>
    <s v="Dr. Gupta"/>
    <n v="22064"/>
    <x v="1"/>
    <x v="1"/>
    <x v="0"/>
    <d v="2024-04-28T00:00:00"/>
    <d v="2024-04-28T09:00:00"/>
    <d v="1900-01-08T00:00:00"/>
    <x v="2"/>
    <x v="0"/>
    <x v="1"/>
    <n v="7"/>
    <n v="8"/>
    <n v="0.875"/>
    <s v="Plan C"/>
  </r>
  <r>
    <s v="PAT5622"/>
    <n v="45"/>
    <x v="4"/>
    <x v="5"/>
    <x v="366"/>
    <d v="2024-05-26T00:00:00"/>
    <n v="9"/>
    <x v="0"/>
    <n v="5"/>
    <s v="Dr. Gupta"/>
    <n v="35563"/>
    <x v="3"/>
    <x v="0"/>
    <x v="0"/>
    <d v="2024-05-14T00:00:00"/>
    <d v="2024-05-15T01:00:00"/>
    <d v="1900-01-24T00:00:00"/>
    <x v="1"/>
    <x v="1"/>
    <x v="0"/>
    <n v="6"/>
    <n v="8"/>
    <n v="0.75"/>
    <s v="Plan C"/>
  </r>
  <r>
    <s v="PAT5623"/>
    <n v="32"/>
    <x v="3"/>
    <x v="5"/>
    <x v="367"/>
    <d v="2024-09-04T00:00:00"/>
    <n v="6"/>
    <x v="3"/>
    <n v="1"/>
    <s v="Dr. Gupta"/>
    <n v="38092"/>
    <x v="0"/>
    <x v="1"/>
    <x v="0"/>
    <d v="2024-03-04T00:00:00"/>
    <d v="2024-03-04T09:00:00"/>
    <d v="1900-01-08T00:00:00"/>
    <x v="3"/>
    <x v="0"/>
    <x v="0"/>
    <n v="10"/>
    <n v="8"/>
    <n v="1.25"/>
    <s v="Plan A"/>
  </r>
  <r>
    <s v="PAT5624"/>
    <n v="45"/>
    <x v="4"/>
    <x v="4"/>
    <x v="368"/>
    <d v="2023-01-19T00:00:00"/>
    <n v="1"/>
    <x v="1"/>
    <n v="2"/>
    <s v="Dr. Patel"/>
    <n v="31867"/>
    <x v="1"/>
    <x v="0"/>
    <x v="0"/>
    <d v="2023-01-15T00:00:00"/>
    <d v="2023-01-16T18:00:00"/>
    <d v="1900-02-10T00:00:00"/>
    <x v="0"/>
    <x v="0"/>
    <x v="0"/>
    <n v="9"/>
    <n v="10"/>
    <n v="0.9"/>
    <s v="Plan B"/>
  </r>
  <r>
    <s v="PAT5625"/>
    <n v="61"/>
    <x v="0"/>
    <x v="1"/>
    <x v="11"/>
    <d v="2023-12-04T00:00:00"/>
    <n v="6"/>
    <x v="1"/>
    <n v="2"/>
    <s v="Dr. Sharma"/>
    <n v="38754"/>
    <x v="4"/>
    <x v="1"/>
    <x v="0"/>
    <d v="2023-05-04T00:00:00"/>
    <d v="2023-06-04T20:00:00"/>
    <d v="1902-02-02T00:00:00"/>
    <x v="4"/>
    <x v="0"/>
    <x v="0"/>
    <n v="5"/>
    <n v="10"/>
    <n v="0.5"/>
    <s v="Plan A"/>
  </r>
  <r>
    <s v="PAT5626"/>
    <n v="47"/>
    <x v="4"/>
    <x v="2"/>
    <x v="369"/>
    <d v="2023-03-11T00:00:00"/>
    <n v="5"/>
    <x v="2"/>
    <n v="3"/>
    <s v="Dr. Sharma"/>
    <n v="24502"/>
    <x v="3"/>
    <x v="1"/>
    <x v="0"/>
    <d v="2023-10-25T00:00:00"/>
    <d v="2023-10-25T10:00:00"/>
    <d v="1900-01-09T00:00:00"/>
    <x v="0"/>
    <x v="0"/>
    <x v="1"/>
    <n v="9"/>
    <n v="10"/>
    <n v="0.9"/>
    <s v="Plan C"/>
  </r>
  <r>
    <s v="PAT5627"/>
    <n v="21"/>
    <x v="3"/>
    <x v="1"/>
    <x v="370"/>
    <d v="2023-08-18T00:00:00"/>
    <n v="3"/>
    <x v="2"/>
    <n v="4"/>
    <s v="Dr. Patel"/>
    <n v="5760"/>
    <x v="1"/>
    <x v="1"/>
    <x v="1"/>
    <d v="2023-12-08T00:00:00"/>
    <d v="2023-12-08T05:00:00"/>
    <d v="1900-01-04T00:00:00"/>
    <x v="3"/>
    <x v="0"/>
    <x v="2"/>
    <n v="5"/>
    <n v="12"/>
    <n v="0.41666666666666669"/>
    <s v="Plan A"/>
  </r>
  <r>
    <s v="PAT5628"/>
    <n v="80"/>
    <x v="2"/>
    <x v="0"/>
    <x v="325"/>
    <d v="2024-02-23T00:00:00"/>
    <n v="4"/>
    <x v="3"/>
    <n v="1"/>
    <s v="Dr. Rao"/>
    <n v="29142"/>
    <x v="3"/>
    <x v="0"/>
    <x v="0"/>
    <d v="2024-02-16T00:00:00"/>
    <d v="2024-02-17T10:00:00"/>
    <d v="1900-02-02T00:00:00"/>
    <x v="4"/>
    <x v="0"/>
    <x v="2"/>
    <n v="6"/>
    <n v="8"/>
    <n v="0.75"/>
    <s v="Plan A"/>
  </r>
  <r>
    <s v="PAT5629"/>
    <n v="85"/>
    <x v="2"/>
    <x v="3"/>
    <x v="290"/>
    <d v="2023-09-13T00:00:00"/>
    <n v="6"/>
    <x v="4"/>
    <n v="3"/>
    <s v="Dr. Mehta"/>
    <n v="49653"/>
    <x v="4"/>
    <x v="1"/>
    <x v="0"/>
    <d v="2023-03-09T00:00:00"/>
    <d v="2023-04-09T13:00:00"/>
    <d v="1902-01-26T00:00:00"/>
    <x v="3"/>
    <x v="0"/>
    <x v="0"/>
    <n v="9"/>
    <n v="12"/>
    <n v="0.75"/>
    <s v="Plan A"/>
  </r>
  <r>
    <s v="PAT5630"/>
    <n v="75"/>
    <x v="2"/>
    <x v="2"/>
    <x v="371"/>
    <d v="2023-11-23T00:00:00"/>
    <n v="13"/>
    <x v="2"/>
    <n v="5"/>
    <s v="Dr. Sharma"/>
    <n v="46996"/>
    <x v="1"/>
    <x v="0"/>
    <x v="0"/>
    <d v="2023-10-11T00:00:00"/>
    <d v="2023-10-11T01:00:00"/>
    <d v="1899-12-31T00:00:00"/>
    <x v="2"/>
    <x v="0"/>
    <x v="0"/>
    <n v="7"/>
    <n v="12"/>
    <n v="0.58333333333333337"/>
    <s v="Plan A"/>
  </r>
  <r>
    <s v="PAT5631"/>
    <n v="36"/>
    <x v="4"/>
    <x v="5"/>
    <x v="342"/>
    <d v="2024-01-21T00:00:00"/>
    <n v="8"/>
    <x v="2"/>
    <n v="4"/>
    <s v="Dr. Mehta"/>
    <n v="22290"/>
    <x v="4"/>
    <x v="1"/>
    <x v="0"/>
    <d v="2024-09-01T00:00:00"/>
    <d v="2024-10-01T16:00:00"/>
    <d v="1902-01-05T00:00:00"/>
    <x v="2"/>
    <x v="0"/>
    <x v="0"/>
    <n v="11"/>
    <n v="8"/>
    <n v="1.375"/>
    <s v="Plan C"/>
  </r>
  <r>
    <s v="PAT5632"/>
    <n v="19"/>
    <x v="3"/>
    <x v="2"/>
    <x v="143"/>
    <d v="2024-03-05T00:00:00"/>
    <n v="4"/>
    <x v="1"/>
    <n v="3"/>
    <s v="Dr. Patel"/>
    <n v="10499"/>
    <x v="2"/>
    <x v="0"/>
    <x v="0"/>
    <d v="2024-04-26T00:00:00"/>
    <d v="2024-04-27T18:00:00"/>
    <d v="1900-02-10T00:00:00"/>
    <x v="2"/>
    <x v="0"/>
    <x v="1"/>
    <n v="9"/>
    <n v="12"/>
    <n v="0.75"/>
    <s v="Plan C"/>
  </r>
  <r>
    <s v="PAT5633"/>
    <n v="20"/>
    <x v="3"/>
    <x v="5"/>
    <x v="31"/>
    <d v="2023-12-23T00:00:00"/>
    <n v="4"/>
    <x v="4"/>
    <n v="1"/>
    <s v="Dr. Rao"/>
    <n v="5364"/>
    <x v="4"/>
    <x v="0"/>
    <x v="0"/>
    <d v="2023-12-14T00:00:00"/>
    <d v="2023-12-14T11:00:00"/>
    <d v="1900-01-10T00:00:00"/>
    <x v="3"/>
    <x v="0"/>
    <x v="0"/>
    <n v="8"/>
    <n v="8"/>
    <n v="1"/>
    <s v="Plan B"/>
  </r>
  <r>
    <s v="PAT5634"/>
    <n v="57"/>
    <x v="0"/>
    <x v="5"/>
    <x v="292"/>
    <d v="2024-03-14T00:00:00"/>
    <n v="3"/>
    <x v="0"/>
    <n v="2"/>
    <s v="Dr. Rao"/>
    <n v="24797"/>
    <x v="3"/>
    <x v="0"/>
    <x v="1"/>
    <d v="2024-09-03T00:00:00"/>
    <d v="2024-10-03T05:00:00"/>
    <d v="1901-12-25T00:00:00"/>
    <x v="3"/>
    <x v="1"/>
    <x v="1"/>
    <n v="11"/>
    <n v="8"/>
    <n v="1.375"/>
    <s v="Plan A"/>
  </r>
  <r>
    <s v="PAT5635"/>
    <n v="18"/>
    <x v="1"/>
    <x v="2"/>
    <x v="137"/>
    <d v="2023-08-12T00:00:00"/>
    <n v="3"/>
    <x v="3"/>
    <n v="5"/>
    <s v="Dr. Rao"/>
    <n v="45795"/>
    <x v="0"/>
    <x v="0"/>
    <x v="0"/>
    <d v="2023-11-30T00:00:00"/>
    <d v="2023-11-30T23:00:00"/>
    <d v="1900-01-22T00:00:00"/>
    <x v="3"/>
    <x v="0"/>
    <x v="0"/>
    <n v="11"/>
    <n v="8"/>
    <n v="1.375"/>
    <s v="Plan A"/>
  </r>
  <r>
    <s v="PAT5636"/>
    <n v="47"/>
    <x v="4"/>
    <x v="5"/>
    <x v="321"/>
    <d v="2023-12-29T00:00:00"/>
    <n v="2"/>
    <x v="2"/>
    <n v="1"/>
    <s v="Dr. Patel"/>
    <n v="37535"/>
    <x v="4"/>
    <x v="1"/>
    <x v="0"/>
    <d v="2023-12-27T00:00:00"/>
    <d v="2023-12-28T23:00:00"/>
    <d v="1900-02-15T00:00:00"/>
    <x v="0"/>
    <x v="0"/>
    <x v="0"/>
    <n v="5"/>
    <n v="8"/>
    <n v="0.625"/>
    <s v="Plan B"/>
  </r>
  <r>
    <s v="PAT5637"/>
    <n v="49"/>
    <x v="4"/>
    <x v="5"/>
    <x v="47"/>
    <d v="2024-04-14T00:00:00"/>
    <n v="5"/>
    <x v="4"/>
    <n v="4"/>
    <s v="Dr. Gupta"/>
    <n v="21105"/>
    <x v="0"/>
    <x v="1"/>
    <x v="1"/>
    <d v="2024-06-04T00:00:00"/>
    <d v="2024-06-04T14:00:00"/>
    <d v="1900-01-13T00:00:00"/>
    <x v="3"/>
    <x v="0"/>
    <x v="2"/>
    <n v="5"/>
    <n v="12"/>
    <n v="0.41666666666666669"/>
    <s v="Plan A"/>
  </r>
  <r>
    <s v="PAT5638"/>
    <n v="14"/>
    <x v="1"/>
    <x v="0"/>
    <x v="372"/>
    <d v="2023-10-19T00:00:00"/>
    <n v="14"/>
    <x v="4"/>
    <n v="4"/>
    <s v="Dr. Gupta"/>
    <n v="12939"/>
    <x v="2"/>
    <x v="1"/>
    <x v="1"/>
    <d v="2023-03-10T00:00:00"/>
    <d v="2023-04-10T17:00:00"/>
    <d v="1902-01-30T00:00:00"/>
    <x v="2"/>
    <x v="0"/>
    <x v="0"/>
    <n v="10"/>
    <n v="12"/>
    <n v="0.83333333333333337"/>
    <s v="Plan B"/>
  </r>
  <r>
    <s v="PAT5639"/>
    <n v="15"/>
    <x v="1"/>
    <x v="1"/>
    <x v="371"/>
    <d v="2023-11-23T00:00:00"/>
    <n v="13"/>
    <x v="3"/>
    <n v="2"/>
    <s v="Dr. Mehta"/>
    <n v="18936"/>
    <x v="1"/>
    <x v="1"/>
    <x v="0"/>
    <d v="2023-10-11T00:00:00"/>
    <d v="2023-12-11T00:00:00"/>
    <d v="1904-01-03T00:00:00"/>
    <x v="1"/>
    <x v="0"/>
    <x v="1"/>
    <n v="7"/>
    <n v="12"/>
    <n v="0.58333333333333337"/>
    <s v="Plan C"/>
  </r>
  <r>
    <s v="PAT5640"/>
    <n v="31"/>
    <x v="3"/>
    <x v="1"/>
    <x v="91"/>
    <d v="2023-09-17T00:00:00"/>
    <n v="2"/>
    <x v="4"/>
    <n v="2"/>
    <s v="Dr. Gupta"/>
    <n v="47029"/>
    <x v="1"/>
    <x v="0"/>
    <x v="0"/>
    <d v="2023-10-09T00:00:00"/>
    <d v="2023-10-09T10:00:00"/>
    <d v="1900-01-09T00:00:00"/>
    <x v="3"/>
    <x v="0"/>
    <x v="2"/>
    <n v="5"/>
    <n v="10"/>
    <n v="0.5"/>
    <s v="Plan B"/>
  </r>
  <r>
    <s v="PAT5641"/>
    <n v="1"/>
    <x v="1"/>
    <x v="3"/>
    <x v="312"/>
    <d v="2023-03-09T00:00:00"/>
    <n v="9"/>
    <x v="4"/>
    <n v="5"/>
    <s v="Dr. Gupta"/>
    <n v="20863"/>
    <x v="0"/>
    <x v="1"/>
    <x v="1"/>
    <d v="2023-08-24T00:00:00"/>
    <d v="2023-08-25T03:00:00"/>
    <d v="1900-01-26T00:00:00"/>
    <x v="1"/>
    <x v="0"/>
    <x v="1"/>
    <n v="5"/>
    <n v="12"/>
    <n v="0.41666666666666669"/>
    <s v="Plan A"/>
  </r>
  <r>
    <s v="PAT5642"/>
    <n v="54"/>
    <x v="0"/>
    <x v="3"/>
    <x v="127"/>
    <d v="2023-05-17T00:00:00"/>
    <n v="13"/>
    <x v="4"/>
    <n v="5"/>
    <s v="Dr. Rao"/>
    <n v="17561"/>
    <x v="1"/>
    <x v="1"/>
    <x v="0"/>
    <d v="2023-04-30T00:00:00"/>
    <d v="2023-01-05T16:00:00"/>
    <d v="1907-07-06T00:00:00"/>
    <x v="2"/>
    <x v="0"/>
    <x v="2"/>
    <n v="10"/>
    <n v="12"/>
    <n v="0.83333333333333337"/>
    <s v="Plan B"/>
  </r>
  <r>
    <s v="PAT5643"/>
    <n v="3"/>
    <x v="1"/>
    <x v="0"/>
    <x v="250"/>
    <d v="2023-07-26T00:00:00"/>
    <n v="9"/>
    <x v="2"/>
    <n v="2"/>
    <s v="Dr. Rao"/>
    <n v="15447"/>
    <x v="4"/>
    <x v="1"/>
    <x v="0"/>
    <d v="2023-07-17T00:00:00"/>
    <d v="2023-07-18T20:00:00"/>
    <d v="1900-02-12T00:00:00"/>
    <x v="3"/>
    <x v="0"/>
    <x v="1"/>
    <n v="7"/>
    <n v="10"/>
    <n v="0.7"/>
    <s v="Plan C"/>
  </r>
  <r>
    <s v="PAT5644"/>
    <n v="16"/>
    <x v="1"/>
    <x v="3"/>
    <x v="64"/>
    <d v="2023-04-12T00:00:00"/>
    <n v="14"/>
    <x v="3"/>
    <n v="2"/>
    <s v="Dr. Mehta"/>
    <n v="35624"/>
    <x v="0"/>
    <x v="1"/>
    <x v="0"/>
    <d v="2023-11-20T00:00:00"/>
    <d v="2023-11-21T05:00:00"/>
    <d v="1900-01-28T00:00:00"/>
    <x v="0"/>
    <x v="0"/>
    <x v="2"/>
    <n v="9"/>
    <n v="8"/>
    <n v="1.125"/>
    <s v="Plan A"/>
  </r>
  <r>
    <s v="PAT5645"/>
    <n v="87"/>
    <x v="2"/>
    <x v="2"/>
    <x v="188"/>
    <d v="2023-05-15T00:00:00"/>
    <n v="12"/>
    <x v="4"/>
    <n v="4"/>
    <s v="Dr. Sharma"/>
    <n v="49646"/>
    <x v="3"/>
    <x v="1"/>
    <x v="0"/>
    <d v="2023-04-30T00:00:00"/>
    <d v="2023-04-30T14:00:00"/>
    <d v="1900-01-13T00:00:00"/>
    <x v="0"/>
    <x v="0"/>
    <x v="1"/>
    <n v="6"/>
    <n v="8"/>
    <n v="0.75"/>
    <s v="Plan C"/>
  </r>
  <r>
    <s v="PAT5646"/>
    <n v="57"/>
    <x v="0"/>
    <x v="4"/>
    <x v="373"/>
    <d v="2023-07-24T00:00:00"/>
    <n v="15"/>
    <x v="4"/>
    <n v="2"/>
    <s v="Dr. Mehta"/>
    <n v="17411"/>
    <x v="4"/>
    <x v="0"/>
    <x v="0"/>
    <d v="2023-07-07T00:00:00"/>
    <d v="2023-07-07T06:00:00"/>
    <d v="1900-01-05T00:00:00"/>
    <x v="1"/>
    <x v="0"/>
    <x v="1"/>
    <n v="9"/>
    <n v="8"/>
    <n v="1.125"/>
    <s v="Plan C"/>
  </r>
  <r>
    <s v="PAT5647"/>
    <n v="75"/>
    <x v="2"/>
    <x v="4"/>
    <x v="40"/>
    <d v="2023-07-25T00:00:00"/>
    <n v="9"/>
    <x v="2"/>
    <n v="3"/>
    <s v="Dr. Mehta"/>
    <n v="24465"/>
    <x v="4"/>
    <x v="1"/>
    <x v="0"/>
    <d v="2023-11-07T00:00:00"/>
    <d v="2023-11-07T07:00:00"/>
    <d v="1900-01-06T00:00:00"/>
    <x v="0"/>
    <x v="1"/>
    <x v="0"/>
    <n v="8"/>
    <n v="10"/>
    <n v="0.8"/>
    <s v="Plan B"/>
  </r>
  <r>
    <s v="PAT5648"/>
    <n v="12"/>
    <x v="1"/>
    <x v="4"/>
    <x v="374"/>
    <d v="2023-11-08T00:00:00"/>
    <n v="1"/>
    <x v="3"/>
    <n v="1"/>
    <s v="Dr. Patel"/>
    <n v="43216"/>
    <x v="4"/>
    <x v="1"/>
    <x v="0"/>
    <d v="2023-10-08T00:00:00"/>
    <d v="2023-10-08T09:00:00"/>
    <d v="1900-01-08T00:00:00"/>
    <x v="0"/>
    <x v="0"/>
    <x v="2"/>
    <n v="8"/>
    <n v="12"/>
    <n v="0.66666666666666663"/>
    <s v="Plan C"/>
  </r>
  <r>
    <s v="PAT5649"/>
    <n v="74"/>
    <x v="2"/>
    <x v="0"/>
    <x v="354"/>
    <d v="2024-05-21T00:00:00"/>
    <n v="11"/>
    <x v="1"/>
    <n v="2"/>
    <s v="Dr. Patel"/>
    <n v="24642"/>
    <x v="3"/>
    <x v="1"/>
    <x v="0"/>
    <d v="2024-06-05T00:00:00"/>
    <d v="2024-06-05T08:00:00"/>
    <d v="1900-01-07T00:00:00"/>
    <x v="0"/>
    <x v="0"/>
    <x v="2"/>
    <n v="5"/>
    <n v="12"/>
    <n v="0.41666666666666669"/>
    <s v="Plan A"/>
  </r>
  <r>
    <s v="PAT5650"/>
    <n v="16"/>
    <x v="1"/>
    <x v="0"/>
    <x v="219"/>
    <d v="2023-10-17T00:00:00"/>
    <n v="6"/>
    <x v="2"/>
    <n v="5"/>
    <s v="Dr. Mehta"/>
    <n v="36262"/>
    <x v="2"/>
    <x v="0"/>
    <x v="1"/>
    <d v="2023-11-10T00:00:00"/>
    <d v="2023-12-10T14:00:00"/>
    <d v="1902-01-03T00:00:00"/>
    <x v="2"/>
    <x v="0"/>
    <x v="0"/>
    <n v="11"/>
    <n v="12"/>
    <n v="0.91666666666666663"/>
    <s v="Plan C"/>
  </r>
  <r>
    <s v="PAT5651"/>
    <n v="72"/>
    <x v="2"/>
    <x v="5"/>
    <x v="375"/>
    <d v="2024-06-07T00:00:00"/>
    <n v="15"/>
    <x v="3"/>
    <n v="3"/>
    <s v="Dr. Mehta"/>
    <n v="35363"/>
    <x v="1"/>
    <x v="1"/>
    <x v="0"/>
    <d v="2024-06-21T00:00:00"/>
    <d v="2024-06-22T23:00:00"/>
    <d v="1900-02-15T00:00:00"/>
    <x v="0"/>
    <x v="0"/>
    <x v="1"/>
    <n v="8"/>
    <n v="12"/>
    <n v="0.66666666666666663"/>
    <s v="Plan C"/>
  </r>
  <r>
    <s v="PAT5652"/>
    <n v="76"/>
    <x v="2"/>
    <x v="4"/>
    <x v="376"/>
    <d v="2023-10-30T00:00:00"/>
    <n v="13"/>
    <x v="4"/>
    <n v="5"/>
    <s v="Dr. Mehta"/>
    <n v="7107"/>
    <x v="0"/>
    <x v="0"/>
    <x v="1"/>
    <d v="2023-10-14T00:00:00"/>
    <d v="2023-10-15T01:00:00"/>
    <d v="1900-01-24T00:00:00"/>
    <x v="4"/>
    <x v="0"/>
    <x v="1"/>
    <n v="6"/>
    <n v="10"/>
    <n v="0.6"/>
    <s v="Plan B"/>
  </r>
  <r>
    <s v="PAT5653"/>
    <n v="24"/>
    <x v="3"/>
    <x v="2"/>
    <x v="200"/>
    <d v="2023-04-23T00:00:00"/>
    <n v="10"/>
    <x v="3"/>
    <n v="3"/>
    <s v="Dr. Gupta"/>
    <n v="12928"/>
    <x v="2"/>
    <x v="1"/>
    <x v="1"/>
    <d v="2023-04-13T00:00:00"/>
    <d v="2023-04-13T23:00:00"/>
    <d v="1900-01-22T00:00:00"/>
    <x v="3"/>
    <x v="0"/>
    <x v="2"/>
    <n v="5"/>
    <n v="12"/>
    <n v="0.41666666666666669"/>
    <s v="Plan C"/>
  </r>
  <r>
    <s v="PAT5654"/>
    <n v="28"/>
    <x v="3"/>
    <x v="3"/>
    <x v="377"/>
    <d v="2023-07-21T00:00:00"/>
    <n v="3"/>
    <x v="3"/>
    <n v="2"/>
    <s v="Dr. Patel"/>
    <n v="24317"/>
    <x v="0"/>
    <x v="1"/>
    <x v="1"/>
    <d v="2023-07-16T00:00:00"/>
    <d v="2023-07-17T04:00:00"/>
    <d v="1900-01-27T00:00:00"/>
    <x v="0"/>
    <x v="0"/>
    <x v="1"/>
    <n v="10"/>
    <n v="8"/>
    <n v="1.25"/>
    <s v="Plan B"/>
  </r>
  <r>
    <s v="PAT5655"/>
    <n v="8"/>
    <x v="1"/>
    <x v="2"/>
    <x v="177"/>
    <d v="2023-10-11T00:00:00"/>
    <n v="10"/>
    <x v="0"/>
    <n v="1"/>
    <s v="Dr. Mehta"/>
    <n v="30017"/>
    <x v="1"/>
    <x v="1"/>
    <x v="1"/>
    <d v="2023-10-28T00:00:00"/>
    <d v="2023-10-28T21:00:00"/>
    <d v="1900-01-20T00:00:00"/>
    <x v="0"/>
    <x v="0"/>
    <x v="2"/>
    <n v="8"/>
    <n v="10"/>
    <n v="0.8"/>
    <s v="Plan B"/>
  </r>
  <r>
    <s v="PAT5656"/>
    <n v="36"/>
    <x v="4"/>
    <x v="3"/>
    <x v="378"/>
    <d v="2023-08-28T00:00:00"/>
    <n v="7"/>
    <x v="3"/>
    <n v="5"/>
    <s v="Dr. Rao"/>
    <n v="18528"/>
    <x v="3"/>
    <x v="1"/>
    <x v="0"/>
    <d v="2023-08-20T00:00:00"/>
    <d v="2023-08-20T09:00:00"/>
    <d v="1900-01-08T00:00:00"/>
    <x v="0"/>
    <x v="0"/>
    <x v="2"/>
    <n v="11"/>
    <n v="10"/>
    <n v="1.1000000000000001"/>
    <s v="Plan A"/>
  </r>
  <r>
    <s v="PAT5657"/>
    <n v="8"/>
    <x v="1"/>
    <x v="4"/>
    <x v="379"/>
    <d v="2024-08-01T00:00:00"/>
    <n v="3"/>
    <x v="1"/>
    <n v="3"/>
    <s v="Dr. Rao"/>
    <n v="18313"/>
    <x v="4"/>
    <x v="0"/>
    <x v="1"/>
    <d v="2024-04-01T00:00:00"/>
    <d v="2024-04-01T16:00:00"/>
    <d v="1900-01-15T00:00:00"/>
    <x v="4"/>
    <x v="0"/>
    <x v="1"/>
    <n v="10"/>
    <n v="8"/>
    <n v="1.25"/>
    <s v="Plan A"/>
  </r>
  <r>
    <s v="PAT5658"/>
    <n v="58"/>
    <x v="0"/>
    <x v="4"/>
    <x v="237"/>
    <d v="2023-06-07T00:00:00"/>
    <n v="3"/>
    <x v="3"/>
    <n v="4"/>
    <s v="Dr. Gupta"/>
    <n v="6559"/>
    <x v="4"/>
    <x v="1"/>
    <x v="0"/>
    <d v="2023-06-28T00:00:00"/>
    <d v="2023-06-28T18:00:00"/>
    <d v="1900-01-17T00:00:00"/>
    <x v="0"/>
    <x v="0"/>
    <x v="1"/>
    <n v="4"/>
    <n v="8"/>
    <n v="0.5"/>
    <s v="Plan A"/>
  </r>
  <r>
    <s v="PAT5659"/>
    <n v="60"/>
    <x v="0"/>
    <x v="4"/>
    <x v="206"/>
    <d v="2023-09-11T00:00:00"/>
    <n v="3"/>
    <x v="1"/>
    <n v="2"/>
    <s v="Dr. Gupta"/>
    <n v="20167"/>
    <x v="3"/>
    <x v="1"/>
    <x v="0"/>
    <d v="2023-01-11T00:00:00"/>
    <d v="2023-02-11T18:00:00"/>
    <d v="1902-01-31T00:00:00"/>
    <x v="0"/>
    <x v="0"/>
    <x v="1"/>
    <n v="4"/>
    <n v="12"/>
    <n v="0.33333333333333331"/>
    <s v="Plan A"/>
  </r>
  <r>
    <s v="PAT5660"/>
    <n v="50"/>
    <x v="4"/>
    <x v="0"/>
    <x v="380"/>
    <d v="2023-01-29T00:00:00"/>
    <n v="14"/>
    <x v="4"/>
    <n v="1"/>
    <s v="Dr. Sharma"/>
    <n v="20343"/>
    <x v="2"/>
    <x v="0"/>
    <x v="0"/>
    <d v="2023-10-01T00:00:00"/>
    <d v="2023-10-01T06:00:00"/>
    <d v="1900-01-05T00:00:00"/>
    <x v="3"/>
    <x v="0"/>
    <x v="0"/>
    <n v="4"/>
    <n v="8"/>
    <n v="0.5"/>
    <s v="Plan B"/>
  </r>
  <r>
    <s v="PAT5661"/>
    <n v="28"/>
    <x v="3"/>
    <x v="3"/>
    <x v="340"/>
    <d v="2023-05-22T00:00:00"/>
    <n v="12"/>
    <x v="1"/>
    <n v="2"/>
    <s v="Dr. Sharma"/>
    <n v="43598"/>
    <x v="2"/>
    <x v="1"/>
    <x v="1"/>
    <d v="2023-07-05T00:00:00"/>
    <d v="2023-07-05T16:00:00"/>
    <d v="1900-01-15T00:00:00"/>
    <x v="4"/>
    <x v="0"/>
    <x v="2"/>
    <n v="10"/>
    <n v="10"/>
    <n v="1"/>
    <s v="Plan C"/>
  </r>
  <r>
    <s v="PAT5662"/>
    <n v="41"/>
    <x v="4"/>
    <x v="0"/>
    <x v="381"/>
    <d v="2023-10-21T00:00:00"/>
    <n v="13"/>
    <x v="4"/>
    <n v="4"/>
    <s v="Dr. Sharma"/>
    <n v="12523"/>
    <x v="0"/>
    <x v="1"/>
    <x v="0"/>
    <d v="2023-06-10T00:00:00"/>
    <d v="2023-07-10T12:00:00"/>
    <d v="1902-01-01T00:00:00"/>
    <x v="4"/>
    <x v="0"/>
    <x v="1"/>
    <n v="4"/>
    <n v="10"/>
    <n v="0.4"/>
    <s v="Plan A"/>
  </r>
  <r>
    <s v="PAT5663"/>
    <n v="64"/>
    <x v="0"/>
    <x v="0"/>
    <x v="42"/>
    <d v="2023-02-26T00:00:00"/>
    <n v="10"/>
    <x v="4"/>
    <n v="1"/>
    <s v="Dr. Gupta"/>
    <n v="33439"/>
    <x v="3"/>
    <x v="0"/>
    <x v="0"/>
    <d v="2023-02-13T00:00:00"/>
    <d v="2023-02-14T15:00:00"/>
    <d v="1900-02-07T00:00:00"/>
    <x v="0"/>
    <x v="0"/>
    <x v="0"/>
    <n v="9"/>
    <n v="10"/>
    <n v="0.9"/>
    <s v="Plan A"/>
  </r>
  <r>
    <s v="PAT5664"/>
    <n v="27"/>
    <x v="3"/>
    <x v="1"/>
    <x v="152"/>
    <d v="2023-10-03T00:00:00"/>
    <n v="13"/>
    <x v="1"/>
    <n v="4"/>
    <s v="Dr. Gupta"/>
    <n v="20524"/>
    <x v="2"/>
    <x v="1"/>
    <x v="0"/>
    <d v="2023-02-22T00:00:00"/>
    <d v="2023-02-23T15:00:00"/>
    <d v="1900-02-07T00:00:00"/>
    <x v="4"/>
    <x v="0"/>
    <x v="1"/>
    <n v="4"/>
    <n v="12"/>
    <n v="0.33333333333333331"/>
    <s v="Plan A"/>
  </r>
  <r>
    <s v="PAT5665"/>
    <n v="63"/>
    <x v="0"/>
    <x v="2"/>
    <x v="382"/>
    <d v="2023-11-11T00:00:00"/>
    <n v="15"/>
    <x v="2"/>
    <n v="2"/>
    <s v="Dr. Gupta"/>
    <n v="18285"/>
    <x v="3"/>
    <x v="0"/>
    <x v="0"/>
    <d v="2023-10-24T00:00:00"/>
    <d v="2023-10-25T23:00:00"/>
    <d v="1900-02-15T00:00:00"/>
    <x v="1"/>
    <x v="0"/>
    <x v="2"/>
    <n v="5"/>
    <n v="12"/>
    <n v="0.41666666666666669"/>
    <s v="Plan C"/>
  </r>
  <r>
    <s v="PAT5666"/>
    <n v="17"/>
    <x v="1"/>
    <x v="2"/>
    <x v="340"/>
    <d v="2023-05-13T00:00:00"/>
    <n v="3"/>
    <x v="5"/>
    <n v="3"/>
    <s v="Dr. Rao"/>
    <n v="15973"/>
    <x v="1"/>
    <x v="1"/>
    <x v="0"/>
    <d v="2023-07-05T00:00:00"/>
    <d v="2023-08-05T15:00:00"/>
    <d v="1902-01-28T00:00:00"/>
    <x v="4"/>
    <x v="0"/>
    <x v="0"/>
    <n v="7"/>
    <n v="8"/>
    <n v="0.875"/>
    <s v="Plan A"/>
  </r>
  <r>
    <s v="PAT5667"/>
    <n v="73"/>
    <x v="2"/>
    <x v="5"/>
    <x v="366"/>
    <d v="2024-05-29T00:00:00"/>
    <n v="12"/>
    <x v="3"/>
    <n v="2"/>
    <s v="Dr. Gupta"/>
    <n v="27694"/>
    <x v="4"/>
    <x v="0"/>
    <x v="0"/>
    <d v="2024-05-17T00:00:00"/>
    <d v="2024-05-17T19:00:00"/>
    <d v="1900-01-18T00:00:00"/>
    <x v="4"/>
    <x v="0"/>
    <x v="2"/>
    <n v="9"/>
    <n v="12"/>
    <n v="0.75"/>
    <s v="Plan C"/>
  </r>
  <r>
    <s v="PAT5668"/>
    <n v="33"/>
    <x v="3"/>
    <x v="0"/>
    <x v="234"/>
    <d v="2023-04-24T00:00:00"/>
    <n v="8"/>
    <x v="0"/>
    <n v="2"/>
    <s v="Dr. Rao"/>
    <n v="40774"/>
    <x v="4"/>
    <x v="1"/>
    <x v="0"/>
    <d v="2023-11-04T00:00:00"/>
    <d v="2023-12-04T21:00:00"/>
    <d v="1902-01-10T00:00:00"/>
    <x v="4"/>
    <x v="0"/>
    <x v="1"/>
    <n v="11"/>
    <n v="12"/>
    <n v="0.91666666666666663"/>
    <s v="Plan B"/>
  </r>
  <r>
    <s v="PAT5669"/>
    <n v="84"/>
    <x v="2"/>
    <x v="3"/>
    <x v="350"/>
    <d v="2023-01-14T00:00:00"/>
    <n v="1"/>
    <x v="5"/>
    <n v="2"/>
    <s v="Dr. Sharma"/>
    <n v="9302"/>
    <x v="4"/>
    <x v="0"/>
    <x v="0"/>
    <d v="2023-08-01T00:00:00"/>
    <d v="2023-08-01T02:00:00"/>
    <d v="1900-01-01T00:00:00"/>
    <x v="2"/>
    <x v="0"/>
    <x v="1"/>
    <n v="7"/>
    <n v="10"/>
    <n v="0.7"/>
    <s v="Plan B"/>
  </r>
  <r>
    <s v="PAT5670"/>
    <n v="77"/>
    <x v="2"/>
    <x v="1"/>
    <x v="205"/>
    <d v="2023-10-26T00:00:00"/>
    <n v="7"/>
    <x v="3"/>
    <n v="5"/>
    <s v="Dr. Sharma"/>
    <n v="27391"/>
    <x v="3"/>
    <x v="1"/>
    <x v="1"/>
    <d v="2023-10-15T00:00:00"/>
    <d v="2023-10-16T19:00:00"/>
    <d v="1900-02-11T00:00:00"/>
    <x v="2"/>
    <x v="0"/>
    <x v="1"/>
    <n v="5"/>
    <n v="10"/>
    <n v="0.5"/>
    <s v="Plan B"/>
  </r>
  <r>
    <s v="PAT5671"/>
    <n v="29"/>
    <x v="3"/>
    <x v="1"/>
    <x v="383"/>
    <d v="2024-01-05T00:00:00"/>
    <n v="6"/>
    <x v="3"/>
    <n v="4"/>
    <s v="Dr. Sharma"/>
    <n v="9611"/>
    <x v="3"/>
    <x v="0"/>
    <x v="0"/>
    <d v="2024-04-24T00:00:00"/>
    <d v="2024-04-24T20:00:00"/>
    <d v="1900-01-19T00:00:00"/>
    <x v="2"/>
    <x v="0"/>
    <x v="0"/>
    <n v="11"/>
    <n v="8"/>
    <n v="1.375"/>
    <s v="Plan C"/>
  </r>
  <r>
    <s v="PAT5672"/>
    <n v="13"/>
    <x v="1"/>
    <x v="2"/>
    <x v="384"/>
    <d v="2024-05-16T00:00:00"/>
    <n v="11"/>
    <x v="4"/>
    <n v="4"/>
    <s v="Dr. Mehta"/>
    <n v="14372"/>
    <x v="0"/>
    <x v="1"/>
    <x v="1"/>
    <d v="2024-04-30T00:00:00"/>
    <d v="2024-04-30T14:00:00"/>
    <d v="1900-01-13T00:00:00"/>
    <x v="4"/>
    <x v="0"/>
    <x v="0"/>
    <n v="5"/>
    <n v="10"/>
    <n v="0.5"/>
    <s v="Plan A"/>
  </r>
  <r>
    <s v="PAT5673"/>
    <n v="46"/>
    <x v="4"/>
    <x v="0"/>
    <x v="385"/>
    <d v="2024-08-04T00:00:00"/>
    <n v="12"/>
    <x v="3"/>
    <n v="4"/>
    <s v="Dr. Mehta"/>
    <n v="29312"/>
    <x v="4"/>
    <x v="1"/>
    <x v="0"/>
    <d v="2024-03-25T00:00:00"/>
    <d v="2024-03-26T10:00:00"/>
    <d v="1900-02-02T00:00:00"/>
    <x v="1"/>
    <x v="0"/>
    <x v="0"/>
    <n v="6"/>
    <n v="12"/>
    <n v="0.5"/>
    <s v="Plan A"/>
  </r>
  <r>
    <s v="PAT5674"/>
    <n v="35"/>
    <x v="3"/>
    <x v="5"/>
    <x v="23"/>
    <d v="2023-12-19T00:00:00"/>
    <n v="4"/>
    <x v="0"/>
    <n v="5"/>
    <s v="Dr. Patel"/>
    <n v="19080"/>
    <x v="0"/>
    <x v="1"/>
    <x v="0"/>
    <d v="2023-12-15T00:00:00"/>
    <d v="2023-12-16T15:00:00"/>
    <d v="1900-02-07T00:00:00"/>
    <x v="4"/>
    <x v="0"/>
    <x v="0"/>
    <n v="11"/>
    <n v="8"/>
    <n v="1.375"/>
    <s v="Plan A"/>
  </r>
  <r>
    <s v="PAT5675"/>
    <n v="6"/>
    <x v="1"/>
    <x v="0"/>
    <x v="386"/>
    <d v="2023-07-16T00:00:00"/>
    <n v="8"/>
    <x v="3"/>
    <n v="3"/>
    <s v="Dr. Patel"/>
    <n v="20082"/>
    <x v="4"/>
    <x v="0"/>
    <x v="0"/>
    <d v="2023-07-07T00:00:00"/>
    <d v="2023-08-07T09:00:00"/>
    <d v="1902-01-22T00:00:00"/>
    <x v="0"/>
    <x v="0"/>
    <x v="1"/>
    <n v="9"/>
    <n v="8"/>
    <n v="1.125"/>
    <s v="Plan A"/>
  </r>
  <r>
    <s v="PAT5676"/>
    <n v="82"/>
    <x v="2"/>
    <x v="4"/>
    <x v="218"/>
    <d v="2023-04-03T00:00:00"/>
    <n v="10"/>
    <x v="1"/>
    <n v="2"/>
    <s v="Dr. Patel"/>
    <n v="47861"/>
    <x v="0"/>
    <x v="0"/>
    <x v="0"/>
    <d v="2023-02-18T00:00:00"/>
    <d v="2023-02-18T13:00:00"/>
    <d v="1900-01-12T00:00:00"/>
    <x v="1"/>
    <x v="0"/>
    <x v="1"/>
    <n v="7"/>
    <n v="10"/>
    <n v="0.7"/>
    <s v="Plan A"/>
  </r>
  <r>
    <s v="PAT5677"/>
    <n v="69"/>
    <x v="2"/>
    <x v="0"/>
    <x v="335"/>
    <d v="2023-09-21T00:00:00"/>
    <n v="5"/>
    <x v="5"/>
    <n v="3"/>
    <s v="Dr. Mehta"/>
    <n v="35677"/>
    <x v="0"/>
    <x v="1"/>
    <x v="0"/>
    <d v="2023-09-13T00:00:00"/>
    <d v="2023-09-15T00:00:00"/>
    <d v="1900-02-16T00:00:00"/>
    <x v="2"/>
    <x v="0"/>
    <x v="1"/>
    <n v="4"/>
    <n v="10"/>
    <n v="0.4"/>
    <s v="Plan C"/>
  </r>
  <r>
    <s v="PAT5678"/>
    <n v="47"/>
    <x v="4"/>
    <x v="4"/>
    <x v="387"/>
    <d v="2024-05-17T00:00:00"/>
    <n v="13"/>
    <x v="1"/>
    <n v="5"/>
    <s v="Dr. Mehta"/>
    <n v="25874"/>
    <x v="1"/>
    <x v="1"/>
    <x v="0"/>
    <d v="2024-04-30T00:00:00"/>
    <d v="2024-01-05T02:00:00"/>
    <d v="1907-08-13T00:00:00"/>
    <x v="3"/>
    <x v="1"/>
    <x v="0"/>
    <n v="5"/>
    <n v="10"/>
    <n v="0.5"/>
    <s v="Plan B"/>
  </r>
  <r>
    <s v="PAT5679"/>
    <n v="25"/>
    <x v="3"/>
    <x v="4"/>
    <x v="388"/>
    <d v="2023-09-05T00:00:00"/>
    <n v="12"/>
    <x v="0"/>
    <n v="4"/>
    <s v="Dr. Patel"/>
    <n v="13378"/>
    <x v="0"/>
    <x v="0"/>
    <x v="0"/>
    <d v="2023-04-26T00:00:00"/>
    <d v="2023-04-26T19:00:00"/>
    <d v="1900-01-18T00:00:00"/>
    <x v="1"/>
    <x v="1"/>
    <x v="0"/>
    <n v="4"/>
    <n v="8"/>
    <n v="0.5"/>
    <s v="Plan A"/>
  </r>
  <r>
    <s v="PAT5680"/>
    <n v="66"/>
    <x v="2"/>
    <x v="5"/>
    <x v="389"/>
    <d v="2023-03-21T00:00:00"/>
    <n v="13"/>
    <x v="3"/>
    <n v="2"/>
    <s v="Dr. Patel"/>
    <n v="6597"/>
    <x v="3"/>
    <x v="1"/>
    <x v="0"/>
    <d v="2023-03-03T00:00:00"/>
    <d v="2023-04-03T18:00:00"/>
    <d v="1902-01-31T00:00:00"/>
    <x v="2"/>
    <x v="0"/>
    <x v="1"/>
    <n v="11"/>
    <n v="10"/>
    <n v="1.1000000000000001"/>
    <s v="Plan B"/>
  </r>
  <r>
    <s v="PAT5681"/>
    <n v="10"/>
    <x v="1"/>
    <x v="3"/>
    <x v="65"/>
    <d v="2024-02-23T00:00:00"/>
    <n v="8"/>
    <x v="0"/>
    <n v="1"/>
    <s v="Dr. Gupta"/>
    <n v="16600"/>
    <x v="0"/>
    <x v="0"/>
    <x v="1"/>
    <d v="2024-02-14T00:00:00"/>
    <d v="2024-02-14T04:00:00"/>
    <d v="1900-01-03T00:00:00"/>
    <x v="1"/>
    <x v="0"/>
    <x v="1"/>
    <n v="7"/>
    <n v="12"/>
    <n v="0.58333333333333337"/>
    <s v="Plan C"/>
  </r>
  <r>
    <s v="PAT5682"/>
    <n v="56"/>
    <x v="0"/>
    <x v="2"/>
    <x v="390"/>
    <d v="2024-05-22T00:00:00"/>
    <n v="4"/>
    <x v="4"/>
    <n v="1"/>
    <s v="Dr. Patel"/>
    <n v="8747"/>
    <x v="4"/>
    <x v="1"/>
    <x v="0"/>
    <d v="2024-05-18T00:00:00"/>
    <d v="2024-05-18T16:00:00"/>
    <d v="1900-01-15T00:00:00"/>
    <x v="1"/>
    <x v="0"/>
    <x v="0"/>
    <n v="10"/>
    <n v="8"/>
    <n v="1.25"/>
    <s v="Plan C"/>
  </r>
  <r>
    <s v="PAT5683"/>
    <n v="30"/>
    <x v="3"/>
    <x v="0"/>
    <x v="201"/>
    <d v="2023-03-26T00:00:00"/>
    <n v="9"/>
    <x v="1"/>
    <n v="3"/>
    <s v="Dr. Gupta"/>
    <n v="18879"/>
    <x v="0"/>
    <x v="0"/>
    <x v="0"/>
    <d v="2023-03-17T00:00:00"/>
    <d v="2023-03-18T08:00:00"/>
    <d v="1900-01-31T00:00:00"/>
    <x v="4"/>
    <x v="0"/>
    <x v="2"/>
    <n v="9"/>
    <n v="10"/>
    <n v="0.9"/>
    <s v="Plan A"/>
  </r>
  <r>
    <s v="PAT5684"/>
    <n v="5"/>
    <x v="1"/>
    <x v="4"/>
    <x v="391"/>
    <d v="2023-02-28T00:00:00"/>
    <n v="4"/>
    <x v="1"/>
    <n v="4"/>
    <s v="Dr. Rao"/>
    <n v="18017"/>
    <x v="2"/>
    <x v="1"/>
    <x v="1"/>
    <d v="2023-02-22T00:00:00"/>
    <d v="2023-02-23T01:00:00"/>
    <d v="1900-01-24T00:00:00"/>
    <x v="0"/>
    <x v="0"/>
    <x v="1"/>
    <n v="8"/>
    <n v="12"/>
    <n v="0.66666666666666663"/>
    <s v="Plan C"/>
  </r>
  <r>
    <s v="PAT5685"/>
    <n v="33"/>
    <x v="3"/>
    <x v="0"/>
    <x v="392"/>
    <d v="2023-10-06T00:00:00"/>
    <n v="5"/>
    <x v="2"/>
    <n v="1"/>
    <s v="Dr. Mehta"/>
    <n v="29815"/>
    <x v="4"/>
    <x v="1"/>
    <x v="0"/>
    <d v="2023-02-06T00:00:00"/>
    <d v="2023-02-06T08:00:00"/>
    <d v="1900-01-07T00:00:00"/>
    <x v="3"/>
    <x v="1"/>
    <x v="1"/>
    <n v="10"/>
    <n v="12"/>
    <n v="0.83333333333333337"/>
    <s v="Plan B"/>
  </r>
  <r>
    <s v="PAT5686"/>
    <n v="65"/>
    <x v="0"/>
    <x v="3"/>
    <x v="226"/>
    <d v="2023-06-15T00:00:00"/>
    <n v="13"/>
    <x v="3"/>
    <n v="3"/>
    <s v="Dr. Patel"/>
    <n v="23964"/>
    <x v="2"/>
    <x v="0"/>
    <x v="1"/>
    <d v="2023-05-28T00:00:00"/>
    <d v="2023-05-28T16:00:00"/>
    <d v="1900-01-15T00:00:00"/>
    <x v="2"/>
    <x v="0"/>
    <x v="1"/>
    <n v="11"/>
    <n v="10"/>
    <n v="1.1000000000000001"/>
    <s v="Plan A"/>
  </r>
  <r>
    <s v="PAT5687"/>
    <n v="18"/>
    <x v="1"/>
    <x v="2"/>
    <x v="273"/>
    <d v="2023-11-21T00:00:00"/>
    <n v="13"/>
    <x v="4"/>
    <n v="5"/>
    <s v="Dr. Mehta"/>
    <n v="33812"/>
    <x v="4"/>
    <x v="0"/>
    <x v="0"/>
    <d v="2023-03-11T00:00:00"/>
    <d v="2023-04-11T08:00:00"/>
    <d v="1902-01-21T00:00:00"/>
    <x v="1"/>
    <x v="0"/>
    <x v="0"/>
    <n v="11"/>
    <n v="12"/>
    <n v="0.91666666666666663"/>
    <s v="Plan A"/>
  </r>
  <r>
    <s v="PAT5688"/>
    <n v="49"/>
    <x v="4"/>
    <x v="3"/>
    <x v="113"/>
    <d v="2023-06-04T00:00:00"/>
    <n v="8"/>
    <x v="1"/>
    <n v="3"/>
    <s v="Dr. Mehta"/>
    <n v="45200"/>
    <x v="3"/>
    <x v="0"/>
    <x v="0"/>
    <d v="2023-03-25T00:00:00"/>
    <d v="2023-03-26T17:00:00"/>
    <d v="1900-02-09T00:00:00"/>
    <x v="3"/>
    <x v="0"/>
    <x v="1"/>
    <n v="10"/>
    <n v="8"/>
    <n v="1.25"/>
    <s v="Plan B"/>
  </r>
  <r>
    <s v="PAT5689"/>
    <n v="11"/>
    <x v="1"/>
    <x v="2"/>
    <x v="158"/>
    <d v="2023-09-27T00:00:00"/>
    <n v="15"/>
    <x v="1"/>
    <n v="3"/>
    <s v="Dr. Mehta"/>
    <n v="29714"/>
    <x v="3"/>
    <x v="1"/>
    <x v="0"/>
    <d v="2023-09-09T00:00:00"/>
    <d v="2023-10-09T15:00:00"/>
    <d v="1902-01-04T00:00:00"/>
    <x v="1"/>
    <x v="0"/>
    <x v="1"/>
    <n v="8"/>
    <n v="8"/>
    <n v="1"/>
    <s v="Plan A"/>
  </r>
  <r>
    <s v="PAT5690"/>
    <n v="85"/>
    <x v="2"/>
    <x v="1"/>
    <x v="393"/>
    <d v="2023-05-16T00:00:00"/>
    <n v="14"/>
    <x v="4"/>
    <n v="3"/>
    <s v="Dr. Rao"/>
    <n v="23890"/>
    <x v="3"/>
    <x v="1"/>
    <x v="1"/>
    <d v="2023-04-28T00:00:00"/>
    <d v="2023-04-28T05:00:00"/>
    <d v="1900-01-04T00:00:00"/>
    <x v="0"/>
    <x v="1"/>
    <x v="1"/>
    <n v="11"/>
    <n v="12"/>
    <n v="0.91666666666666663"/>
    <s v="Plan A"/>
  </r>
  <r>
    <s v="PAT5691"/>
    <n v="26"/>
    <x v="3"/>
    <x v="2"/>
    <x v="394"/>
    <d v="2024-06-03T00:00:00"/>
    <n v="4"/>
    <x v="0"/>
    <n v="2"/>
    <s v="Dr. Sharma"/>
    <n v="9725"/>
    <x v="2"/>
    <x v="1"/>
    <x v="1"/>
    <d v="2024-02-28T00:00:00"/>
    <d v="2024-02-29T10:00:00"/>
    <d v="1900-02-02T00:00:00"/>
    <x v="3"/>
    <x v="0"/>
    <x v="1"/>
    <n v="11"/>
    <n v="8"/>
    <n v="1.375"/>
    <s v="Plan B"/>
  </r>
  <r>
    <s v="PAT5692"/>
    <n v="63"/>
    <x v="0"/>
    <x v="5"/>
    <x v="395"/>
    <d v="2023-08-26T00:00:00"/>
    <n v="6"/>
    <x v="0"/>
    <n v="3"/>
    <s v="Dr. Patel"/>
    <n v="48205"/>
    <x v="1"/>
    <x v="0"/>
    <x v="1"/>
    <d v="2023-08-19T00:00:00"/>
    <d v="2023-08-19T01:00:00"/>
    <d v="1899-12-31T00:00:00"/>
    <x v="2"/>
    <x v="0"/>
    <x v="1"/>
    <n v="5"/>
    <n v="10"/>
    <n v="0.5"/>
    <s v="Plan A"/>
  </r>
  <r>
    <s v="PAT5693"/>
    <n v="89"/>
    <x v="2"/>
    <x v="3"/>
    <x v="191"/>
    <d v="2024-06-30T00:00:00"/>
    <n v="11"/>
    <x v="3"/>
    <n v="3"/>
    <s v="Dr. Sharma"/>
    <n v="25684"/>
    <x v="4"/>
    <x v="1"/>
    <x v="0"/>
    <d v="2024-06-18T00:00:00"/>
    <d v="2024-06-19T00:00:00"/>
    <d v="1900-01-23T00:00:00"/>
    <x v="1"/>
    <x v="0"/>
    <x v="2"/>
    <n v="6"/>
    <n v="12"/>
    <n v="0.5"/>
    <s v="Plan A"/>
  </r>
  <r>
    <s v="PAT5694"/>
    <n v="86"/>
    <x v="2"/>
    <x v="4"/>
    <x v="28"/>
    <d v="2024-04-02T00:00:00"/>
    <n v="10"/>
    <x v="2"/>
    <n v="2"/>
    <s v="Dr. Sharma"/>
    <n v="31325"/>
    <x v="3"/>
    <x v="1"/>
    <x v="0"/>
    <d v="2024-01-22T00:00:00"/>
    <d v="2024-01-22T21:00:00"/>
    <d v="1900-01-20T00:00:00"/>
    <x v="0"/>
    <x v="0"/>
    <x v="2"/>
    <n v="11"/>
    <n v="8"/>
    <n v="1.375"/>
    <s v="Plan B"/>
  </r>
  <r>
    <s v="PAT5695"/>
    <n v="59"/>
    <x v="0"/>
    <x v="1"/>
    <x v="358"/>
    <d v="2024-04-14T00:00:00"/>
    <n v="8"/>
    <x v="1"/>
    <n v="2"/>
    <s v="Dr. Sharma"/>
    <n v="37542"/>
    <x v="4"/>
    <x v="1"/>
    <x v="0"/>
    <d v="2024-04-04T00:00:00"/>
    <d v="2024-04-04T09:00:00"/>
    <d v="1900-01-08T00:00:00"/>
    <x v="3"/>
    <x v="0"/>
    <x v="1"/>
    <n v="4"/>
    <n v="10"/>
    <n v="0.4"/>
    <s v="Plan C"/>
  </r>
  <r>
    <s v="PAT5696"/>
    <n v="27"/>
    <x v="3"/>
    <x v="5"/>
    <x v="163"/>
    <d v="2024-06-04T00:00:00"/>
    <n v="8"/>
    <x v="2"/>
    <n v="5"/>
    <s v="Dr. Mehta"/>
    <n v="18092"/>
    <x v="2"/>
    <x v="1"/>
    <x v="0"/>
    <d v="2024-03-28T00:00:00"/>
    <d v="2024-03-29T01:00:00"/>
    <d v="1900-01-24T00:00:00"/>
    <x v="1"/>
    <x v="0"/>
    <x v="1"/>
    <n v="5"/>
    <n v="10"/>
    <n v="0.5"/>
    <s v="Plan B"/>
  </r>
  <r>
    <s v="PAT5697"/>
    <n v="49"/>
    <x v="4"/>
    <x v="0"/>
    <x v="396"/>
    <d v="2023-11-14T00:00:00"/>
    <n v="13"/>
    <x v="0"/>
    <n v="4"/>
    <s v="Dr. Gupta"/>
    <n v="35382"/>
    <x v="1"/>
    <x v="0"/>
    <x v="0"/>
    <d v="2023-10-30T00:00:00"/>
    <d v="2023-10-31T13:00:00"/>
    <d v="1900-02-05T00:00:00"/>
    <x v="1"/>
    <x v="0"/>
    <x v="1"/>
    <n v="6"/>
    <n v="8"/>
    <n v="0.75"/>
    <s v="Plan A"/>
  </r>
  <r>
    <s v="PAT5698"/>
    <n v="77"/>
    <x v="2"/>
    <x v="3"/>
    <x v="397"/>
    <d v="2024-03-20T00:00:00"/>
    <n v="5"/>
    <x v="0"/>
    <n v="1"/>
    <s v="Dr. Mehta"/>
    <n v="44770"/>
    <x v="2"/>
    <x v="1"/>
    <x v="0"/>
    <d v="2024-03-14T00:00:00"/>
    <d v="2024-03-15T03:00:00"/>
    <d v="1900-01-26T00:00:00"/>
    <x v="2"/>
    <x v="0"/>
    <x v="1"/>
    <n v="4"/>
    <n v="12"/>
    <n v="0.33333333333333331"/>
    <s v="Plan B"/>
  </r>
  <r>
    <s v="PAT5699"/>
    <n v="33"/>
    <x v="3"/>
    <x v="4"/>
    <x v="248"/>
    <d v="2023-11-22T00:00:00"/>
    <n v="13"/>
    <x v="5"/>
    <n v="1"/>
    <s v="Dr. Mehta"/>
    <n v="30457"/>
    <x v="4"/>
    <x v="1"/>
    <x v="0"/>
    <d v="2023-04-11T00:00:00"/>
    <d v="2023-05-11T00:00:00"/>
    <d v="1901-12-20T00:00:00"/>
    <x v="0"/>
    <x v="0"/>
    <x v="0"/>
    <n v="7"/>
    <n v="10"/>
    <n v="0.7"/>
    <s v="Plan A"/>
  </r>
  <r>
    <s v="PAT5700"/>
    <n v="1"/>
    <x v="1"/>
    <x v="2"/>
    <x v="398"/>
    <d v="2023-10-03T00:00:00"/>
    <n v="7"/>
    <x v="3"/>
    <n v="3"/>
    <s v="Dr. Sharma"/>
    <n v="11131"/>
    <x v="1"/>
    <x v="1"/>
    <x v="0"/>
    <d v="2023-03-03T00:00:00"/>
    <d v="2023-04-03T11:00:00"/>
    <d v="1902-01-24T00:00:00"/>
    <x v="4"/>
    <x v="0"/>
    <x v="0"/>
    <n v="10"/>
    <n v="10"/>
    <n v="1"/>
    <s v="Plan A"/>
  </r>
  <r>
    <s v="PAT5701"/>
    <n v="21"/>
    <x v="3"/>
    <x v="4"/>
    <x v="399"/>
    <d v="2023-04-21T00:00:00"/>
    <n v="9"/>
    <x v="5"/>
    <n v="5"/>
    <s v="Dr. Mehta"/>
    <n v="30215"/>
    <x v="1"/>
    <x v="1"/>
    <x v="0"/>
    <d v="2023-12-04T00:00:00"/>
    <d v="2023-04-13T20:00:00"/>
    <d v="1915-05-21T00:00:00"/>
    <x v="1"/>
    <x v="0"/>
    <x v="0"/>
    <n v="10"/>
    <n v="10"/>
    <n v="1"/>
    <s v="Plan B"/>
  </r>
  <r>
    <s v="PAT5702"/>
    <n v="55"/>
    <x v="0"/>
    <x v="0"/>
    <x v="400"/>
    <d v="2023-10-08T00:00:00"/>
    <n v="9"/>
    <x v="5"/>
    <n v="3"/>
    <s v="Dr. Sharma"/>
    <n v="17612"/>
    <x v="2"/>
    <x v="1"/>
    <x v="1"/>
    <d v="2023-07-27T00:00:00"/>
    <d v="2023-07-27T12:00:00"/>
    <d v="1900-01-11T00:00:00"/>
    <x v="3"/>
    <x v="0"/>
    <x v="2"/>
    <n v="8"/>
    <n v="10"/>
    <n v="0.8"/>
    <s v="Plan A"/>
  </r>
  <r>
    <s v="PAT5703"/>
    <n v="6"/>
    <x v="1"/>
    <x v="1"/>
    <x v="68"/>
    <d v="2023-12-08T00:00:00"/>
    <n v="7"/>
    <x v="5"/>
    <n v="1"/>
    <s v="Dr. Gupta"/>
    <n v="42305"/>
    <x v="3"/>
    <x v="1"/>
    <x v="1"/>
    <d v="2023-02-08T00:00:00"/>
    <d v="2023-03-08T07:00:00"/>
    <d v="1901-11-09T00:00:00"/>
    <x v="2"/>
    <x v="0"/>
    <x v="1"/>
    <n v="6"/>
    <n v="12"/>
    <n v="0.5"/>
    <s v="Plan C"/>
  </r>
  <r>
    <s v="PAT5704"/>
    <n v="81"/>
    <x v="2"/>
    <x v="1"/>
    <x v="32"/>
    <d v="2023-01-10T00:00:00"/>
    <n v="3"/>
    <x v="3"/>
    <n v="2"/>
    <s v="Dr. Patel"/>
    <n v="18091"/>
    <x v="4"/>
    <x v="0"/>
    <x v="0"/>
    <d v="2023-09-24T00:00:00"/>
    <d v="2023-09-24T05:00:00"/>
    <d v="1900-01-04T00:00:00"/>
    <x v="2"/>
    <x v="1"/>
    <x v="0"/>
    <n v="4"/>
    <n v="8"/>
    <n v="0.5"/>
    <s v="Plan A"/>
  </r>
  <r>
    <s v="PAT5705"/>
    <n v="69"/>
    <x v="2"/>
    <x v="3"/>
    <x v="190"/>
    <d v="2023-08-04T00:00:00"/>
    <n v="14"/>
    <x v="3"/>
    <n v="4"/>
    <s v="Dr. Sharma"/>
    <n v="40103"/>
    <x v="0"/>
    <x v="1"/>
    <x v="1"/>
    <d v="2023-03-25T00:00:00"/>
    <d v="2023-03-25T02:00:00"/>
    <d v="1900-01-01T00:00:00"/>
    <x v="1"/>
    <x v="0"/>
    <x v="1"/>
    <n v="11"/>
    <n v="8"/>
    <n v="1.375"/>
    <s v="Plan B"/>
  </r>
  <r>
    <s v="PAT5706"/>
    <n v="5"/>
    <x v="1"/>
    <x v="1"/>
    <x v="401"/>
    <d v="2023-06-14T00:00:00"/>
    <n v="4"/>
    <x v="4"/>
    <n v="5"/>
    <s v="Dr. Gupta"/>
    <n v="42089"/>
    <x v="0"/>
    <x v="1"/>
    <x v="0"/>
    <d v="2023-09-06T00:00:00"/>
    <d v="2023-10-06T14:00:00"/>
    <d v="1902-01-03T00:00:00"/>
    <x v="1"/>
    <x v="0"/>
    <x v="1"/>
    <n v="5"/>
    <n v="8"/>
    <n v="0.625"/>
    <s v="Plan C"/>
  </r>
  <r>
    <s v="PAT5707"/>
    <n v="3"/>
    <x v="1"/>
    <x v="3"/>
    <x v="110"/>
    <d v="2023-09-16T00:00:00"/>
    <n v="13"/>
    <x v="2"/>
    <n v="2"/>
    <s v="Dr. Patel"/>
    <n v="34759"/>
    <x v="2"/>
    <x v="1"/>
    <x v="0"/>
    <d v="2023-02-09T00:00:00"/>
    <d v="2023-02-09T05:00:00"/>
    <d v="1900-01-04T00:00:00"/>
    <x v="1"/>
    <x v="0"/>
    <x v="2"/>
    <n v="4"/>
    <n v="10"/>
    <n v="0.4"/>
    <s v="Plan C"/>
  </r>
  <r>
    <s v="PAT5708"/>
    <n v="53"/>
    <x v="0"/>
    <x v="3"/>
    <x v="402"/>
    <d v="2023-07-07T00:00:00"/>
    <n v="10"/>
    <x v="2"/>
    <n v="4"/>
    <s v="Dr. Rao"/>
    <n v="5559"/>
    <x v="4"/>
    <x v="0"/>
    <x v="0"/>
    <d v="2023-06-27T00:00:00"/>
    <d v="2023-06-27T01:00:00"/>
    <d v="1899-12-31T00:00:00"/>
    <x v="4"/>
    <x v="0"/>
    <x v="2"/>
    <n v="5"/>
    <n v="12"/>
    <n v="0.41666666666666669"/>
    <s v="Plan A"/>
  </r>
  <r>
    <s v="PAT5709"/>
    <n v="23"/>
    <x v="3"/>
    <x v="3"/>
    <x v="403"/>
    <d v="2023-03-21T00:00:00"/>
    <n v="3"/>
    <x v="4"/>
    <n v="5"/>
    <s v="Dr. Sharma"/>
    <n v="5713"/>
    <x v="4"/>
    <x v="1"/>
    <x v="0"/>
    <d v="2023-03-18T00:00:00"/>
    <d v="2023-03-18T17:00:00"/>
    <d v="1900-01-16T00:00:00"/>
    <x v="1"/>
    <x v="0"/>
    <x v="0"/>
    <n v="10"/>
    <n v="8"/>
    <n v="1.25"/>
    <s v="Plan B"/>
  </r>
  <r>
    <s v="PAT5710"/>
    <n v="53"/>
    <x v="0"/>
    <x v="2"/>
    <x v="401"/>
    <d v="2023-06-24T00:00:00"/>
    <n v="14"/>
    <x v="4"/>
    <n v="5"/>
    <s v="Dr. Sharma"/>
    <n v="42361"/>
    <x v="2"/>
    <x v="0"/>
    <x v="1"/>
    <d v="2023-06-06T00:00:00"/>
    <d v="2023-06-06T14:00:00"/>
    <d v="1900-01-13T00:00:00"/>
    <x v="0"/>
    <x v="0"/>
    <x v="0"/>
    <n v="8"/>
    <n v="12"/>
    <n v="0.66666666666666663"/>
    <s v="Plan A"/>
  </r>
  <r>
    <s v="PAT5711"/>
    <n v="37"/>
    <x v="4"/>
    <x v="5"/>
    <x v="171"/>
    <d v="2023-08-01T00:00:00"/>
    <n v="5"/>
    <x v="0"/>
    <n v="1"/>
    <s v="Dr. Rao"/>
    <n v="20184"/>
    <x v="4"/>
    <x v="1"/>
    <x v="0"/>
    <d v="2023-03-01T00:00:00"/>
    <d v="2023-03-01T03:00:00"/>
    <d v="1900-01-02T00:00:00"/>
    <x v="3"/>
    <x v="0"/>
    <x v="2"/>
    <n v="11"/>
    <n v="8"/>
    <n v="1.375"/>
    <s v="Plan A"/>
  </r>
  <r>
    <s v="PAT5712"/>
    <n v="74"/>
    <x v="2"/>
    <x v="3"/>
    <x v="266"/>
    <d v="2024-02-24T00:00:00"/>
    <n v="1"/>
    <x v="5"/>
    <n v="2"/>
    <s v="Dr. Rao"/>
    <n v="20261"/>
    <x v="3"/>
    <x v="0"/>
    <x v="0"/>
    <d v="2024-02-20T00:00:00"/>
    <d v="2024-02-20T04:00:00"/>
    <d v="1900-01-03T00:00:00"/>
    <x v="1"/>
    <x v="0"/>
    <x v="2"/>
    <n v="8"/>
    <n v="10"/>
    <n v="0.8"/>
    <s v="Plan B"/>
  </r>
  <r>
    <s v="PAT5713"/>
    <n v="74"/>
    <x v="2"/>
    <x v="3"/>
    <x v="358"/>
    <d v="2024-04-17T00:00:00"/>
    <n v="11"/>
    <x v="4"/>
    <n v="5"/>
    <s v="Dr. Sharma"/>
    <n v="25372"/>
    <x v="2"/>
    <x v="1"/>
    <x v="0"/>
    <d v="2024-02-04T00:00:00"/>
    <d v="2024-03-04T02:00:00"/>
    <d v="1901-11-28T00:00:00"/>
    <x v="4"/>
    <x v="0"/>
    <x v="1"/>
    <n v="4"/>
    <n v="8"/>
    <n v="0.5"/>
    <s v="Plan B"/>
  </r>
  <r>
    <s v="PAT5714"/>
    <n v="83"/>
    <x v="2"/>
    <x v="5"/>
    <x v="243"/>
    <d v="2024-04-05T00:00:00"/>
    <n v="8"/>
    <x v="1"/>
    <n v="5"/>
    <s v="Dr. Rao"/>
    <n v="37140"/>
    <x v="3"/>
    <x v="0"/>
    <x v="0"/>
    <d v="2024-04-21T00:00:00"/>
    <d v="2024-04-22T09:00:00"/>
    <d v="1900-02-01T00:00:00"/>
    <x v="3"/>
    <x v="0"/>
    <x v="1"/>
    <n v="4"/>
    <n v="10"/>
    <n v="0.4"/>
    <s v="Plan A"/>
  </r>
  <r>
    <s v="PAT5715"/>
    <n v="17"/>
    <x v="1"/>
    <x v="4"/>
    <x v="404"/>
    <d v="2023-09-11T00:00:00"/>
    <n v="14"/>
    <x v="2"/>
    <n v="4"/>
    <s v="Dr. Mehta"/>
    <n v="38024"/>
    <x v="4"/>
    <x v="1"/>
    <x v="0"/>
    <d v="2023-10-21T00:00:00"/>
    <d v="2023-10-21T19:00:00"/>
    <d v="1900-01-18T00:00:00"/>
    <x v="2"/>
    <x v="0"/>
    <x v="0"/>
    <n v="5"/>
    <n v="10"/>
    <n v="0.5"/>
    <s v="Plan C"/>
  </r>
  <r>
    <s v="PAT5716"/>
    <n v="85"/>
    <x v="2"/>
    <x v="3"/>
    <x v="405"/>
    <d v="2023-09-02T00:00:00"/>
    <n v="6"/>
    <x v="4"/>
    <n v="1"/>
    <s v="Dr. Patel"/>
    <n v="37544"/>
    <x v="2"/>
    <x v="1"/>
    <x v="0"/>
    <d v="2023-03-02T00:00:00"/>
    <d v="2023-04-02T17:00:00"/>
    <d v="1902-01-30T00:00:00"/>
    <x v="1"/>
    <x v="0"/>
    <x v="0"/>
    <n v="5"/>
    <n v="8"/>
    <n v="0.625"/>
    <s v="Plan A"/>
  </r>
  <r>
    <s v="PAT5717"/>
    <n v="78"/>
    <x v="2"/>
    <x v="2"/>
    <x v="406"/>
    <d v="2023-04-09T00:00:00"/>
    <n v="9"/>
    <x v="1"/>
    <n v="3"/>
    <s v="Dr. Patel"/>
    <n v="5037"/>
    <x v="4"/>
    <x v="0"/>
    <x v="0"/>
    <d v="2023-08-25T00:00:00"/>
    <d v="2023-08-26T22:00:00"/>
    <d v="1900-02-14T00:00:00"/>
    <x v="3"/>
    <x v="0"/>
    <x v="2"/>
    <n v="6"/>
    <n v="12"/>
    <n v="0.5"/>
    <s v="Plan C"/>
  </r>
  <r>
    <s v="PAT5718"/>
    <n v="73"/>
    <x v="2"/>
    <x v="1"/>
    <x v="407"/>
    <d v="2023-07-11T00:00:00"/>
    <n v="15"/>
    <x v="1"/>
    <n v="1"/>
    <s v="Dr. Patel"/>
    <n v="48032"/>
    <x v="2"/>
    <x v="1"/>
    <x v="1"/>
    <d v="2023-10-18T00:00:00"/>
    <d v="2023-10-19T09:00:00"/>
    <d v="1900-02-01T00:00:00"/>
    <x v="2"/>
    <x v="0"/>
    <x v="0"/>
    <n v="10"/>
    <n v="10"/>
    <n v="1"/>
    <s v="Plan A"/>
  </r>
  <r>
    <s v="PAT5719"/>
    <n v="1"/>
    <x v="1"/>
    <x v="1"/>
    <x v="376"/>
    <d v="2023-10-19T00:00:00"/>
    <n v="2"/>
    <x v="1"/>
    <n v="3"/>
    <s v="Dr. Mehta"/>
    <n v="17697"/>
    <x v="4"/>
    <x v="0"/>
    <x v="0"/>
    <d v="2023-10-17T00:00:00"/>
    <d v="2023-10-18T03:00:00"/>
    <d v="1900-01-26T00:00:00"/>
    <x v="4"/>
    <x v="1"/>
    <x v="1"/>
    <n v="6"/>
    <n v="12"/>
    <n v="0.5"/>
    <s v="Plan B"/>
  </r>
  <r>
    <s v="PAT5720"/>
    <n v="51"/>
    <x v="0"/>
    <x v="0"/>
    <x v="47"/>
    <d v="2024-04-21T00:00:00"/>
    <n v="12"/>
    <x v="0"/>
    <n v="2"/>
    <s v="Dr. Rao"/>
    <n v="46420"/>
    <x v="3"/>
    <x v="1"/>
    <x v="0"/>
    <d v="2024-06-04T00:00:00"/>
    <d v="2024-07-04T04:00:00"/>
    <d v="1901-12-24T00:00:00"/>
    <x v="0"/>
    <x v="0"/>
    <x v="2"/>
    <n v="6"/>
    <n v="8"/>
    <n v="0.75"/>
    <s v="Plan C"/>
  </r>
  <r>
    <s v="PAT5721"/>
    <n v="45"/>
    <x v="4"/>
    <x v="0"/>
    <x v="134"/>
    <d v="2023-03-28T00:00:00"/>
    <n v="14"/>
    <x v="0"/>
    <n v="2"/>
    <s v="Dr. Gupta"/>
    <n v="36707"/>
    <x v="3"/>
    <x v="0"/>
    <x v="0"/>
    <d v="2023-11-03T00:00:00"/>
    <d v="2023-12-03T21:00:00"/>
    <d v="1902-01-10T00:00:00"/>
    <x v="1"/>
    <x v="0"/>
    <x v="1"/>
    <n v="4"/>
    <n v="10"/>
    <n v="0.4"/>
    <s v="Plan B"/>
  </r>
  <r>
    <s v="PAT5722"/>
    <n v="77"/>
    <x v="2"/>
    <x v="1"/>
    <x v="408"/>
    <d v="2023-06-09T00:00:00"/>
    <n v="9"/>
    <x v="1"/>
    <n v="5"/>
    <s v="Dr. Rao"/>
    <n v="31016"/>
    <x v="4"/>
    <x v="0"/>
    <x v="0"/>
    <d v="2023-08-27T00:00:00"/>
    <d v="2023-08-28T02:00:00"/>
    <d v="1900-01-25T00:00:00"/>
    <x v="0"/>
    <x v="0"/>
    <x v="2"/>
    <n v="9"/>
    <n v="12"/>
    <n v="0.75"/>
    <s v="Plan B"/>
  </r>
  <r>
    <s v="PAT5723"/>
    <n v="4"/>
    <x v="1"/>
    <x v="1"/>
    <x v="32"/>
    <d v="2023-12-10T00:00:00"/>
    <n v="14"/>
    <x v="0"/>
    <n v="2"/>
    <s v="Dr. Sharma"/>
    <n v="39600"/>
    <x v="2"/>
    <x v="0"/>
    <x v="0"/>
    <d v="2023-09-24T00:00:00"/>
    <d v="2023-09-24T06:00:00"/>
    <d v="1900-01-05T00:00:00"/>
    <x v="4"/>
    <x v="0"/>
    <x v="2"/>
    <n v="9"/>
    <n v="10"/>
    <n v="0.9"/>
    <s v="Plan B"/>
  </r>
  <r>
    <s v="PAT5724"/>
    <n v="62"/>
    <x v="0"/>
    <x v="2"/>
    <x v="409"/>
    <d v="2023-07-24T00:00:00"/>
    <n v="2"/>
    <x v="5"/>
    <n v="5"/>
    <s v="Dr. Patel"/>
    <n v="28984"/>
    <x v="0"/>
    <x v="0"/>
    <x v="0"/>
    <d v="2023-07-21T00:00:00"/>
    <d v="2023-07-22T17:00:00"/>
    <d v="1900-02-09T00:00:00"/>
    <x v="3"/>
    <x v="0"/>
    <x v="1"/>
    <n v="9"/>
    <n v="8"/>
    <n v="1.125"/>
    <s v="Plan B"/>
  </r>
  <r>
    <s v="PAT5725"/>
    <n v="65"/>
    <x v="0"/>
    <x v="5"/>
    <x v="292"/>
    <d v="2024-03-16T00:00:00"/>
    <n v="5"/>
    <x v="1"/>
    <n v="1"/>
    <s v="Dr. Rao"/>
    <n v="10167"/>
    <x v="3"/>
    <x v="0"/>
    <x v="0"/>
    <d v="2024-11-03T00:00:00"/>
    <d v="2024-12-03T11:00:00"/>
    <d v="1901-12-31T00:00:00"/>
    <x v="3"/>
    <x v="0"/>
    <x v="0"/>
    <n v="9"/>
    <n v="10"/>
    <n v="0.9"/>
    <s v="Plan B"/>
  </r>
  <r>
    <s v="PAT5726"/>
    <n v="32"/>
    <x v="3"/>
    <x v="0"/>
    <x v="93"/>
    <d v="2023-04-30T00:00:00"/>
    <n v="2"/>
    <x v="5"/>
    <n v="2"/>
    <s v="Dr. Gupta"/>
    <n v="5432"/>
    <x v="3"/>
    <x v="0"/>
    <x v="1"/>
    <d v="2023-04-27T00:00:00"/>
    <d v="2023-04-28T11:00:00"/>
    <d v="1900-02-03T00:00:00"/>
    <x v="4"/>
    <x v="0"/>
    <x v="0"/>
    <n v="6"/>
    <n v="8"/>
    <n v="0.75"/>
    <s v="Plan A"/>
  </r>
  <r>
    <s v="PAT5727"/>
    <n v="34"/>
    <x v="3"/>
    <x v="5"/>
    <x v="129"/>
    <d v="2023-01-09T00:00:00"/>
    <n v="13"/>
    <x v="5"/>
    <n v="1"/>
    <s v="Dr. Sharma"/>
    <n v="9151"/>
    <x v="0"/>
    <x v="1"/>
    <x v="0"/>
    <d v="2023-08-15T00:00:00"/>
    <d v="2023-08-16T16:00:00"/>
    <d v="1900-02-08T00:00:00"/>
    <x v="4"/>
    <x v="0"/>
    <x v="0"/>
    <n v="4"/>
    <n v="12"/>
    <n v="0.33333333333333331"/>
    <s v="Plan C"/>
  </r>
  <r>
    <s v="PAT5728"/>
    <n v="72"/>
    <x v="2"/>
    <x v="2"/>
    <x v="226"/>
    <d v="2023-05-06T00:00:00"/>
    <n v="3"/>
    <x v="1"/>
    <n v="1"/>
    <s v="Dr. Mehta"/>
    <n v="11411"/>
    <x v="4"/>
    <x v="1"/>
    <x v="1"/>
    <d v="2023-05-31T00:00:00"/>
    <d v="2023-05-31T10:00:00"/>
    <d v="1900-01-09T00:00:00"/>
    <x v="1"/>
    <x v="0"/>
    <x v="0"/>
    <n v="9"/>
    <n v="10"/>
    <n v="0.9"/>
    <s v="Plan A"/>
  </r>
  <r>
    <s v="PAT5729"/>
    <n v="39"/>
    <x v="4"/>
    <x v="1"/>
    <x v="410"/>
    <d v="2023-05-10T00:00:00"/>
    <n v="5"/>
    <x v="2"/>
    <n v="2"/>
    <s v="Dr. Mehta"/>
    <n v="35788"/>
    <x v="2"/>
    <x v="0"/>
    <x v="1"/>
    <d v="2023-09-29T00:00:00"/>
    <d v="2023-09-29T18:00:00"/>
    <d v="1900-01-17T00:00:00"/>
    <x v="2"/>
    <x v="1"/>
    <x v="1"/>
    <n v="11"/>
    <n v="12"/>
    <n v="0.91666666666666663"/>
    <s v="Plan A"/>
  </r>
  <r>
    <s v="PAT5730"/>
    <n v="26"/>
    <x v="3"/>
    <x v="3"/>
    <x v="411"/>
    <d v="2023-03-06T00:00:00"/>
    <n v="8"/>
    <x v="1"/>
    <n v="1"/>
    <s v="Dr. Gupta"/>
    <n v="31623"/>
    <x v="4"/>
    <x v="0"/>
    <x v="0"/>
    <d v="2023-05-21T00:00:00"/>
    <d v="2023-05-21T06:00:00"/>
    <d v="1900-01-05T00:00:00"/>
    <x v="0"/>
    <x v="0"/>
    <x v="2"/>
    <n v="8"/>
    <n v="8"/>
    <n v="1"/>
    <s v="Plan A"/>
  </r>
  <r>
    <s v="PAT5731"/>
    <n v="34"/>
    <x v="3"/>
    <x v="5"/>
    <x v="54"/>
    <d v="2023-03-30T00:00:00"/>
    <n v="15"/>
    <x v="1"/>
    <n v="2"/>
    <s v="Dr. Sharma"/>
    <n v="27104"/>
    <x v="1"/>
    <x v="0"/>
    <x v="0"/>
    <d v="2023-11-03T00:00:00"/>
    <d v="2023-11-03T20:00:00"/>
    <d v="1900-01-19T00:00:00"/>
    <x v="0"/>
    <x v="0"/>
    <x v="1"/>
    <n v="7"/>
    <n v="8"/>
    <n v="0.875"/>
    <s v="Plan B"/>
  </r>
  <r>
    <s v="PAT5732"/>
    <n v="54"/>
    <x v="0"/>
    <x v="1"/>
    <x v="398"/>
    <d v="2023-12-03T00:00:00"/>
    <n v="9"/>
    <x v="0"/>
    <n v="2"/>
    <s v="Dr. Patel"/>
    <n v="5256"/>
    <x v="3"/>
    <x v="0"/>
    <x v="0"/>
    <d v="2023-01-03T00:00:00"/>
    <d v="2023-01-03T06:00:00"/>
    <d v="1900-01-05T00:00:00"/>
    <x v="3"/>
    <x v="0"/>
    <x v="0"/>
    <n v="8"/>
    <n v="12"/>
    <n v="0.66666666666666663"/>
    <s v="Plan A"/>
  </r>
  <r>
    <s v="PAT5733"/>
    <n v="3"/>
    <x v="1"/>
    <x v="1"/>
    <x v="119"/>
    <d v="2023-06-22T00:00:00"/>
    <n v="3"/>
    <x v="1"/>
    <n v="2"/>
    <s v="Dr. Rao"/>
    <n v="38439"/>
    <x v="1"/>
    <x v="0"/>
    <x v="1"/>
    <d v="2023-06-15T00:00:00"/>
    <d v="2023-06-16T09:00:00"/>
    <d v="1900-02-01T00:00:00"/>
    <x v="3"/>
    <x v="1"/>
    <x v="0"/>
    <n v="4"/>
    <n v="12"/>
    <n v="0.33333333333333331"/>
    <s v="Plan C"/>
  </r>
  <r>
    <s v="PAT5734"/>
    <n v="50"/>
    <x v="4"/>
    <x v="4"/>
    <x v="109"/>
    <d v="2023-11-25T00:00:00"/>
    <n v="14"/>
    <x v="2"/>
    <n v="3"/>
    <s v="Dr. Sharma"/>
    <n v="38257"/>
    <x v="3"/>
    <x v="1"/>
    <x v="0"/>
    <d v="2023-07-11T00:00:00"/>
    <d v="2023-07-11T14:00:00"/>
    <d v="1900-01-13T00:00:00"/>
    <x v="1"/>
    <x v="0"/>
    <x v="1"/>
    <n v="4"/>
    <n v="8"/>
    <n v="0.5"/>
    <s v="Plan A"/>
  </r>
  <r>
    <s v="PAT5735"/>
    <n v="12"/>
    <x v="1"/>
    <x v="5"/>
    <x v="407"/>
    <d v="2023-10-30T00:00:00"/>
    <n v="7"/>
    <x v="0"/>
    <n v="1"/>
    <s v="Dr. Mehta"/>
    <n v="44657"/>
    <x v="3"/>
    <x v="1"/>
    <x v="0"/>
    <d v="2023-10-18T00:00:00"/>
    <d v="2023-10-18T10:00:00"/>
    <d v="1900-01-09T00:00:00"/>
    <x v="4"/>
    <x v="0"/>
    <x v="2"/>
    <n v="7"/>
    <n v="12"/>
    <n v="0.58333333333333337"/>
    <s v="Plan B"/>
  </r>
  <r>
    <s v="PAT5736"/>
    <n v="65"/>
    <x v="0"/>
    <x v="3"/>
    <x v="412"/>
    <d v="2024-03-27T00:00:00"/>
    <n v="2"/>
    <x v="3"/>
    <n v="4"/>
    <s v="Dr. Gupta"/>
    <n v="49674"/>
    <x v="1"/>
    <x v="1"/>
    <x v="0"/>
    <d v="2024-03-23T00:00:00"/>
    <d v="2024-03-24T11:00:00"/>
    <d v="1900-02-03T00:00:00"/>
    <x v="0"/>
    <x v="0"/>
    <x v="1"/>
    <n v="5"/>
    <n v="8"/>
    <n v="0.625"/>
    <s v="Plan C"/>
  </r>
  <r>
    <s v="PAT5737"/>
    <n v="54"/>
    <x v="0"/>
    <x v="5"/>
    <x v="35"/>
    <d v="2023-05-23T00:00:00"/>
    <n v="15"/>
    <x v="3"/>
    <n v="2"/>
    <s v="Dr. Gupta"/>
    <n v="23066"/>
    <x v="1"/>
    <x v="1"/>
    <x v="0"/>
    <d v="2023-07-05T00:00:00"/>
    <d v="2023-07-05T21:00:00"/>
    <d v="1900-01-20T00:00:00"/>
    <x v="1"/>
    <x v="0"/>
    <x v="1"/>
    <n v="5"/>
    <n v="12"/>
    <n v="0.41666666666666669"/>
    <s v="Plan C"/>
  </r>
  <r>
    <s v="PAT5738"/>
    <n v="5"/>
    <x v="1"/>
    <x v="1"/>
    <x v="90"/>
    <d v="2024-04-28T00:00:00"/>
    <n v="4"/>
    <x v="5"/>
    <n v="1"/>
    <s v="Dr. Rao"/>
    <n v="37746"/>
    <x v="4"/>
    <x v="1"/>
    <x v="0"/>
    <d v="2024-04-22T00:00:00"/>
    <d v="2024-04-23T02:00:00"/>
    <d v="1900-01-25T00:00:00"/>
    <x v="3"/>
    <x v="1"/>
    <x v="1"/>
    <n v="11"/>
    <n v="8"/>
    <n v="1.375"/>
    <s v="Plan C"/>
  </r>
  <r>
    <s v="PAT5739"/>
    <n v="57"/>
    <x v="0"/>
    <x v="3"/>
    <x v="273"/>
    <d v="2023-11-22T00:00:00"/>
    <n v="14"/>
    <x v="5"/>
    <n v="5"/>
    <s v="Dr. Gupta"/>
    <n v="7460"/>
    <x v="1"/>
    <x v="0"/>
    <x v="0"/>
    <d v="2023-07-11T00:00:00"/>
    <d v="2023-08-11T14:00:00"/>
    <d v="1902-01-27T00:00:00"/>
    <x v="3"/>
    <x v="0"/>
    <x v="2"/>
    <n v="5"/>
    <n v="8"/>
    <n v="0.625"/>
    <s v="Plan C"/>
  </r>
  <r>
    <s v="PAT5740"/>
    <n v="17"/>
    <x v="1"/>
    <x v="2"/>
    <x v="155"/>
    <d v="2024-02-25T00:00:00"/>
    <n v="8"/>
    <x v="2"/>
    <n v="2"/>
    <s v="Dr. Gupta"/>
    <n v="42297"/>
    <x v="4"/>
    <x v="0"/>
    <x v="0"/>
    <d v="2024-12-02T00:00:00"/>
    <d v="2024-02-13T17:00:00"/>
    <d v="1919-03-16T00:00:00"/>
    <x v="0"/>
    <x v="0"/>
    <x v="1"/>
    <n v="6"/>
    <n v="10"/>
    <n v="0.6"/>
    <s v="Plan A"/>
  </r>
  <r>
    <s v="PAT5741"/>
    <n v="47"/>
    <x v="4"/>
    <x v="4"/>
    <x v="213"/>
    <d v="2023-10-21T00:00:00"/>
    <n v="15"/>
    <x v="4"/>
    <n v="2"/>
    <s v="Dr. Sharma"/>
    <n v="39743"/>
    <x v="4"/>
    <x v="1"/>
    <x v="1"/>
    <d v="2023-02-10T00:00:00"/>
    <d v="2023-03-10T18:00:00"/>
    <d v="1901-11-20T00:00:00"/>
    <x v="3"/>
    <x v="0"/>
    <x v="1"/>
    <n v="5"/>
    <n v="8"/>
    <n v="0.625"/>
    <s v="Plan B"/>
  </r>
  <r>
    <s v="PAT5742"/>
    <n v="23"/>
    <x v="3"/>
    <x v="1"/>
    <x v="97"/>
    <d v="2024-02-06T00:00:00"/>
    <n v="6"/>
    <x v="3"/>
    <n v="4"/>
    <s v="Dr. Patel"/>
    <n v="8216"/>
    <x v="4"/>
    <x v="1"/>
    <x v="0"/>
    <d v="2024-05-26T00:00:00"/>
    <d v="2024-05-27T20:00:00"/>
    <d v="1900-02-12T00:00:00"/>
    <x v="3"/>
    <x v="0"/>
    <x v="0"/>
    <n v="10"/>
    <n v="8"/>
    <n v="1.25"/>
    <s v="Plan C"/>
  </r>
  <r>
    <s v="PAT5743"/>
    <n v="79"/>
    <x v="2"/>
    <x v="0"/>
    <x v="82"/>
    <d v="2024-04-06T00:00:00"/>
    <n v="15"/>
    <x v="5"/>
    <n v="3"/>
    <s v="Dr. Rao"/>
    <n v="19267"/>
    <x v="3"/>
    <x v="1"/>
    <x v="0"/>
    <d v="2024-05-17T00:00:00"/>
    <d v="2024-05-18T18:00:00"/>
    <d v="1900-02-10T00:00:00"/>
    <x v="2"/>
    <x v="0"/>
    <x v="1"/>
    <n v="6"/>
    <n v="10"/>
    <n v="0.6"/>
    <s v="Plan C"/>
  </r>
  <r>
    <s v="PAT5744"/>
    <n v="85"/>
    <x v="2"/>
    <x v="0"/>
    <x v="124"/>
    <d v="2024-03-25T00:00:00"/>
    <n v="1"/>
    <x v="3"/>
    <n v="3"/>
    <s v="Dr. Sharma"/>
    <n v="14581"/>
    <x v="3"/>
    <x v="1"/>
    <x v="0"/>
    <d v="2024-03-22T00:00:00"/>
    <d v="2024-03-22T05:00:00"/>
    <d v="1900-01-04T00:00:00"/>
    <x v="4"/>
    <x v="0"/>
    <x v="0"/>
    <n v="6"/>
    <n v="10"/>
    <n v="0.6"/>
    <s v="Plan B"/>
  </r>
  <r>
    <s v="PAT5745"/>
    <n v="14"/>
    <x v="1"/>
    <x v="4"/>
    <x v="184"/>
    <d v="2023-03-31T00:00:00"/>
    <n v="7"/>
    <x v="2"/>
    <n v="2"/>
    <s v="Dr. Patel"/>
    <n v="9515"/>
    <x v="1"/>
    <x v="1"/>
    <x v="1"/>
    <d v="2023-03-22T00:00:00"/>
    <d v="2023-03-22T20:00:00"/>
    <d v="1900-01-19T00:00:00"/>
    <x v="3"/>
    <x v="0"/>
    <x v="0"/>
    <n v="11"/>
    <n v="12"/>
    <n v="0.91666666666666663"/>
    <s v="Plan A"/>
  </r>
  <r>
    <s v="PAT5746"/>
    <n v="66"/>
    <x v="2"/>
    <x v="2"/>
    <x v="189"/>
    <d v="2023-11-02T00:00:00"/>
    <n v="1"/>
    <x v="2"/>
    <n v="1"/>
    <s v="Dr. Sharma"/>
    <n v="27076"/>
    <x v="3"/>
    <x v="1"/>
    <x v="0"/>
    <d v="2023-10-02T00:00:00"/>
    <d v="2023-11-02T21:00:00"/>
    <d v="1902-02-03T00:00:00"/>
    <x v="2"/>
    <x v="0"/>
    <x v="0"/>
    <n v="5"/>
    <n v="12"/>
    <n v="0.41666666666666669"/>
    <s v="Plan C"/>
  </r>
  <r>
    <s v="PAT5747"/>
    <n v="75"/>
    <x v="2"/>
    <x v="1"/>
    <x v="413"/>
    <d v="2024-03-25T00:00:00"/>
    <n v="7"/>
    <x v="4"/>
    <n v="5"/>
    <s v="Dr. Sharma"/>
    <n v="49816"/>
    <x v="1"/>
    <x v="1"/>
    <x v="0"/>
    <d v="2024-03-14T00:00:00"/>
    <d v="2024-03-15T04:00:00"/>
    <d v="1900-01-27T00:00:00"/>
    <x v="1"/>
    <x v="1"/>
    <x v="2"/>
    <n v="5"/>
    <n v="8"/>
    <n v="0.625"/>
    <s v="Plan A"/>
  </r>
  <r>
    <s v="PAT5748"/>
    <n v="51"/>
    <x v="0"/>
    <x v="5"/>
    <x v="355"/>
    <d v="2023-06-12T00:00:00"/>
    <n v="9"/>
    <x v="4"/>
    <n v="5"/>
    <s v="Dr. Gupta"/>
    <n v="14776"/>
    <x v="3"/>
    <x v="1"/>
    <x v="0"/>
    <d v="2023-11-23T00:00:00"/>
    <d v="2023-11-24T23:00:00"/>
    <d v="1900-02-15T00:00:00"/>
    <x v="3"/>
    <x v="0"/>
    <x v="0"/>
    <n v="11"/>
    <n v="12"/>
    <n v="0.91666666666666663"/>
    <s v="Plan A"/>
  </r>
  <r>
    <s v="PAT5749"/>
    <n v="38"/>
    <x v="4"/>
    <x v="4"/>
    <x v="414"/>
    <d v="2023-09-20T00:00:00"/>
    <n v="6"/>
    <x v="0"/>
    <n v="1"/>
    <s v="Dr. Patel"/>
    <n v="26947"/>
    <x v="2"/>
    <x v="0"/>
    <x v="1"/>
    <d v="2023-09-09T00:00:00"/>
    <d v="2023-09-09T16:00:00"/>
    <d v="1900-01-15T00:00:00"/>
    <x v="1"/>
    <x v="0"/>
    <x v="1"/>
    <n v="7"/>
    <n v="12"/>
    <n v="0.58333333333333337"/>
    <s v="Plan A"/>
  </r>
  <r>
    <s v="PAT5750"/>
    <n v="64"/>
    <x v="0"/>
    <x v="2"/>
    <x v="345"/>
    <d v="2023-01-31T00:00:00"/>
    <n v="4"/>
    <x v="2"/>
    <n v="2"/>
    <s v="Dr. Rao"/>
    <n v="7963"/>
    <x v="2"/>
    <x v="1"/>
    <x v="0"/>
    <d v="2023-01-26T00:00:00"/>
    <d v="2023-01-26T04:00:00"/>
    <d v="1900-01-03T00:00:00"/>
    <x v="3"/>
    <x v="0"/>
    <x v="1"/>
    <n v="9"/>
    <n v="8"/>
    <n v="1.125"/>
    <s v="Plan A"/>
  </r>
  <r>
    <s v="PAT5751"/>
    <n v="38"/>
    <x v="4"/>
    <x v="5"/>
    <x v="83"/>
    <d v="2023-11-04T00:00:00"/>
    <n v="7"/>
    <x v="5"/>
    <n v="5"/>
    <s v="Dr. Rao"/>
    <n v="11786"/>
    <x v="1"/>
    <x v="1"/>
    <x v="0"/>
    <d v="2023-03-30T00:00:00"/>
    <d v="2023-03-30T16:00:00"/>
    <d v="1900-01-15T00:00:00"/>
    <x v="0"/>
    <x v="0"/>
    <x v="0"/>
    <n v="11"/>
    <n v="10"/>
    <n v="1.1000000000000001"/>
    <s v="Plan C"/>
  </r>
  <r>
    <s v="PAT5752"/>
    <n v="50"/>
    <x v="4"/>
    <x v="0"/>
    <x v="63"/>
    <d v="2023-08-25T00:00:00"/>
    <n v="2"/>
    <x v="3"/>
    <n v="3"/>
    <s v="Dr. Patel"/>
    <n v="18866"/>
    <x v="3"/>
    <x v="1"/>
    <x v="0"/>
    <d v="2023-08-18T00:00:00"/>
    <d v="2023-08-18T06:00:00"/>
    <d v="1900-01-05T00:00:00"/>
    <x v="2"/>
    <x v="0"/>
    <x v="0"/>
    <n v="7"/>
    <n v="10"/>
    <n v="0.7"/>
    <s v="Plan C"/>
  </r>
  <r>
    <s v="PAT5753"/>
    <n v="82"/>
    <x v="2"/>
    <x v="0"/>
    <x v="131"/>
    <d v="2023-01-28T00:00:00"/>
    <n v="6"/>
    <x v="1"/>
    <n v="1"/>
    <s v="Dr. Gupta"/>
    <n v="43968"/>
    <x v="3"/>
    <x v="1"/>
    <x v="1"/>
    <d v="2023-01-19T00:00:00"/>
    <d v="2023-01-20T04:00:00"/>
    <d v="1900-01-27T00:00:00"/>
    <x v="2"/>
    <x v="0"/>
    <x v="1"/>
    <n v="6"/>
    <n v="8"/>
    <n v="0.75"/>
    <s v="Plan A"/>
  </r>
  <r>
    <s v="PAT5754"/>
    <n v="30"/>
    <x v="3"/>
    <x v="5"/>
    <x v="415"/>
    <d v="2023-07-10T00:00:00"/>
    <n v="4"/>
    <x v="4"/>
    <n v="4"/>
    <s v="Dr. Mehta"/>
    <n v="37305"/>
    <x v="4"/>
    <x v="0"/>
    <x v="0"/>
    <d v="2023-09-29T00:00:00"/>
    <d v="2023-09-29T08:00:00"/>
    <d v="1900-01-07T00:00:00"/>
    <x v="0"/>
    <x v="0"/>
    <x v="0"/>
    <n v="7"/>
    <n v="8"/>
    <n v="0.875"/>
    <s v="Plan A"/>
  </r>
  <r>
    <s v="PAT5755"/>
    <n v="79"/>
    <x v="2"/>
    <x v="4"/>
    <x v="338"/>
    <d v="2023-12-02T00:00:00"/>
    <n v="1"/>
    <x v="1"/>
    <n v="2"/>
    <s v="Dr. Sharma"/>
    <n v="22360"/>
    <x v="0"/>
    <x v="0"/>
    <x v="0"/>
    <d v="2023-08-02T00:00:00"/>
    <d v="2023-09-02T06:00:00"/>
    <d v="1902-01-19T00:00:00"/>
    <x v="4"/>
    <x v="0"/>
    <x v="2"/>
    <n v="6"/>
    <n v="8"/>
    <n v="0.75"/>
    <s v="Plan B"/>
  </r>
  <r>
    <s v="PAT5756"/>
    <n v="51"/>
    <x v="0"/>
    <x v="0"/>
    <x v="416"/>
    <d v="2023-05-07T00:00:00"/>
    <n v="6"/>
    <x v="5"/>
    <n v="1"/>
    <s v="Dr. Gupta"/>
    <n v="45113"/>
    <x v="1"/>
    <x v="1"/>
    <x v="1"/>
    <d v="2023-06-29T00:00:00"/>
    <d v="2023-06-30T16:00:00"/>
    <d v="1900-02-08T00:00:00"/>
    <x v="2"/>
    <x v="1"/>
    <x v="0"/>
    <n v="4"/>
    <n v="8"/>
    <n v="0.5"/>
    <s v="Plan B"/>
  </r>
  <r>
    <s v="PAT5757"/>
    <n v="63"/>
    <x v="0"/>
    <x v="1"/>
    <x v="243"/>
    <d v="2024-11-05T00:00:00"/>
    <n v="15"/>
    <x v="4"/>
    <n v="5"/>
    <s v="Dr. Patel"/>
    <n v="37813"/>
    <x v="0"/>
    <x v="0"/>
    <x v="1"/>
    <d v="2024-04-24T00:00:00"/>
    <d v="2024-04-25T15:00:00"/>
    <d v="1900-02-07T00:00:00"/>
    <x v="1"/>
    <x v="0"/>
    <x v="2"/>
    <n v="6"/>
    <n v="8"/>
    <n v="0.75"/>
    <s v="Plan B"/>
  </r>
  <r>
    <s v="PAT5758"/>
    <n v="52"/>
    <x v="0"/>
    <x v="3"/>
    <x v="417"/>
    <d v="2024-06-17T00:00:00"/>
    <n v="2"/>
    <x v="1"/>
    <n v="2"/>
    <s v="Dr. Sharma"/>
    <n v="6193"/>
    <x v="0"/>
    <x v="1"/>
    <x v="0"/>
    <d v="2024-10-06T00:00:00"/>
    <d v="2024-10-06T04:00:00"/>
    <d v="1900-01-03T00:00:00"/>
    <x v="2"/>
    <x v="0"/>
    <x v="2"/>
    <n v="6"/>
    <n v="8"/>
    <n v="0.75"/>
    <s v="Plan C"/>
  </r>
  <r>
    <s v="PAT5759"/>
    <n v="38"/>
    <x v="4"/>
    <x v="5"/>
    <x v="224"/>
    <d v="2024-11-04T00:00:00"/>
    <n v="14"/>
    <x v="5"/>
    <n v="3"/>
    <s v="Dr. Rao"/>
    <n v="9512"/>
    <x v="1"/>
    <x v="0"/>
    <x v="1"/>
    <d v="2024-03-23T00:00:00"/>
    <d v="2024-03-23T20:00:00"/>
    <d v="1900-01-19T00:00:00"/>
    <x v="4"/>
    <x v="1"/>
    <x v="2"/>
    <n v="7"/>
    <n v="12"/>
    <n v="0.58333333333333337"/>
    <s v="Plan B"/>
  </r>
  <r>
    <s v="PAT5760"/>
    <n v="88"/>
    <x v="2"/>
    <x v="5"/>
    <x v="20"/>
    <d v="2023-10-24T00:00:00"/>
    <n v="12"/>
    <x v="3"/>
    <n v="2"/>
    <s v="Dr. Mehta"/>
    <n v="27666"/>
    <x v="3"/>
    <x v="1"/>
    <x v="1"/>
    <d v="2023-09-10T00:00:00"/>
    <d v="2023-10-10T19:00:00"/>
    <d v="1902-01-08T00:00:00"/>
    <x v="1"/>
    <x v="0"/>
    <x v="0"/>
    <n v="9"/>
    <n v="12"/>
    <n v="0.75"/>
    <s v="Plan C"/>
  </r>
  <r>
    <s v="PAT5761"/>
    <n v="79"/>
    <x v="2"/>
    <x v="0"/>
    <x v="418"/>
    <d v="2023-07-16T00:00:00"/>
    <n v="11"/>
    <x v="5"/>
    <n v="2"/>
    <s v="Dr. Rao"/>
    <n v="21630"/>
    <x v="1"/>
    <x v="1"/>
    <x v="0"/>
    <d v="2023-01-07T00:00:00"/>
    <d v="2023-03-07T00:00:00"/>
    <d v="1903-11-16T00:00:00"/>
    <x v="1"/>
    <x v="0"/>
    <x v="2"/>
    <n v="4"/>
    <n v="12"/>
    <n v="0.33333333333333331"/>
    <s v="Plan C"/>
  </r>
  <r>
    <s v="PAT5762"/>
    <n v="30"/>
    <x v="3"/>
    <x v="4"/>
    <x v="258"/>
    <d v="2024-03-28T00:00:00"/>
    <n v="6"/>
    <x v="0"/>
    <n v="3"/>
    <s v="Dr. Patel"/>
    <n v="13983"/>
    <x v="0"/>
    <x v="0"/>
    <x v="0"/>
    <d v="2024-03-20T00:00:00"/>
    <d v="2024-03-21T19:00:00"/>
    <d v="1900-02-11T00:00:00"/>
    <x v="0"/>
    <x v="0"/>
    <x v="2"/>
    <n v="8"/>
    <n v="10"/>
    <n v="0.8"/>
    <s v="Plan C"/>
  </r>
  <r>
    <s v="PAT5763"/>
    <n v="51"/>
    <x v="0"/>
    <x v="1"/>
    <x v="390"/>
    <d v="2024-05-31T00:00:00"/>
    <n v="13"/>
    <x v="4"/>
    <n v="3"/>
    <s v="Dr. Sharma"/>
    <n v="5636"/>
    <x v="3"/>
    <x v="0"/>
    <x v="1"/>
    <d v="2024-05-13T00:00:00"/>
    <d v="2024-05-15T00:00:00"/>
    <d v="1900-02-16T00:00:00"/>
    <x v="3"/>
    <x v="0"/>
    <x v="0"/>
    <n v="8"/>
    <n v="8"/>
    <n v="1"/>
    <s v="Plan C"/>
  </r>
  <r>
    <s v="PAT5764"/>
    <n v="81"/>
    <x v="2"/>
    <x v="4"/>
    <x v="83"/>
    <d v="2023-07-04T00:00:00"/>
    <n v="3"/>
    <x v="2"/>
    <n v="2"/>
    <s v="Dr. Patel"/>
    <n v="8775"/>
    <x v="2"/>
    <x v="0"/>
    <x v="0"/>
    <d v="2023-01-04T00:00:00"/>
    <d v="2023-01-04T12:00:00"/>
    <d v="1900-01-11T00:00:00"/>
    <x v="0"/>
    <x v="0"/>
    <x v="2"/>
    <n v="9"/>
    <n v="8"/>
    <n v="1.125"/>
    <s v="Plan B"/>
  </r>
  <r>
    <s v="PAT5765"/>
    <n v="5"/>
    <x v="1"/>
    <x v="2"/>
    <x v="243"/>
    <d v="2024-04-29T00:00:00"/>
    <n v="3"/>
    <x v="3"/>
    <n v="3"/>
    <s v="Dr. Sharma"/>
    <n v="7421"/>
    <x v="1"/>
    <x v="1"/>
    <x v="1"/>
    <d v="2024-04-23T00:00:00"/>
    <d v="2024-04-23T08:00:00"/>
    <d v="1900-01-07T00:00:00"/>
    <x v="3"/>
    <x v="0"/>
    <x v="0"/>
    <n v="8"/>
    <n v="12"/>
    <n v="0.66666666666666663"/>
    <s v="Plan A"/>
  </r>
  <r>
    <s v="PAT5766"/>
    <n v="29"/>
    <x v="3"/>
    <x v="2"/>
    <x v="419"/>
    <d v="2023-12-24T00:00:00"/>
    <n v="1"/>
    <x v="1"/>
    <n v="1"/>
    <s v="Dr. Gupta"/>
    <n v="18025"/>
    <x v="1"/>
    <x v="1"/>
    <x v="1"/>
    <d v="2023-12-22T00:00:00"/>
    <d v="2023-12-22T01:00:00"/>
    <d v="1899-12-31T00:00:00"/>
    <x v="0"/>
    <x v="0"/>
    <x v="1"/>
    <n v="4"/>
    <n v="10"/>
    <n v="0.4"/>
    <s v="Plan A"/>
  </r>
  <r>
    <s v="PAT5767"/>
    <n v="4"/>
    <x v="1"/>
    <x v="3"/>
    <x v="266"/>
    <d v="2024-02-28T00:00:00"/>
    <n v="5"/>
    <x v="4"/>
    <n v="3"/>
    <s v="Dr. Mehta"/>
    <n v="14280"/>
    <x v="3"/>
    <x v="0"/>
    <x v="1"/>
    <d v="2024-02-21T00:00:00"/>
    <d v="2024-02-22T22:00:00"/>
    <d v="1900-02-14T00:00:00"/>
    <x v="3"/>
    <x v="0"/>
    <x v="2"/>
    <n v="5"/>
    <n v="12"/>
    <n v="0.41666666666666669"/>
    <s v="Plan A"/>
  </r>
  <r>
    <s v="PAT5768"/>
    <n v="10"/>
    <x v="1"/>
    <x v="0"/>
    <x v="221"/>
    <d v="2023-12-23T00:00:00"/>
    <n v="15"/>
    <x v="2"/>
    <n v="3"/>
    <s v="Dr. Gupta"/>
    <n v="41951"/>
    <x v="2"/>
    <x v="1"/>
    <x v="0"/>
    <d v="2023-05-12T00:00:00"/>
    <d v="2023-05-12T09:00:00"/>
    <d v="1900-01-08T00:00:00"/>
    <x v="2"/>
    <x v="0"/>
    <x v="0"/>
    <n v="4"/>
    <n v="8"/>
    <n v="0.5"/>
    <s v="Plan B"/>
  </r>
  <r>
    <s v="PAT5769"/>
    <n v="56"/>
    <x v="0"/>
    <x v="0"/>
    <x v="420"/>
    <d v="2023-09-12T00:00:00"/>
    <n v="14"/>
    <x v="5"/>
    <n v="2"/>
    <s v="Dr. Gupta"/>
    <n v="16351"/>
    <x v="2"/>
    <x v="1"/>
    <x v="1"/>
    <d v="2023-11-24T00:00:00"/>
    <d v="2023-11-25T21:00:00"/>
    <d v="1900-02-13T00:00:00"/>
    <x v="1"/>
    <x v="0"/>
    <x v="1"/>
    <n v="7"/>
    <n v="8"/>
    <n v="0.875"/>
    <s v="Plan A"/>
  </r>
  <r>
    <s v="PAT5770"/>
    <n v="17"/>
    <x v="1"/>
    <x v="0"/>
    <x v="421"/>
    <d v="2023-04-26T00:00:00"/>
    <n v="8"/>
    <x v="2"/>
    <n v="1"/>
    <s v="Dr. Patel"/>
    <n v="43091"/>
    <x v="3"/>
    <x v="1"/>
    <x v="1"/>
    <d v="2023-04-14T00:00:00"/>
    <d v="2023-04-14T01:00:00"/>
    <d v="1899-12-31T00:00:00"/>
    <x v="3"/>
    <x v="0"/>
    <x v="2"/>
    <n v="11"/>
    <n v="12"/>
    <n v="0.91666666666666663"/>
    <s v="Plan B"/>
  </r>
  <r>
    <s v="PAT5771"/>
    <n v="74"/>
    <x v="2"/>
    <x v="3"/>
    <x v="422"/>
    <d v="2023-06-26T00:00:00"/>
    <n v="12"/>
    <x v="4"/>
    <n v="4"/>
    <s v="Dr. Mehta"/>
    <n v="35171"/>
    <x v="4"/>
    <x v="1"/>
    <x v="0"/>
    <d v="2023-11-06T00:00:00"/>
    <d v="2023-11-06T11:00:00"/>
    <d v="1900-01-10T00:00:00"/>
    <x v="2"/>
    <x v="0"/>
    <x v="2"/>
    <n v="10"/>
    <n v="12"/>
    <n v="0.83333333333333337"/>
    <s v="Plan B"/>
  </r>
  <r>
    <s v="PAT5772"/>
    <n v="17"/>
    <x v="1"/>
    <x v="2"/>
    <x v="423"/>
    <d v="2023-12-18T00:00:00"/>
    <n v="14"/>
    <x v="4"/>
    <n v="4"/>
    <s v="Dr. Sharma"/>
    <n v="8644"/>
    <x v="1"/>
    <x v="1"/>
    <x v="0"/>
    <d v="2023-03-12T00:00:00"/>
    <d v="2023-04-12T08:00:00"/>
    <d v="1902-01-21T00:00:00"/>
    <x v="4"/>
    <x v="0"/>
    <x v="0"/>
    <n v="6"/>
    <n v="8"/>
    <n v="0.75"/>
    <s v="Plan B"/>
  </r>
  <r>
    <s v="PAT5773"/>
    <n v="84"/>
    <x v="2"/>
    <x v="4"/>
    <x v="239"/>
    <d v="2024-02-29T00:00:00"/>
    <n v="3"/>
    <x v="0"/>
    <n v="5"/>
    <s v="Dr. Sharma"/>
    <n v="21142"/>
    <x v="1"/>
    <x v="1"/>
    <x v="1"/>
    <d v="2024-02-25T00:00:00"/>
    <d v="2024-02-25T23:00:00"/>
    <d v="1900-01-22T00:00:00"/>
    <x v="0"/>
    <x v="0"/>
    <x v="1"/>
    <n v="6"/>
    <n v="12"/>
    <n v="0.5"/>
    <s v="Plan A"/>
  </r>
  <r>
    <s v="PAT5774"/>
    <n v="88"/>
    <x v="2"/>
    <x v="3"/>
    <x v="424"/>
    <d v="2024-04-06T00:00:00"/>
    <n v="13"/>
    <x v="0"/>
    <n v="3"/>
    <s v="Dr. Rao"/>
    <n v="12773"/>
    <x v="0"/>
    <x v="1"/>
    <x v="0"/>
    <d v="2024-05-20T00:00:00"/>
    <d v="2024-05-21T10:00:00"/>
    <d v="1900-02-02T00:00:00"/>
    <x v="4"/>
    <x v="0"/>
    <x v="0"/>
    <n v="11"/>
    <n v="8"/>
    <n v="1.375"/>
    <s v="Plan A"/>
  </r>
  <r>
    <s v="PAT5775"/>
    <n v="69"/>
    <x v="2"/>
    <x v="3"/>
    <x v="407"/>
    <d v="2023-04-11T00:00:00"/>
    <n v="12"/>
    <x v="2"/>
    <n v="3"/>
    <s v="Dr. Sharma"/>
    <n v="33466"/>
    <x v="3"/>
    <x v="0"/>
    <x v="1"/>
    <d v="2023-10-18T00:00:00"/>
    <d v="2023-10-19T10:00:00"/>
    <d v="1900-02-02T00:00:00"/>
    <x v="2"/>
    <x v="0"/>
    <x v="2"/>
    <n v="7"/>
    <n v="12"/>
    <n v="0.58333333333333337"/>
    <s v="Plan A"/>
  </r>
  <r>
    <s v="PAT5776"/>
    <n v="34"/>
    <x v="3"/>
    <x v="4"/>
    <x v="65"/>
    <d v="2024-02-23T00:00:00"/>
    <n v="8"/>
    <x v="5"/>
    <n v="1"/>
    <s v="Dr. Patel"/>
    <n v="15778"/>
    <x v="0"/>
    <x v="1"/>
    <x v="0"/>
    <d v="2024-02-14T00:00:00"/>
    <d v="2024-02-15T23:00:00"/>
    <d v="1900-02-15T00:00:00"/>
    <x v="4"/>
    <x v="0"/>
    <x v="2"/>
    <n v="7"/>
    <n v="10"/>
    <n v="0.7"/>
    <s v="Plan C"/>
  </r>
  <r>
    <s v="PAT5777"/>
    <n v="6"/>
    <x v="1"/>
    <x v="0"/>
    <x v="425"/>
    <d v="2023-02-15T00:00:00"/>
    <n v="8"/>
    <x v="2"/>
    <n v="4"/>
    <s v="Dr. Gupta"/>
    <n v="17501"/>
    <x v="0"/>
    <x v="1"/>
    <x v="0"/>
    <d v="2023-04-02T00:00:00"/>
    <d v="2023-04-02T17:00:00"/>
    <d v="1900-01-16T00:00:00"/>
    <x v="4"/>
    <x v="1"/>
    <x v="2"/>
    <n v="10"/>
    <n v="8"/>
    <n v="1.25"/>
    <s v="Plan B"/>
  </r>
  <r>
    <s v="PAT5778"/>
    <n v="53"/>
    <x v="0"/>
    <x v="1"/>
    <x v="173"/>
    <d v="2024-04-20T00:00:00"/>
    <n v="10"/>
    <x v="4"/>
    <n v="5"/>
    <s v="Dr. Gupta"/>
    <n v="7108"/>
    <x v="2"/>
    <x v="1"/>
    <x v="0"/>
    <d v="2024-10-04T00:00:00"/>
    <d v="2024-10-04T11:00:00"/>
    <d v="1900-01-10T00:00:00"/>
    <x v="2"/>
    <x v="0"/>
    <x v="2"/>
    <n v="10"/>
    <n v="10"/>
    <n v="1"/>
    <s v="Plan C"/>
  </r>
  <r>
    <s v="PAT5779"/>
    <n v="66"/>
    <x v="2"/>
    <x v="4"/>
    <x v="426"/>
    <d v="2023-02-04T00:00:00"/>
    <n v="1"/>
    <x v="4"/>
    <n v="1"/>
    <s v="Dr. Gupta"/>
    <n v="34369"/>
    <x v="1"/>
    <x v="1"/>
    <x v="0"/>
    <d v="2023-03-28T00:00:00"/>
    <d v="2023-03-29T00:00:00"/>
    <d v="1900-01-23T00:00:00"/>
    <x v="1"/>
    <x v="0"/>
    <x v="1"/>
    <n v="6"/>
    <n v="12"/>
    <n v="0.5"/>
    <s v="Plan B"/>
  </r>
  <r>
    <s v="PAT5780"/>
    <n v="77"/>
    <x v="2"/>
    <x v="2"/>
    <x v="69"/>
    <d v="2023-04-12T00:00:00"/>
    <n v="15"/>
    <x v="1"/>
    <n v="3"/>
    <s v="Dr. Mehta"/>
    <n v="41382"/>
    <x v="0"/>
    <x v="1"/>
    <x v="0"/>
    <d v="2023-11-16T00:00:00"/>
    <d v="2023-11-16T09:00:00"/>
    <d v="1900-01-08T00:00:00"/>
    <x v="3"/>
    <x v="0"/>
    <x v="1"/>
    <n v="10"/>
    <n v="10"/>
    <n v="1"/>
    <s v="Plan A"/>
  </r>
  <r>
    <s v="PAT5781"/>
    <n v="43"/>
    <x v="4"/>
    <x v="5"/>
    <x v="335"/>
    <d v="2023-09-18T00:00:00"/>
    <n v="2"/>
    <x v="0"/>
    <n v="4"/>
    <s v="Dr. Sharma"/>
    <n v="30818"/>
    <x v="2"/>
    <x v="0"/>
    <x v="1"/>
    <d v="2023-09-13T00:00:00"/>
    <d v="2023-09-15T00:00:00"/>
    <d v="1900-02-16T00:00:00"/>
    <x v="0"/>
    <x v="1"/>
    <x v="0"/>
    <n v="10"/>
    <n v="12"/>
    <n v="0.83333333333333337"/>
    <s v="Plan B"/>
  </r>
  <r>
    <s v="PAT5782"/>
    <n v="75"/>
    <x v="2"/>
    <x v="5"/>
    <x v="105"/>
    <d v="2023-11-29T00:00:00"/>
    <n v="1"/>
    <x v="1"/>
    <n v="5"/>
    <s v="Dr. Patel"/>
    <n v="15251"/>
    <x v="3"/>
    <x v="1"/>
    <x v="0"/>
    <d v="2023-11-24T00:00:00"/>
    <d v="2023-11-24T18:00:00"/>
    <d v="1900-01-17T00:00:00"/>
    <x v="3"/>
    <x v="0"/>
    <x v="0"/>
    <n v="10"/>
    <n v="10"/>
    <n v="1"/>
    <s v="Plan B"/>
  </r>
  <r>
    <s v="PAT5783"/>
    <n v="23"/>
    <x v="3"/>
    <x v="3"/>
    <x v="211"/>
    <d v="2023-04-05T00:00:00"/>
    <n v="5"/>
    <x v="3"/>
    <n v="2"/>
    <s v="Dr. Mehta"/>
    <n v="28341"/>
    <x v="0"/>
    <x v="0"/>
    <x v="1"/>
    <d v="2023-04-25T00:00:00"/>
    <d v="2023-04-26T23:00:00"/>
    <d v="1900-02-15T00:00:00"/>
    <x v="0"/>
    <x v="0"/>
    <x v="0"/>
    <n v="11"/>
    <n v="10"/>
    <n v="1.1000000000000001"/>
    <s v="Plan C"/>
  </r>
  <r>
    <s v="PAT5784"/>
    <n v="55"/>
    <x v="0"/>
    <x v="5"/>
    <x v="187"/>
    <d v="2024-02-22T00:00:00"/>
    <n v="4"/>
    <x v="4"/>
    <n v="4"/>
    <s v="Dr. Rao"/>
    <n v="16678"/>
    <x v="1"/>
    <x v="1"/>
    <x v="0"/>
    <d v="2024-02-17T00:00:00"/>
    <d v="2024-02-17T08:00:00"/>
    <d v="1900-01-07T00:00:00"/>
    <x v="3"/>
    <x v="0"/>
    <x v="2"/>
    <n v="9"/>
    <n v="10"/>
    <n v="0.9"/>
    <s v="Plan B"/>
  </r>
  <r>
    <s v="PAT5785"/>
    <n v="80"/>
    <x v="2"/>
    <x v="1"/>
    <x v="138"/>
    <d v="2024-06-24T00:00:00"/>
    <n v="14"/>
    <x v="1"/>
    <n v="5"/>
    <s v="Dr. Patel"/>
    <n v="19367"/>
    <x v="0"/>
    <x v="1"/>
    <x v="0"/>
    <d v="2024-07-06T00:00:00"/>
    <d v="2024-07-06T02:00:00"/>
    <d v="1900-01-01T00:00:00"/>
    <x v="4"/>
    <x v="0"/>
    <x v="0"/>
    <n v="5"/>
    <n v="8"/>
    <n v="0.625"/>
    <s v="Plan A"/>
  </r>
  <r>
    <s v="PAT5786"/>
    <n v="75"/>
    <x v="2"/>
    <x v="0"/>
    <x v="261"/>
    <d v="2023-05-01T00:00:00"/>
    <n v="3"/>
    <x v="2"/>
    <n v="1"/>
    <s v="Dr. Patel"/>
    <n v="34672"/>
    <x v="3"/>
    <x v="0"/>
    <x v="0"/>
    <d v="2023-01-01T00:00:00"/>
    <d v="2023-01-01T22:00:00"/>
    <d v="1900-01-21T00:00:00"/>
    <x v="1"/>
    <x v="1"/>
    <x v="1"/>
    <n v="10"/>
    <n v="10"/>
    <n v="1"/>
    <s v="Plan B"/>
  </r>
  <r>
    <s v="PAT5787"/>
    <n v="16"/>
    <x v="1"/>
    <x v="2"/>
    <x v="57"/>
    <d v="2024-04-27T00:00:00"/>
    <n v="9"/>
    <x v="0"/>
    <n v="2"/>
    <s v="Dr. Patel"/>
    <n v="9332"/>
    <x v="0"/>
    <x v="1"/>
    <x v="0"/>
    <d v="2024-04-16T00:00:00"/>
    <d v="2024-04-17T04:00:00"/>
    <d v="1900-01-27T00:00:00"/>
    <x v="4"/>
    <x v="0"/>
    <x v="0"/>
    <n v="5"/>
    <n v="12"/>
    <n v="0.41666666666666669"/>
    <s v="Plan B"/>
  </r>
  <r>
    <s v="PAT5788"/>
    <n v="8"/>
    <x v="1"/>
    <x v="1"/>
    <x v="427"/>
    <d v="2024-11-03T00:00:00"/>
    <n v="12"/>
    <x v="0"/>
    <n v="5"/>
    <s v="Dr. Gupta"/>
    <n v="17002"/>
    <x v="1"/>
    <x v="1"/>
    <x v="0"/>
    <d v="2024-02-27T00:00:00"/>
    <d v="2024-02-27T18:00:00"/>
    <d v="1900-01-17T00:00:00"/>
    <x v="1"/>
    <x v="0"/>
    <x v="0"/>
    <n v="5"/>
    <n v="12"/>
    <n v="0.41666666666666669"/>
    <s v="Plan B"/>
  </r>
  <r>
    <s v="PAT5789"/>
    <n v="4"/>
    <x v="1"/>
    <x v="2"/>
    <x v="152"/>
    <d v="2023-07-03T00:00:00"/>
    <n v="10"/>
    <x v="5"/>
    <n v="5"/>
    <s v="Dr. Patel"/>
    <n v="25284"/>
    <x v="2"/>
    <x v="1"/>
    <x v="0"/>
    <d v="2023-02-23T00:00:00"/>
    <d v="2023-02-24T10:00:00"/>
    <d v="1900-02-02T00:00:00"/>
    <x v="2"/>
    <x v="0"/>
    <x v="1"/>
    <n v="7"/>
    <n v="8"/>
    <n v="0.875"/>
    <s v="Plan C"/>
  </r>
  <r>
    <s v="PAT5790"/>
    <n v="4"/>
    <x v="1"/>
    <x v="2"/>
    <x v="428"/>
    <d v="2023-07-21T00:00:00"/>
    <n v="9"/>
    <x v="2"/>
    <n v="3"/>
    <s v="Dr. Sharma"/>
    <n v="20700"/>
    <x v="1"/>
    <x v="1"/>
    <x v="1"/>
    <d v="2023-07-07T00:00:00"/>
    <d v="2023-07-07T05:00:00"/>
    <d v="1900-01-04T00:00:00"/>
    <x v="0"/>
    <x v="0"/>
    <x v="1"/>
    <n v="10"/>
    <n v="8"/>
    <n v="1.25"/>
    <s v="Plan B"/>
  </r>
  <r>
    <s v="PAT5791"/>
    <n v="56"/>
    <x v="0"/>
    <x v="0"/>
    <x v="294"/>
    <d v="2024-06-21T00:00:00"/>
    <n v="7"/>
    <x v="5"/>
    <n v="4"/>
    <s v="Dr. Patel"/>
    <n v="18769"/>
    <x v="2"/>
    <x v="1"/>
    <x v="0"/>
    <d v="2024-06-14T00:00:00"/>
    <d v="2024-06-14T17:00:00"/>
    <d v="1900-01-16T00:00:00"/>
    <x v="0"/>
    <x v="0"/>
    <x v="2"/>
    <n v="6"/>
    <n v="12"/>
    <n v="0.5"/>
    <s v="Plan B"/>
  </r>
  <r>
    <s v="PAT5792"/>
    <n v="25"/>
    <x v="3"/>
    <x v="3"/>
    <x v="39"/>
    <d v="2024-08-01T00:00:00"/>
    <n v="2"/>
    <x v="1"/>
    <n v="3"/>
    <s v="Dr. Gupta"/>
    <n v="34318"/>
    <x v="4"/>
    <x v="1"/>
    <x v="0"/>
    <d v="2024-03-01T00:00:00"/>
    <d v="2024-04-01T22:00:00"/>
    <d v="1902-02-04T00:00:00"/>
    <x v="2"/>
    <x v="0"/>
    <x v="1"/>
    <n v="9"/>
    <n v="10"/>
    <n v="0.9"/>
    <s v="Plan C"/>
  </r>
  <r>
    <s v="PAT5793"/>
    <n v="67"/>
    <x v="2"/>
    <x v="5"/>
    <x v="429"/>
    <d v="2024-07-06T00:00:00"/>
    <n v="13"/>
    <x v="3"/>
    <n v="2"/>
    <s v="Dr. Patel"/>
    <n v="29323"/>
    <x v="1"/>
    <x v="1"/>
    <x v="0"/>
    <d v="2024-05-23T00:00:00"/>
    <d v="2024-05-24T13:00:00"/>
    <d v="1900-02-05T00:00:00"/>
    <x v="3"/>
    <x v="0"/>
    <x v="1"/>
    <n v="6"/>
    <n v="12"/>
    <n v="0.5"/>
    <s v="Plan C"/>
  </r>
  <r>
    <s v="PAT5794"/>
    <n v="67"/>
    <x v="2"/>
    <x v="0"/>
    <x v="224"/>
    <d v="2024-02-04T00:00:00"/>
    <n v="5"/>
    <x v="2"/>
    <n v="5"/>
    <s v="Dr. Rao"/>
    <n v="32610"/>
    <x v="1"/>
    <x v="1"/>
    <x v="0"/>
    <d v="2024-03-28T00:00:00"/>
    <d v="2024-03-29T17:00:00"/>
    <d v="1900-02-09T00:00:00"/>
    <x v="2"/>
    <x v="0"/>
    <x v="0"/>
    <n v="10"/>
    <n v="8"/>
    <n v="1.25"/>
    <s v="Plan C"/>
  </r>
  <r>
    <s v="PAT5795"/>
    <n v="27"/>
    <x v="3"/>
    <x v="1"/>
    <x v="218"/>
    <d v="2023-02-26T00:00:00"/>
    <n v="4"/>
    <x v="2"/>
    <n v="3"/>
    <s v="Dr. Rao"/>
    <n v="11963"/>
    <x v="3"/>
    <x v="0"/>
    <x v="1"/>
    <d v="2023-02-18T00:00:00"/>
    <d v="2023-02-18T05:00:00"/>
    <d v="1900-01-04T00:00:00"/>
    <x v="2"/>
    <x v="0"/>
    <x v="1"/>
    <n v="6"/>
    <n v="8"/>
    <n v="0.75"/>
    <s v="Plan C"/>
  </r>
  <r>
    <s v="PAT5796"/>
    <n v="32"/>
    <x v="3"/>
    <x v="3"/>
    <x v="217"/>
    <d v="2023-02-08T00:00:00"/>
    <n v="5"/>
    <x v="2"/>
    <n v="4"/>
    <s v="Dr. Gupta"/>
    <n v="12838"/>
    <x v="0"/>
    <x v="0"/>
    <x v="0"/>
    <d v="2023-07-23T00:00:00"/>
    <d v="2023-07-24T08:00:00"/>
    <d v="1900-01-31T00:00:00"/>
    <x v="1"/>
    <x v="0"/>
    <x v="2"/>
    <n v="10"/>
    <n v="12"/>
    <n v="0.83333333333333337"/>
    <s v="Plan A"/>
  </r>
  <r>
    <s v="PAT5797"/>
    <n v="50"/>
    <x v="4"/>
    <x v="1"/>
    <x v="53"/>
    <d v="2023-03-10T00:00:00"/>
    <n v="2"/>
    <x v="5"/>
    <n v="2"/>
    <s v="Dr. Sharma"/>
    <n v="17243"/>
    <x v="2"/>
    <x v="0"/>
    <x v="0"/>
    <d v="2023-09-30T00:00:00"/>
    <d v="2023-01-10T06:00:00"/>
    <d v="1917-04-06T00:00:00"/>
    <x v="2"/>
    <x v="0"/>
    <x v="0"/>
    <n v="9"/>
    <n v="10"/>
    <n v="0.9"/>
    <s v="Plan A"/>
  </r>
  <r>
    <s v="PAT5798"/>
    <n v="61"/>
    <x v="0"/>
    <x v="3"/>
    <x v="195"/>
    <d v="2023-05-16T00:00:00"/>
    <n v="1"/>
    <x v="1"/>
    <n v="1"/>
    <s v="Dr. Sharma"/>
    <n v="32939"/>
    <x v="2"/>
    <x v="1"/>
    <x v="1"/>
    <d v="2023-05-15T00:00:00"/>
    <d v="2023-05-16T09:00:00"/>
    <d v="1900-02-01T00:00:00"/>
    <x v="0"/>
    <x v="0"/>
    <x v="2"/>
    <n v="4"/>
    <n v="10"/>
    <n v="0.4"/>
    <s v="Plan B"/>
  </r>
  <r>
    <s v="PAT5799"/>
    <n v="51"/>
    <x v="0"/>
    <x v="1"/>
    <x v="430"/>
    <d v="2023-10-26T00:00:00"/>
    <n v="4"/>
    <x v="2"/>
    <n v="3"/>
    <s v="Dr. Mehta"/>
    <n v="6845"/>
    <x v="3"/>
    <x v="0"/>
    <x v="0"/>
    <d v="2023-10-20T00:00:00"/>
    <d v="2023-10-21T00:00:00"/>
    <d v="1900-01-23T00:00:00"/>
    <x v="4"/>
    <x v="0"/>
    <x v="1"/>
    <n v="9"/>
    <n v="8"/>
    <n v="1.125"/>
    <s v="Plan A"/>
  </r>
  <r>
    <s v="PAT5800"/>
    <n v="19"/>
    <x v="3"/>
    <x v="0"/>
    <x v="124"/>
    <d v="2024-03-31T00:00:00"/>
    <n v="7"/>
    <x v="2"/>
    <n v="2"/>
    <s v="Dr. Gupta"/>
    <n v="21766"/>
    <x v="3"/>
    <x v="0"/>
    <x v="0"/>
    <d v="2024-03-21T00:00:00"/>
    <d v="2024-03-21T04:00:00"/>
    <d v="1900-01-03T00:00:00"/>
    <x v="1"/>
    <x v="0"/>
    <x v="2"/>
    <n v="11"/>
    <n v="12"/>
    <n v="0.91666666666666663"/>
    <s v="Plan B"/>
  </r>
  <r>
    <s v="PAT5801"/>
    <n v="21"/>
    <x v="3"/>
    <x v="3"/>
    <x v="307"/>
    <d v="2024-05-22T00:00:00"/>
    <n v="11"/>
    <x v="0"/>
    <n v="1"/>
    <s v="Dr. Patel"/>
    <n v="41880"/>
    <x v="0"/>
    <x v="0"/>
    <x v="0"/>
    <d v="2024-06-05T00:00:00"/>
    <d v="2024-07-05T08:00:00"/>
    <d v="1901-12-28T00:00:00"/>
    <x v="1"/>
    <x v="0"/>
    <x v="2"/>
    <n v="4"/>
    <n v="12"/>
    <n v="0.33333333333333331"/>
    <s v="Plan A"/>
  </r>
  <r>
    <s v="PAT5802"/>
    <n v="5"/>
    <x v="1"/>
    <x v="3"/>
    <x v="296"/>
    <d v="2023-05-18T00:00:00"/>
    <n v="13"/>
    <x v="3"/>
    <n v="3"/>
    <s v="Dr. Gupta"/>
    <n v="17780"/>
    <x v="0"/>
    <x v="1"/>
    <x v="0"/>
    <d v="2023-01-05T00:00:00"/>
    <d v="2023-02-05T13:00:00"/>
    <d v="1902-01-26T00:00:00"/>
    <x v="3"/>
    <x v="0"/>
    <x v="1"/>
    <n v="8"/>
    <n v="8"/>
    <n v="1"/>
    <s v="Plan C"/>
  </r>
  <r>
    <s v="PAT5803"/>
    <n v="82"/>
    <x v="2"/>
    <x v="2"/>
    <x v="324"/>
    <d v="2023-09-02T00:00:00"/>
    <n v="10"/>
    <x v="0"/>
    <n v="2"/>
    <s v="Dr. Mehta"/>
    <n v="47856"/>
    <x v="1"/>
    <x v="1"/>
    <x v="1"/>
    <d v="2023-01-26T00:00:00"/>
    <d v="2023-01-26T11:00:00"/>
    <d v="1900-01-10T00:00:00"/>
    <x v="4"/>
    <x v="0"/>
    <x v="1"/>
    <n v="4"/>
    <n v="12"/>
    <n v="0.33333333333333331"/>
    <s v="Plan C"/>
  </r>
  <r>
    <s v="PAT5804"/>
    <n v="42"/>
    <x v="4"/>
    <x v="2"/>
    <x v="110"/>
    <d v="2023-11-09T00:00:00"/>
    <n v="8"/>
    <x v="0"/>
    <n v="2"/>
    <s v="Dr. Gupta"/>
    <n v="6509"/>
    <x v="4"/>
    <x v="0"/>
    <x v="0"/>
    <d v="2023-03-09T00:00:00"/>
    <d v="2023-04-09T00:00:00"/>
    <d v="1902-01-13T00:00:00"/>
    <x v="1"/>
    <x v="0"/>
    <x v="0"/>
    <n v="5"/>
    <n v="8"/>
    <n v="0.625"/>
    <s v="Plan A"/>
  </r>
  <r>
    <s v="PAT5805"/>
    <n v="61"/>
    <x v="0"/>
    <x v="4"/>
    <x v="303"/>
    <d v="2023-06-14T00:00:00"/>
    <n v="2"/>
    <x v="3"/>
    <n v="3"/>
    <s v="Dr. Gupta"/>
    <n v="28957"/>
    <x v="0"/>
    <x v="1"/>
    <x v="0"/>
    <d v="2023-12-06T00:00:00"/>
    <d v="2023-12-06T11:00:00"/>
    <d v="1900-01-10T00:00:00"/>
    <x v="2"/>
    <x v="0"/>
    <x v="0"/>
    <n v="11"/>
    <n v="10"/>
    <n v="1.1000000000000001"/>
    <s v="Plan A"/>
  </r>
  <r>
    <s v="PAT5806"/>
    <n v="22"/>
    <x v="3"/>
    <x v="1"/>
    <x v="344"/>
    <d v="2023-11-17T00:00:00"/>
    <n v="2"/>
    <x v="1"/>
    <n v="2"/>
    <s v="Dr. Mehta"/>
    <n v="39346"/>
    <x v="3"/>
    <x v="1"/>
    <x v="0"/>
    <d v="2023-11-14T00:00:00"/>
    <d v="2023-11-14T17:00:00"/>
    <d v="1900-01-16T00:00:00"/>
    <x v="1"/>
    <x v="0"/>
    <x v="0"/>
    <n v="5"/>
    <n v="10"/>
    <n v="0.5"/>
    <s v="Plan B"/>
  </r>
  <r>
    <s v="PAT5807"/>
    <n v="21"/>
    <x v="3"/>
    <x v="2"/>
    <x v="380"/>
    <d v="2023-01-29T00:00:00"/>
    <n v="14"/>
    <x v="0"/>
    <n v="5"/>
    <s v="Dr. Sharma"/>
    <n v="22263"/>
    <x v="0"/>
    <x v="0"/>
    <x v="0"/>
    <d v="2023-11-01T00:00:00"/>
    <d v="2023-11-01T07:00:00"/>
    <d v="1900-01-06T00:00:00"/>
    <x v="1"/>
    <x v="1"/>
    <x v="1"/>
    <n v="11"/>
    <n v="12"/>
    <n v="0.91666666666666663"/>
    <s v="Plan B"/>
  </r>
  <r>
    <s v="PAT5808"/>
    <n v="70"/>
    <x v="2"/>
    <x v="4"/>
    <x v="314"/>
    <d v="2024-08-03T00:00:00"/>
    <n v="15"/>
    <x v="1"/>
    <n v="3"/>
    <s v="Dr. Patel"/>
    <n v="31148"/>
    <x v="2"/>
    <x v="0"/>
    <x v="1"/>
    <d v="2024-02-17T00:00:00"/>
    <d v="2024-02-18T13:00:00"/>
    <d v="1900-02-05T00:00:00"/>
    <x v="1"/>
    <x v="0"/>
    <x v="2"/>
    <n v="9"/>
    <n v="10"/>
    <n v="0.9"/>
    <s v="Plan B"/>
  </r>
  <r>
    <s v="PAT5809"/>
    <n v="1"/>
    <x v="1"/>
    <x v="2"/>
    <x v="11"/>
    <d v="2023-04-14T00:00:00"/>
    <n v="8"/>
    <x v="0"/>
    <n v="2"/>
    <s v="Dr. Mehta"/>
    <n v="36533"/>
    <x v="4"/>
    <x v="0"/>
    <x v="1"/>
    <d v="2023-01-04T00:00:00"/>
    <d v="2023-02-04T20:00:00"/>
    <d v="1902-02-02T00:00:00"/>
    <x v="3"/>
    <x v="1"/>
    <x v="2"/>
    <n v="5"/>
    <n v="10"/>
    <n v="0.5"/>
    <s v="Plan C"/>
  </r>
  <r>
    <s v="PAT5810"/>
    <n v="5"/>
    <x v="1"/>
    <x v="1"/>
    <x v="129"/>
    <d v="2023-08-29T00:00:00"/>
    <n v="10"/>
    <x v="4"/>
    <n v="1"/>
    <s v="Dr. Rao"/>
    <n v="47608"/>
    <x v="1"/>
    <x v="0"/>
    <x v="0"/>
    <d v="2023-08-15T00:00:00"/>
    <d v="2023-08-16T23:00:00"/>
    <d v="1900-02-15T00:00:00"/>
    <x v="1"/>
    <x v="0"/>
    <x v="0"/>
    <n v="5"/>
    <n v="8"/>
    <n v="0.625"/>
    <s v="Plan C"/>
  </r>
  <r>
    <s v="PAT5811"/>
    <n v="12"/>
    <x v="1"/>
    <x v="3"/>
    <x v="388"/>
    <d v="2023-06-05T00:00:00"/>
    <n v="9"/>
    <x v="3"/>
    <n v="1"/>
    <s v="Dr. Sharma"/>
    <n v="17931"/>
    <x v="2"/>
    <x v="1"/>
    <x v="0"/>
    <d v="2023-04-26T00:00:00"/>
    <d v="2023-04-26T08:00:00"/>
    <d v="1900-01-07T00:00:00"/>
    <x v="1"/>
    <x v="0"/>
    <x v="0"/>
    <n v="8"/>
    <n v="8"/>
    <n v="1"/>
    <s v="Plan C"/>
  </r>
  <r>
    <s v="PAT5812"/>
    <n v="46"/>
    <x v="4"/>
    <x v="5"/>
    <x v="329"/>
    <d v="2024-04-18T00:00:00"/>
    <n v="1"/>
    <x v="0"/>
    <n v="5"/>
    <s v="Dr. Rao"/>
    <n v="6359"/>
    <x v="2"/>
    <x v="1"/>
    <x v="0"/>
    <d v="2024-04-14T00:00:00"/>
    <d v="2024-04-14T15:00:00"/>
    <d v="1900-01-14T00:00:00"/>
    <x v="3"/>
    <x v="0"/>
    <x v="1"/>
    <n v="5"/>
    <n v="12"/>
    <n v="0.41666666666666669"/>
    <s v="Plan C"/>
  </r>
  <r>
    <s v="PAT5813"/>
    <n v="34"/>
    <x v="3"/>
    <x v="1"/>
    <x v="431"/>
    <d v="2023-12-05T00:00:00"/>
    <n v="11"/>
    <x v="4"/>
    <n v="3"/>
    <s v="Dr. Sharma"/>
    <n v="29532"/>
    <x v="4"/>
    <x v="1"/>
    <x v="1"/>
    <d v="2023-04-30T00:00:00"/>
    <d v="2023-02-05T00:00:00"/>
    <d v="1905-07-08T00:00:00"/>
    <x v="4"/>
    <x v="0"/>
    <x v="2"/>
    <n v="7"/>
    <n v="8"/>
    <n v="0.875"/>
    <s v="Plan B"/>
  </r>
  <r>
    <s v="PAT5814"/>
    <n v="49"/>
    <x v="4"/>
    <x v="0"/>
    <x v="432"/>
    <d v="2023-06-16T00:00:00"/>
    <n v="9"/>
    <x v="5"/>
    <n v="2"/>
    <s v="Dr. Patel"/>
    <n v="25344"/>
    <x v="1"/>
    <x v="1"/>
    <x v="0"/>
    <d v="2023-05-06T00:00:00"/>
    <d v="2023-06-06T09:00:00"/>
    <d v="1902-01-22T00:00:00"/>
    <x v="0"/>
    <x v="0"/>
    <x v="0"/>
    <n v="7"/>
    <n v="12"/>
    <n v="0.58333333333333337"/>
    <s v="Plan C"/>
  </r>
  <r>
    <s v="PAT5815"/>
    <n v="78"/>
    <x v="2"/>
    <x v="2"/>
    <x v="429"/>
    <d v="2024-04-06T00:00:00"/>
    <n v="10"/>
    <x v="4"/>
    <n v="2"/>
    <s v="Dr. Patel"/>
    <n v="9242"/>
    <x v="3"/>
    <x v="1"/>
    <x v="0"/>
    <d v="2024-05-23T00:00:00"/>
    <d v="2024-05-23T01:00:00"/>
    <d v="1899-12-31T00:00:00"/>
    <x v="3"/>
    <x v="0"/>
    <x v="1"/>
    <n v="7"/>
    <n v="12"/>
    <n v="0.58333333333333337"/>
    <s v="Plan C"/>
  </r>
  <r>
    <s v="PAT5816"/>
    <n v="45"/>
    <x v="4"/>
    <x v="2"/>
    <x v="404"/>
    <d v="2023-10-30T00:00:00"/>
    <n v="4"/>
    <x v="2"/>
    <n v="1"/>
    <s v="Dr. Gupta"/>
    <n v="25601"/>
    <x v="1"/>
    <x v="1"/>
    <x v="0"/>
    <d v="2023-10-26T00:00:00"/>
    <d v="2023-10-26T03:00:00"/>
    <d v="1900-01-02T00:00:00"/>
    <x v="3"/>
    <x v="0"/>
    <x v="0"/>
    <n v="4"/>
    <n v="8"/>
    <n v="0.5"/>
    <s v="Plan C"/>
  </r>
  <r>
    <s v="PAT5817"/>
    <n v="27"/>
    <x v="3"/>
    <x v="3"/>
    <x v="81"/>
    <d v="2024-06-17T00:00:00"/>
    <n v="12"/>
    <x v="0"/>
    <n v="5"/>
    <s v="Dr. Rao"/>
    <n v="24116"/>
    <x v="0"/>
    <x v="1"/>
    <x v="1"/>
    <d v="2024-04-06T00:00:00"/>
    <d v="2024-04-06T01:00:00"/>
    <d v="1899-12-31T00:00:00"/>
    <x v="1"/>
    <x v="0"/>
    <x v="1"/>
    <n v="9"/>
    <n v="10"/>
    <n v="0.9"/>
    <s v="Plan C"/>
  </r>
  <r>
    <s v="PAT5818"/>
    <n v="73"/>
    <x v="2"/>
    <x v="0"/>
    <x v="323"/>
    <d v="2023-10-10T00:00:00"/>
    <n v="3"/>
    <x v="4"/>
    <n v="1"/>
    <s v="Dr. Sharma"/>
    <n v="40477"/>
    <x v="2"/>
    <x v="0"/>
    <x v="0"/>
    <d v="2023-06-10T00:00:00"/>
    <d v="2023-06-10T16:00:00"/>
    <d v="1900-01-15T00:00:00"/>
    <x v="1"/>
    <x v="0"/>
    <x v="2"/>
    <n v="9"/>
    <n v="10"/>
    <n v="0.9"/>
    <s v="Plan A"/>
  </r>
  <r>
    <s v="PAT5819"/>
    <n v="26"/>
    <x v="3"/>
    <x v="3"/>
    <x v="316"/>
    <d v="2024-06-03T00:00:00"/>
    <n v="5"/>
    <x v="1"/>
    <n v="1"/>
    <s v="Dr. Patel"/>
    <n v="35782"/>
    <x v="0"/>
    <x v="0"/>
    <x v="0"/>
    <d v="2024-02-25T00:00:00"/>
    <d v="2024-02-25T03:00:00"/>
    <d v="1900-01-02T00:00:00"/>
    <x v="0"/>
    <x v="0"/>
    <x v="1"/>
    <n v="6"/>
    <n v="10"/>
    <n v="0.6"/>
    <s v="Plan B"/>
  </r>
  <r>
    <s v="PAT5820"/>
    <n v="47"/>
    <x v="4"/>
    <x v="0"/>
    <x v="433"/>
    <d v="2024-05-16T00:00:00"/>
    <n v="7"/>
    <x v="5"/>
    <n v="5"/>
    <s v="Dr. Mehta"/>
    <n v="23880"/>
    <x v="3"/>
    <x v="0"/>
    <x v="0"/>
    <d v="2024-09-05T00:00:00"/>
    <d v="2024-10-05T07:00:00"/>
    <d v="1901-12-27T00:00:00"/>
    <x v="1"/>
    <x v="0"/>
    <x v="0"/>
    <n v="8"/>
    <n v="10"/>
    <n v="0.8"/>
    <s v="Plan B"/>
  </r>
  <r>
    <s v="PAT5821"/>
    <n v="86"/>
    <x v="2"/>
    <x v="5"/>
    <x v="434"/>
    <d v="2024-04-29T00:00:00"/>
    <n v="1"/>
    <x v="0"/>
    <n v="3"/>
    <s v="Dr. Patel"/>
    <n v="8499"/>
    <x v="0"/>
    <x v="0"/>
    <x v="0"/>
    <d v="2024-04-23T00:00:00"/>
    <d v="2024-04-24T00:00:00"/>
    <d v="1900-01-23T00:00:00"/>
    <x v="2"/>
    <x v="0"/>
    <x v="0"/>
    <n v="7"/>
    <n v="12"/>
    <n v="0.58333333333333337"/>
    <s v="Plan C"/>
  </r>
  <r>
    <s v="PAT5822"/>
    <n v="56"/>
    <x v="0"/>
    <x v="2"/>
    <x v="290"/>
    <d v="2023-09-17T00:00:00"/>
    <n v="10"/>
    <x v="2"/>
    <n v="2"/>
    <s v="Dr. Mehta"/>
    <n v="36587"/>
    <x v="1"/>
    <x v="1"/>
    <x v="0"/>
    <d v="2023-04-09T00:00:00"/>
    <d v="2023-05-09T01:00:00"/>
    <d v="1901-12-21T00:00:00"/>
    <x v="1"/>
    <x v="0"/>
    <x v="2"/>
    <n v="7"/>
    <n v="10"/>
    <n v="0.7"/>
    <s v="Plan A"/>
  </r>
  <r>
    <s v="PAT5823"/>
    <n v="63"/>
    <x v="0"/>
    <x v="2"/>
    <x v="297"/>
    <d v="2024-04-18T00:00:00"/>
    <n v="6"/>
    <x v="4"/>
    <n v="3"/>
    <s v="Dr. Sharma"/>
    <n v="49458"/>
    <x v="0"/>
    <x v="0"/>
    <x v="0"/>
    <d v="2024-11-04T00:00:00"/>
    <d v="2024-11-04T10:00:00"/>
    <d v="1900-01-09T00:00:00"/>
    <x v="1"/>
    <x v="0"/>
    <x v="2"/>
    <n v="5"/>
    <n v="12"/>
    <n v="0.41666666666666669"/>
    <s v="Plan B"/>
  </r>
  <r>
    <s v="PAT5824"/>
    <n v="48"/>
    <x v="4"/>
    <x v="5"/>
    <x v="435"/>
    <d v="2023-02-06T00:00:00"/>
    <n v="4"/>
    <x v="5"/>
    <n v="4"/>
    <s v="Dr. Patel"/>
    <n v="31020"/>
    <x v="3"/>
    <x v="1"/>
    <x v="0"/>
    <d v="2023-05-24T00:00:00"/>
    <d v="2023-05-24T12:00:00"/>
    <d v="1900-01-11T00:00:00"/>
    <x v="2"/>
    <x v="0"/>
    <x v="0"/>
    <n v="7"/>
    <n v="8"/>
    <n v="0.875"/>
    <s v="Plan B"/>
  </r>
  <r>
    <s v="PAT5825"/>
    <n v="61"/>
    <x v="0"/>
    <x v="4"/>
    <x v="313"/>
    <d v="2024-07-02T00:00:00"/>
    <n v="10"/>
    <x v="0"/>
    <n v="4"/>
    <s v="Dr. Patel"/>
    <n v="13080"/>
    <x v="3"/>
    <x v="0"/>
    <x v="1"/>
    <d v="2024-01-24T00:00:00"/>
    <d v="2024-01-24T03:00:00"/>
    <d v="1900-01-02T00:00:00"/>
    <x v="0"/>
    <x v="0"/>
    <x v="0"/>
    <n v="5"/>
    <n v="8"/>
    <n v="0.625"/>
    <s v="Plan C"/>
  </r>
  <r>
    <s v="PAT5826"/>
    <n v="81"/>
    <x v="2"/>
    <x v="3"/>
    <x v="363"/>
    <d v="2023-07-22T00:00:00"/>
    <n v="7"/>
    <x v="5"/>
    <n v="4"/>
    <s v="Dr. Sharma"/>
    <n v="28207"/>
    <x v="3"/>
    <x v="0"/>
    <x v="0"/>
    <d v="2023-10-07T00:00:00"/>
    <d v="2023-11-07T12:00:00"/>
    <d v="1902-01-25T00:00:00"/>
    <x v="2"/>
    <x v="0"/>
    <x v="0"/>
    <n v="5"/>
    <n v="12"/>
    <n v="0.41666666666666669"/>
    <s v="Plan C"/>
  </r>
  <r>
    <s v="PAT5827"/>
    <n v="26"/>
    <x v="3"/>
    <x v="5"/>
    <x v="183"/>
    <d v="2024-07-06T00:00:00"/>
    <n v="3"/>
    <x v="2"/>
    <n v="5"/>
    <s v="Dr. Patel"/>
    <n v="38957"/>
    <x v="1"/>
    <x v="0"/>
    <x v="1"/>
    <d v="2024-03-06T00:00:00"/>
    <d v="2024-04-06T22:00:00"/>
    <d v="1902-02-04T00:00:00"/>
    <x v="3"/>
    <x v="0"/>
    <x v="2"/>
    <n v="6"/>
    <n v="10"/>
    <n v="0.6"/>
    <s v="Plan B"/>
  </r>
  <r>
    <s v="PAT5828"/>
    <n v="36"/>
    <x v="4"/>
    <x v="3"/>
    <x v="436"/>
    <d v="2023-05-31T00:00:00"/>
    <n v="11"/>
    <x v="4"/>
    <n v="1"/>
    <s v="Dr. Mehta"/>
    <n v="18908"/>
    <x v="3"/>
    <x v="1"/>
    <x v="0"/>
    <d v="2023-05-17T00:00:00"/>
    <d v="2023-05-19T00:00:00"/>
    <d v="1900-02-16T00:00:00"/>
    <x v="2"/>
    <x v="0"/>
    <x v="0"/>
    <n v="4"/>
    <n v="12"/>
    <n v="0.33333333333333331"/>
    <s v="Plan B"/>
  </r>
  <r>
    <s v="PAT5829"/>
    <n v="1"/>
    <x v="1"/>
    <x v="1"/>
    <x v="41"/>
    <d v="2023-03-24T00:00:00"/>
    <n v="11"/>
    <x v="5"/>
    <n v="3"/>
    <s v="Dr. Patel"/>
    <n v="35652"/>
    <x v="2"/>
    <x v="1"/>
    <x v="0"/>
    <d v="2023-12-03T00:00:00"/>
    <d v="2023-03-13T18:00:00"/>
    <d v="1917-05-12T00:00:00"/>
    <x v="4"/>
    <x v="0"/>
    <x v="2"/>
    <n v="5"/>
    <n v="10"/>
    <n v="0.5"/>
    <s v="Plan A"/>
  </r>
  <r>
    <s v="PAT5830"/>
    <n v="8"/>
    <x v="1"/>
    <x v="2"/>
    <x v="361"/>
    <d v="2023-12-10T00:00:00"/>
    <n v="2"/>
    <x v="5"/>
    <n v="2"/>
    <s v="Dr. Rao"/>
    <n v="35344"/>
    <x v="3"/>
    <x v="1"/>
    <x v="0"/>
    <d v="2023-06-10T00:00:00"/>
    <d v="2023-07-10T03:00:00"/>
    <d v="1901-12-23T00:00:00"/>
    <x v="3"/>
    <x v="0"/>
    <x v="0"/>
    <n v="5"/>
    <n v="10"/>
    <n v="0.5"/>
    <s v="Plan B"/>
  </r>
  <r>
    <s v="PAT5831"/>
    <n v="52"/>
    <x v="0"/>
    <x v="3"/>
    <x v="286"/>
    <d v="2024-09-03T00:00:00"/>
    <n v="9"/>
    <x v="3"/>
    <n v="4"/>
    <s v="Dr. Gupta"/>
    <n v="30034"/>
    <x v="0"/>
    <x v="1"/>
    <x v="0"/>
    <d v="2024-02-27T00:00:00"/>
    <d v="2024-02-27T15:00:00"/>
    <d v="1900-01-14T00:00:00"/>
    <x v="1"/>
    <x v="0"/>
    <x v="1"/>
    <n v="9"/>
    <n v="12"/>
    <n v="0.75"/>
    <s v="Plan B"/>
  </r>
  <r>
    <s v="PAT5832"/>
    <n v="79"/>
    <x v="2"/>
    <x v="0"/>
    <x v="23"/>
    <d v="2023-12-21T00:00:00"/>
    <n v="6"/>
    <x v="5"/>
    <n v="3"/>
    <s v="Dr. Mehta"/>
    <n v="30788"/>
    <x v="0"/>
    <x v="1"/>
    <x v="1"/>
    <d v="2023-12-13T00:00:00"/>
    <d v="2023-12-13T21:00:00"/>
    <d v="1900-01-20T00:00:00"/>
    <x v="3"/>
    <x v="0"/>
    <x v="1"/>
    <n v="6"/>
    <n v="12"/>
    <n v="0.5"/>
    <s v="Plan C"/>
  </r>
  <r>
    <s v="PAT5833"/>
    <n v="47"/>
    <x v="4"/>
    <x v="3"/>
    <x v="99"/>
    <d v="2024-05-06T00:00:00"/>
    <n v="2"/>
    <x v="3"/>
    <n v="4"/>
    <s v="Dr. Rao"/>
    <n v="17751"/>
    <x v="0"/>
    <x v="1"/>
    <x v="0"/>
    <d v="2024-05-31T00:00:00"/>
    <d v="2024-05-31T16:00:00"/>
    <d v="1900-01-15T00:00:00"/>
    <x v="0"/>
    <x v="0"/>
    <x v="0"/>
    <n v="5"/>
    <n v="10"/>
    <n v="0.5"/>
    <s v="Plan B"/>
  </r>
  <r>
    <s v="PAT5834"/>
    <n v="56"/>
    <x v="0"/>
    <x v="1"/>
    <x v="53"/>
    <d v="2023-10-10T00:00:00"/>
    <n v="9"/>
    <x v="4"/>
    <n v="4"/>
    <s v="Dr. Sharma"/>
    <n v="38793"/>
    <x v="1"/>
    <x v="1"/>
    <x v="0"/>
    <d v="2023-09-28T00:00:00"/>
    <d v="2023-09-29T03:00:00"/>
    <d v="1900-01-26T00:00:00"/>
    <x v="0"/>
    <x v="0"/>
    <x v="1"/>
    <n v="8"/>
    <n v="12"/>
    <n v="0.66666666666666663"/>
    <s v="Plan C"/>
  </r>
  <r>
    <s v="PAT5835"/>
    <n v="86"/>
    <x v="2"/>
    <x v="2"/>
    <x v="171"/>
    <d v="2023-12-01T00:00:00"/>
    <n v="9"/>
    <x v="0"/>
    <n v="2"/>
    <s v="Dr. Mehta"/>
    <n v="37839"/>
    <x v="0"/>
    <x v="1"/>
    <x v="1"/>
    <d v="2022-12-30T00:00:00"/>
    <d v="2022-12-31T23:00:00"/>
    <d v="1900-02-15T00:00:00"/>
    <x v="2"/>
    <x v="0"/>
    <x v="2"/>
    <n v="4"/>
    <n v="10"/>
    <n v="0.4"/>
    <s v="Plan B"/>
  </r>
  <r>
    <s v="PAT5836"/>
    <n v="14"/>
    <x v="1"/>
    <x v="5"/>
    <x v="376"/>
    <d v="2023-10-26T00:00:00"/>
    <n v="9"/>
    <x v="0"/>
    <n v="5"/>
    <s v="Dr. Gupta"/>
    <n v="43314"/>
    <x v="1"/>
    <x v="0"/>
    <x v="0"/>
    <d v="2023-12-10T00:00:00"/>
    <d v="2023-12-10T21:00:00"/>
    <d v="1900-01-20T00:00:00"/>
    <x v="3"/>
    <x v="0"/>
    <x v="1"/>
    <n v="11"/>
    <n v="12"/>
    <n v="0.91666666666666663"/>
    <s v="Plan B"/>
  </r>
  <r>
    <s v="PAT5837"/>
    <n v="28"/>
    <x v="3"/>
    <x v="1"/>
    <x v="101"/>
    <d v="2023-11-15T00:00:00"/>
    <n v="13"/>
    <x v="4"/>
    <n v="1"/>
    <s v="Dr. Gupta"/>
    <n v="40453"/>
    <x v="1"/>
    <x v="1"/>
    <x v="1"/>
    <d v="2023-10-31T00:00:00"/>
    <d v="2023-10-31T18:00:00"/>
    <d v="1900-01-17T00:00:00"/>
    <x v="1"/>
    <x v="1"/>
    <x v="1"/>
    <n v="8"/>
    <n v="8"/>
    <n v="1"/>
    <s v="Plan B"/>
  </r>
  <r>
    <s v="PAT5838"/>
    <n v="87"/>
    <x v="2"/>
    <x v="2"/>
    <x v="351"/>
    <d v="2024-05-25T00:00:00"/>
    <n v="9"/>
    <x v="4"/>
    <n v="5"/>
    <s v="Dr. Sharma"/>
    <n v="14385"/>
    <x v="3"/>
    <x v="0"/>
    <x v="0"/>
    <d v="2024-05-14T00:00:00"/>
    <d v="2024-05-14T05:00:00"/>
    <d v="1900-01-04T00:00:00"/>
    <x v="0"/>
    <x v="0"/>
    <x v="2"/>
    <n v="7"/>
    <n v="10"/>
    <n v="0.7"/>
    <s v="Plan A"/>
  </r>
  <r>
    <s v="PAT5839"/>
    <n v="78"/>
    <x v="2"/>
    <x v="3"/>
    <x v="226"/>
    <d v="2023-11-06T00:00:00"/>
    <n v="9"/>
    <x v="1"/>
    <n v="3"/>
    <s v="Dr. Sharma"/>
    <n v="23232"/>
    <x v="2"/>
    <x v="0"/>
    <x v="0"/>
    <d v="2023-05-31T00:00:00"/>
    <d v="2023-01-06T13:00:00"/>
    <d v="1909-06-28T00:00:00"/>
    <x v="1"/>
    <x v="0"/>
    <x v="1"/>
    <n v="4"/>
    <n v="8"/>
    <n v="0.5"/>
    <s v="Plan C"/>
  </r>
  <r>
    <s v="PAT5840"/>
    <n v="88"/>
    <x v="2"/>
    <x v="4"/>
    <x v="437"/>
    <d v="2024-03-04T00:00:00"/>
    <n v="1"/>
    <x v="4"/>
    <n v="5"/>
    <s v="Dr. Mehta"/>
    <n v="48344"/>
    <x v="3"/>
    <x v="1"/>
    <x v="1"/>
    <d v="2024-03-31T00:00:00"/>
    <d v="2024-01-04T00:00:00"/>
    <d v="1905-09-18T00:00:00"/>
    <x v="4"/>
    <x v="0"/>
    <x v="1"/>
    <n v="7"/>
    <n v="12"/>
    <n v="0.58333333333333337"/>
    <s v="Plan A"/>
  </r>
  <r>
    <s v="PAT5841"/>
    <n v="2"/>
    <x v="1"/>
    <x v="4"/>
    <x v="354"/>
    <d v="2024-05-17T00:00:00"/>
    <n v="7"/>
    <x v="5"/>
    <n v="3"/>
    <s v="Dr. Patel"/>
    <n v="39790"/>
    <x v="3"/>
    <x v="0"/>
    <x v="0"/>
    <d v="2024-06-05T00:00:00"/>
    <d v="2024-06-05T08:00:00"/>
    <d v="1900-01-07T00:00:00"/>
    <x v="0"/>
    <x v="0"/>
    <x v="0"/>
    <n v="9"/>
    <n v="8"/>
    <n v="1.125"/>
    <s v="Plan B"/>
  </r>
  <r>
    <s v="PAT5842"/>
    <n v="26"/>
    <x v="3"/>
    <x v="0"/>
    <x v="257"/>
    <d v="2024-03-01T00:00:00"/>
    <n v="14"/>
    <x v="0"/>
    <n v="3"/>
    <s v="Dr. Sharma"/>
    <n v="20831"/>
    <x v="1"/>
    <x v="1"/>
    <x v="1"/>
    <d v="2023-12-17T00:00:00"/>
    <d v="2023-12-18T09:00:00"/>
    <d v="1900-02-01T00:00:00"/>
    <x v="2"/>
    <x v="0"/>
    <x v="2"/>
    <n v="10"/>
    <n v="12"/>
    <n v="0.83333333333333337"/>
    <s v="Plan A"/>
  </r>
  <r>
    <s v="PAT5843"/>
    <n v="14"/>
    <x v="1"/>
    <x v="2"/>
    <x v="238"/>
    <d v="2023-12-15T00:00:00"/>
    <n v="8"/>
    <x v="2"/>
    <n v="1"/>
    <s v="Dr. Patel"/>
    <n v="25125"/>
    <x v="1"/>
    <x v="1"/>
    <x v="1"/>
    <d v="2023-04-12T00:00:00"/>
    <d v="2023-05-12T20:00:00"/>
    <d v="1902-01-09T00:00:00"/>
    <x v="4"/>
    <x v="0"/>
    <x v="2"/>
    <n v="10"/>
    <n v="10"/>
    <n v="1"/>
    <s v="Plan C"/>
  </r>
  <r>
    <s v="PAT5844"/>
    <n v="59"/>
    <x v="0"/>
    <x v="4"/>
    <x v="438"/>
    <d v="2024-01-23T00:00:00"/>
    <n v="1"/>
    <x v="0"/>
    <n v="2"/>
    <s v="Dr. Rao"/>
    <n v="22682"/>
    <x v="0"/>
    <x v="1"/>
    <x v="1"/>
    <d v="2024-01-22T00:00:00"/>
    <d v="2024-01-22T04:00:00"/>
    <d v="1900-01-03T00:00:00"/>
    <x v="3"/>
    <x v="0"/>
    <x v="0"/>
    <n v="10"/>
    <n v="12"/>
    <n v="0.83333333333333337"/>
    <s v="Plan B"/>
  </r>
  <r>
    <s v="PAT5845"/>
    <n v="56"/>
    <x v="0"/>
    <x v="5"/>
    <x v="285"/>
    <d v="2024-04-22T00:00:00"/>
    <n v="11"/>
    <x v="3"/>
    <n v="1"/>
    <s v="Dr. Gupta"/>
    <n v="41870"/>
    <x v="0"/>
    <x v="1"/>
    <x v="0"/>
    <d v="2024-06-04T00:00:00"/>
    <d v="2024-06-04T12:00:00"/>
    <d v="1900-01-11T00:00:00"/>
    <x v="1"/>
    <x v="0"/>
    <x v="0"/>
    <n v="5"/>
    <n v="12"/>
    <n v="0.41666666666666669"/>
    <s v="Plan A"/>
  </r>
  <r>
    <s v="PAT5846"/>
    <n v="7"/>
    <x v="1"/>
    <x v="2"/>
    <x v="275"/>
    <d v="2023-03-12T00:00:00"/>
    <n v="7"/>
    <x v="0"/>
    <n v="5"/>
    <s v="Dr. Patel"/>
    <n v="22288"/>
    <x v="3"/>
    <x v="1"/>
    <x v="0"/>
    <d v="2023-11-23T00:00:00"/>
    <d v="2023-11-23T15:00:00"/>
    <d v="1900-01-14T00:00:00"/>
    <x v="0"/>
    <x v="0"/>
    <x v="1"/>
    <n v="6"/>
    <n v="10"/>
    <n v="0.6"/>
    <s v="Plan A"/>
  </r>
  <r>
    <s v="PAT5847"/>
    <n v="3"/>
    <x v="1"/>
    <x v="5"/>
    <x v="439"/>
    <d v="2023-07-19T00:00:00"/>
    <n v="6"/>
    <x v="1"/>
    <n v="3"/>
    <s v="Dr. Gupta"/>
    <n v="40794"/>
    <x v="4"/>
    <x v="1"/>
    <x v="0"/>
    <d v="2023-11-07T00:00:00"/>
    <d v="2023-12-07T10:00:00"/>
    <d v="1901-12-30T00:00:00"/>
    <x v="4"/>
    <x v="0"/>
    <x v="1"/>
    <n v="8"/>
    <n v="12"/>
    <n v="0.66666666666666663"/>
    <s v="Plan C"/>
  </r>
  <r>
    <s v="PAT5848"/>
    <n v="23"/>
    <x v="3"/>
    <x v="5"/>
    <x v="194"/>
    <d v="2023-07-09T00:00:00"/>
    <n v="5"/>
    <x v="4"/>
    <n v="4"/>
    <s v="Dr. Patel"/>
    <n v="44477"/>
    <x v="4"/>
    <x v="1"/>
    <x v="1"/>
    <d v="2023-01-09T00:00:00"/>
    <d v="2023-01-09T03:00:00"/>
    <d v="1900-01-02T00:00:00"/>
    <x v="4"/>
    <x v="0"/>
    <x v="1"/>
    <n v="7"/>
    <n v="10"/>
    <n v="0.7"/>
    <s v="Plan A"/>
  </r>
  <r>
    <s v="PAT5849"/>
    <n v="18"/>
    <x v="1"/>
    <x v="4"/>
    <x v="313"/>
    <d v="2024-09-02T00:00:00"/>
    <n v="12"/>
    <x v="4"/>
    <n v="4"/>
    <s v="Dr. Rao"/>
    <n v="29405"/>
    <x v="0"/>
    <x v="1"/>
    <x v="1"/>
    <d v="2024-01-26T00:00:00"/>
    <d v="2024-01-27T02:00:00"/>
    <d v="1900-01-25T00:00:00"/>
    <x v="0"/>
    <x v="1"/>
    <x v="0"/>
    <n v="5"/>
    <n v="12"/>
    <n v="0.41666666666666669"/>
    <s v="Plan C"/>
  </r>
  <r>
    <s v="PAT5850"/>
    <n v="38"/>
    <x v="4"/>
    <x v="2"/>
    <x v="408"/>
    <d v="2023-08-29T00:00:00"/>
    <n v="1"/>
    <x v="0"/>
    <n v="3"/>
    <s v="Dr. Sharma"/>
    <n v="43737"/>
    <x v="4"/>
    <x v="1"/>
    <x v="0"/>
    <d v="2023-08-26T00:00:00"/>
    <d v="2023-08-26T05:00:00"/>
    <d v="1900-01-04T00:00:00"/>
    <x v="3"/>
    <x v="0"/>
    <x v="2"/>
    <n v="10"/>
    <n v="10"/>
    <n v="1"/>
    <s v="Plan B"/>
  </r>
  <r>
    <s v="PAT5851"/>
    <n v="15"/>
    <x v="1"/>
    <x v="3"/>
    <x v="150"/>
    <d v="2024-02-03T00:00:00"/>
    <n v="6"/>
    <x v="2"/>
    <n v="1"/>
    <s v="Dr. Rao"/>
    <n v="7620"/>
    <x v="0"/>
    <x v="1"/>
    <x v="0"/>
    <d v="2024-02-22T00:00:00"/>
    <d v="2024-02-23T06:00:00"/>
    <d v="1900-01-29T00:00:00"/>
    <x v="3"/>
    <x v="0"/>
    <x v="1"/>
    <n v="8"/>
    <n v="8"/>
    <n v="1"/>
    <s v="Plan B"/>
  </r>
  <r>
    <s v="PAT5852"/>
    <n v="64"/>
    <x v="0"/>
    <x v="1"/>
    <x v="33"/>
    <d v="2023-02-27T00:00:00"/>
    <n v="13"/>
    <x v="2"/>
    <n v="2"/>
    <s v="Dr. Sharma"/>
    <n v="40414"/>
    <x v="1"/>
    <x v="1"/>
    <x v="0"/>
    <d v="2023-02-14T00:00:00"/>
    <d v="2023-02-14T19:00:00"/>
    <d v="1900-01-18T00:00:00"/>
    <x v="2"/>
    <x v="0"/>
    <x v="0"/>
    <n v="8"/>
    <n v="12"/>
    <n v="0.66666666666666663"/>
    <s v="Plan A"/>
  </r>
  <r>
    <s v="PAT5853"/>
    <n v="89"/>
    <x v="2"/>
    <x v="4"/>
    <x v="440"/>
    <d v="2023-11-24T00:00:00"/>
    <n v="2"/>
    <x v="1"/>
    <n v="1"/>
    <s v="Dr. Sharma"/>
    <n v="42633"/>
    <x v="3"/>
    <x v="1"/>
    <x v="1"/>
    <d v="2023-11-18T00:00:00"/>
    <d v="2023-11-18T20:00:00"/>
    <d v="1900-01-19T00:00:00"/>
    <x v="3"/>
    <x v="0"/>
    <x v="2"/>
    <n v="9"/>
    <n v="12"/>
    <n v="0.75"/>
    <s v="Plan B"/>
  </r>
  <r>
    <s v="PAT5854"/>
    <n v="28"/>
    <x v="3"/>
    <x v="4"/>
    <x v="143"/>
    <d v="2024-05-05T00:00:00"/>
    <n v="6"/>
    <x v="3"/>
    <n v="3"/>
    <s v="Dr. Gupta"/>
    <n v="40057"/>
    <x v="2"/>
    <x v="1"/>
    <x v="0"/>
    <d v="2024-04-28T00:00:00"/>
    <d v="2024-04-28T21:00:00"/>
    <d v="1900-01-20T00:00:00"/>
    <x v="2"/>
    <x v="0"/>
    <x v="0"/>
    <n v="9"/>
    <n v="12"/>
    <n v="0.75"/>
    <s v="Plan B"/>
  </r>
  <r>
    <s v="PAT5855"/>
    <n v="74"/>
    <x v="2"/>
    <x v="3"/>
    <x v="89"/>
    <d v="2024-01-30T00:00:00"/>
    <n v="4"/>
    <x v="0"/>
    <n v="3"/>
    <s v="Dr. Rao"/>
    <n v="45138"/>
    <x v="3"/>
    <x v="1"/>
    <x v="0"/>
    <d v="2024-01-21T00:00:00"/>
    <d v="2024-01-21T06:00:00"/>
    <d v="1900-01-05T00:00:00"/>
    <x v="4"/>
    <x v="0"/>
    <x v="1"/>
    <n v="10"/>
    <n v="10"/>
    <n v="1"/>
    <s v="Plan A"/>
  </r>
  <r>
    <s v="PAT5856"/>
    <n v="39"/>
    <x v="4"/>
    <x v="2"/>
    <x v="441"/>
    <d v="2024-12-02T00:00:00"/>
    <n v="12"/>
    <x v="4"/>
    <n v="2"/>
    <s v="Dr. Patel"/>
    <n v="18854"/>
    <x v="0"/>
    <x v="1"/>
    <x v="0"/>
    <d v="2024-01-30T00:00:00"/>
    <d v="2024-01-31T12:00:00"/>
    <d v="1900-02-04T00:00:00"/>
    <x v="0"/>
    <x v="0"/>
    <x v="0"/>
    <n v="7"/>
    <n v="12"/>
    <n v="0.58333333333333337"/>
    <s v="Plan B"/>
  </r>
  <r>
    <s v="PAT5857"/>
    <n v="57"/>
    <x v="0"/>
    <x v="2"/>
    <x v="392"/>
    <d v="2023-06-16T00:00:00"/>
    <n v="11"/>
    <x v="0"/>
    <n v="5"/>
    <s v="Dr. Rao"/>
    <n v="14677"/>
    <x v="0"/>
    <x v="0"/>
    <x v="0"/>
    <d v="2023-05-06T00:00:00"/>
    <d v="2023-06-06T06:00:00"/>
    <d v="1902-01-19T00:00:00"/>
    <x v="3"/>
    <x v="0"/>
    <x v="0"/>
    <n v="10"/>
    <n v="10"/>
    <n v="1"/>
    <s v="Plan A"/>
  </r>
  <r>
    <s v="PAT5858"/>
    <n v="17"/>
    <x v="1"/>
    <x v="5"/>
    <x v="424"/>
    <d v="2024-02-06T00:00:00"/>
    <n v="11"/>
    <x v="1"/>
    <n v="5"/>
    <s v="Dr. Gupta"/>
    <n v="49111"/>
    <x v="3"/>
    <x v="1"/>
    <x v="1"/>
    <d v="2024-05-20T00:00:00"/>
    <d v="2024-05-20T01:00:00"/>
    <d v="1899-12-31T00:00:00"/>
    <x v="2"/>
    <x v="0"/>
    <x v="0"/>
    <n v="10"/>
    <n v="12"/>
    <n v="0.83333333333333337"/>
    <s v="Plan C"/>
  </r>
  <r>
    <s v="PAT5859"/>
    <n v="86"/>
    <x v="2"/>
    <x v="3"/>
    <x v="425"/>
    <d v="2023-09-02T00:00:00"/>
    <n v="2"/>
    <x v="5"/>
    <n v="2"/>
    <s v="Dr. Sharma"/>
    <n v="29074"/>
    <x v="0"/>
    <x v="0"/>
    <x v="0"/>
    <d v="2023-03-02T00:00:00"/>
    <d v="2023-04-02T00:00:00"/>
    <d v="1902-01-13T00:00:00"/>
    <x v="4"/>
    <x v="0"/>
    <x v="0"/>
    <n v="5"/>
    <n v="8"/>
    <n v="0.625"/>
    <s v="Plan C"/>
  </r>
  <r>
    <s v="PAT5860"/>
    <n v="44"/>
    <x v="4"/>
    <x v="3"/>
    <x v="340"/>
    <d v="2023-05-23T00:00:00"/>
    <n v="13"/>
    <x v="5"/>
    <n v="5"/>
    <s v="Dr. Gupta"/>
    <n v="22824"/>
    <x v="4"/>
    <x v="0"/>
    <x v="0"/>
    <d v="2023-06-05T00:00:00"/>
    <d v="2023-06-05T13:00:00"/>
    <d v="1900-01-12T00:00:00"/>
    <x v="3"/>
    <x v="0"/>
    <x v="2"/>
    <n v="6"/>
    <n v="12"/>
    <n v="0.5"/>
    <s v="Plan C"/>
  </r>
  <r>
    <s v="PAT5861"/>
    <n v="25"/>
    <x v="3"/>
    <x v="2"/>
    <x v="182"/>
    <d v="2024-08-06T00:00:00"/>
    <n v="10"/>
    <x v="1"/>
    <n v="4"/>
    <s v="Dr. Mehta"/>
    <n v="5765"/>
    <x v="4"/>
    <x v="1"/>
    <x v="0"/>
    <d v="2024-05-25T00:00:00"/>
    <d v="2024-05-25T19:00:00"/>
    <d v="1900-01-18T00:00:00"/>
    <x v="1"/>
    <x v="0"/>
    <x v="1"/>
    <n v="10"/>
    <n v="8"/>
    <n v="1.25"/>
    <s v="Plan A"/>
  </r>
  <r>
    <s v="PAT5862"/>
    <n v="17"/>
    <x v="1"/>
    <x v="5"/>
    <x v="254"/>
    <d v="2023-12-18T00:00:00"/>
    <n v="12"/>
    <x v="4"/>
    <n v="5"/>
    <s v="Dr. Mehta"/>
    <n v="36615"/>
    <x v="0"/>
    <x v="1"/>
    <x v="0"/>
    <d v="2023-01-12T00:00:00"/>
    <d v="2023-02-12T13:00:00"/>
    <d v="1902-01-26T00:00:00"/>
    <x v="4"/>
    <x v="0"/>
    <x v="2"/>
    <n v="7"/>
    <n v="10"/>
    <n v="0.7"/>
    <s v="Plan A"/>
  </r>
  <r>
    <s v="PAT5863"/>
    <n v="13"/>
    <x v="1"/>
    <x v="4"/>
    <x v="200"/>
    <d v="2023-04-26T00:00:00"/>
    <n v="13"/>
    <x v="1"/>
    <n v="5"/>
    <s v="Dr. Patel"/>
    <n v="41860"/>
    <x v="0"/>
    <x v="0"/>
    <x v="0"/>
    <d v="2023-10-04T00:00:00"/>
    <d v="2023-10-04T20:00:00"/>
    <d v="1900-01-19T00:00:00"/>
    <x v="3"/>
    <x v="0"/>
    <x v="0"/>
    <n v="8"/>
    <n v="8"/>
    <n v="1"/>
    <s v="Plan B"/>
  </r>
  <r>
    <s v="PAT5864"/>
    <n v="84"/>
    <x v="2"/>
    <x v="0"/>
    <x v="308"/>
    <d v="2024-01-04T00:00:00"/>
    <n v="6"/>
    <x v="4"/>
    <n v="5"/>
    <s v="Dr. Gupta"/>
    <n v="17975"/>
    <x v="4"/>
    <x v="0"/>
    <x v="0"/>
    <d v="2024-03-24T00:00:00"/>
    <d v="2024-03-26T00:00:00"/>
    <d v="1900-02-16T00:00:00"/>
    <x v="4"/>
    <x v="0"/>
    <x v="0"/>
    <n v="8"/>
    <n v="12"/>
    <n v="0.66666666666666663"/>
    <s v="Plan B"/>
  </r>
  <r>
    <s v="PAT5865"/>
    <n v="25"/>
    <x v="3"/>
    <x v="1"/>
    <x v="200"/>
    <d v="2023-04-16T00:00:00"/>
    <n v="3"/>
    <x v="2"/>
    <n v="4"/>
    <s v="Dr. Patel"/>
    <n v="14341"/>
    <x v="0"/>
    <x v="1"/>
    <x v="1"/>
    <d v="2023-12-04T00:00:00"/>
    <d v="2023-04-13T16:00:00"/>
    <d v="1915-05-25T00:00:00"/>
    <x v="0"/>
    <x v="1"/>
    <x v="1"/>
    <n v="11"/>
    <n v="12"/>
    <n v="0.91666666666666663"/>
    <s v="Plan B"/>
  </r>
  <r>
    <s v="PAT5866"/>
    <n v="68"/>
    <x v="2"/>
    <x v="4"/>
    <x v="442"/>
    <d v="2024-06-23T00:00:00"/>
    <n v="1"/>
    <x v="1"/>
    <n v="5"/>
    <s v="Dr. Patel"/>
    <n v="33141"/>
    <x v="0"/>
    <x v="0"/>
    <x v="0"/>
    <d v="2024-06-21T00:00:00"/>
    <d v="2024-06-21T16:00:00"/>
    <d v="1900-01-15T00:00:00"/>
    <x v="0"/>
    <x v="0"/>
    <x v="1"/>
    <n v="4"/>
    <n v="10"/>
    <n v="0.4"/>
    <s v="Plan B"/>
  </r>
  <r>
    <s v="PAT5867"/>
    <n v="10"/>
    <x v="1"/>
    <x v="2"/>
    <x v="297"/>
    <d v="2024-04-18T00:00:00"/>
    <n v="6"/>
    <x v="4"/>
    <n v="4"/>
    <s v="Dr. Mehta"/>
    <n v="17334"/>
    <x v="3"/>
    <x v="0"/>
    <x v="0"/>
    <d v="2024-10-04T00:00:00"/>
    <d v="2024-11-04T06:00:00"/>
    <d v="1902-01-19T00:00:00"/>
    <x v="0"/>
    <x v="0"/>
    <x v="2"/>
    <n v="10"/>
    <n v="12"/>
    <n v="0.83333333333333337"/>
    <s v="Plan B"/>
  </r>
  <r>
    <s v="PAT5868"/>
    <n v="67"/>
    <x v="2"/>
    <x v="1"/>
    <x v="165"/>
    <d v="2023-01-25T00:00:00"/>
    <n v="9"/>
    <x v="1"/>
    <n v="2"/>
    <s v="Dr. Patel"/>
    <n v="20835"/>
    <x v="2"/>
    <x v="1"/>
    <x v="0"/>
    <d v="2023-01-15T00:00:00"/>
    <d v="2023-01-16T00:00:00"/>
    <d v="1900-01-23T00:00:00"/>
    <x v="1"/>
    <x v="0"/>
    <x v="2"/>
    <n v="11"/>
    <n v="12"/>
    <n v="0.91666666666666663"/>
    <s v="Plan A"/>
  </r>
  <r>
    <s v="PAT5869"/>
    <n v="18"/>
    <x v="1"/>
    <x v="0"/>
    <x v="443"/>
    <d v="2023-03-06T00:00:00"/>
    <n v="6"/>
    <x v="1"/>
    <n v="1"/>
    <s v="Dr. Mehta"/>
    <n v="31548"/>
    <x v="4"/>
    <x v="0"/>
    <x v="0"/>
    <d v="2023-05-25T00:00:00"/>
    <d v="2023-05-26T14:00:00"/>
    <d v="1900-02-06T00:00:00"/>
    <x v="0"/>
    <x v="0"/>
    <x v="1"/>
    <n v="11"/>
    <n v="10"/>
    <n v="1.1000000000000001"/>
    <s v="Plan A"/>
  </r>
  <r>
    <s v="PAT5870"/>
    <n v="86"/>
    <x v="2"/>
    <x v="0"/>
    <x v="444"/>
    <d v="2024-09-03T00:00:00"/>
    <n v="14"/>
    <x v="4"/>
    <n v="2"/>
    <s v="Dr. Sharma"/>
    <n v="40434"/>
    <x v="3"/>
    <x v="1"/>
    <x v="1"/>
    <d v="2024-02-20T00:00:00"/>
    <d v="2024-02-21T08:00:00"/>
    <d v="1900-01-31T00:00:00"/>
    <x v="1"/>
    <x v="0"/>
    <x v="2"/>
    <n v="5"/>
    <n v="10"/>
    <n v="0.5"/>
    <s v="Plan C"/>
  </r>
  <r>
    <s v="PAT5871"/>
    <n v="34"/>
    <x v="3"/>
    <x v="5"/>
    <x v="176"/>
    <d v="2023-06-19T00:00:00"/>
    <n v="11"/>
    <x v="4"/>
    <n v="1"/>
    <s v="Dr. Gupta"/>
    <n v="30039"/>
    <x v="2"/>
    <x v="1"/>
    <x v="0"/>
    <d v="2023-07-06T00:00:00"/>
    <d v="2023-07-06T13:00:00"/>
    <d v="1900-01-12T00:00:00"/>
    <x v="0"/>
    <x v="1"/>
    <x v="0"/>
    <n v="4"/>
    <n v="8"/>
    <n v="0.5"/>
    <s v="Plan C"/>
  </r>
  <r>
    <s v="PAT5872"/>
    <n v="8"/>
    <x v="1"/>
    <x v="1"/>
    <x v="403"/>
    <d v="2023-03-21T00:00:00"/>
    <n v="3"/>
    <x v="3"/>
    <n v="2"/>
    <s v="Dr. Patel"/>
    <n v="37530"/>
    <x v="0"/>
    <x v="0"/>
    <x v="0"/>
    <d v="2023-03-15T00:00:00"/>
    <d v="2023-03-16T23:00:00"/>
    <d v="1900-02-15T00:00:00"/>
    <x v="4"/>
    <x v="0"/>
    <x v="0"/>
    <n v="9"/>
    <n v="10"/>
    <n v="0.9"/>
    <s v="Plan C"/>
  </r>
  <r>
    <s v="PAT5873"/>
    <n v="40"/>
    <x v="4"/>
    <x v="5"/>
    <x v="383"/>
    <d v="2024-09-05T00:00:00"/>
    <n v="14"/>
    <x v="1"/>
    <n v="1"/>
    <s v="Dr. Mehta"/>
    <n v="43736"/>
    <x v="0"/>
    <x v="0"/>
    <x v="1"/>
    <d v="2024-04-21T00:00:00"/>
    <d v="2024-04-22T11:00:00"/>
    <d v="1900-02-03T00:00:00"/>
    <x v="3"/>
    <x v="0"/>
    <x v="1"/>
    <n v="6"/>
    <n v="12"/>
    <n v="0.5"/>
    <s v="Plan C"/>
  </r>
  <r>
    <s v="PAT5874"/>
    <n v="83"/>
    <x v="2"/>
    <x v="4"/>
    <x v="75"/>
    <d v="2023-12-10T00:00:00"/>
    <n v="13"/>
    <x v="5"/>
    <n v="1"/>
    <s v="Dr. Rao"/>
    <n v="45409"/>
    <x v="3"/>
    <x v="1"/>
    <x v="0"/>
    <d v="2023-09-24T00:00:00"/>
    <d v="2023-09-24T16:00:00"/>
    <d v="1900-01-15T00:00:00"/>
    <x v="3"/>
    <x v="0"/>
    <x v="2"/>
    <n v="7"/>
    <n v="10"/>
    <n v="0.7"/>
    <s v="Plan A"/>
  </r>
  <r>
    <s v="PAT5875"/>
    <n v="42"/>
    <x v="4"/>
    <x v="3"/>
    <x v="130"/>
    <d v="2023-12-24T00:00:00"/>
    <n v="11"/>
    <x v="1"/>
    <n v="3"/>
    <s v="Dr. Patel"/>
    <n v="23565"/>
    <x v="0"/>
    <x v="1"/>
    <x v="1"/>
    <d v="2023-08-12T00:00:00"/>
    <d v="2023-08-12T10:00:00"/>
    <d v="1900-01-09T00:00:00"/>
    <x v="0"/>
    <x v="0"/>
    <x v="0"/>
    <n v="10"/>
    <n v="12"/>
    <n v="0.83333333333333337"/>
    <s v="Plan A"/>
  </r>
  <r>
    <s v="PAT5876"/>
    <n v="41"/>
    <x v="4"/>
    <x v="3"/>
    <x v="445"/>
    <d v="2024-02-20T00:00:00"/>
    <n v="8"/>
    <x v="1"/>
    <n v="1"/>
    <s v="Dr. Sharma"/>
    <n v="14834"/>
    <x v="1"/>
    <x v="1"/>
    <x v="0"/>
    <d v="2024-10-02T00:00:00"/>
    <d v="2024-10-02T01:00:00"/>
    <d v="1899-12-31T00:00:00"/>
    <x v="3"/>
    <x v="0"/>
    <x v="1"/>
    <n v="8"/>
    <n v="8"/>
    <n v="1"/>
    <s v="Plan A"/>
  </r>
  <r>
    <s v="PAT5877"/>
    <n v="6"/>
    <x v="1"/>
    <x v="3"/>
    <x v="184"/>
    <d v="2023-05-04T00:00:00"/>
    <n v="12"/>
    <x v="4"/>
    <n v="1"/>
    <s v="Dr. Sharma"/>
    <n v="41656"/>
    <x v="3"/>
    <x v="0"/>
    <x v="0"/>
    <d v="2023-03-22T00:00:00"/>
    <d v="2023-03-23T03:00:00"/>
    <d v="1900-01-26T00:00:00"/>
    <x v="0"/>
    <x v="0"/>
    <x v="2"/>
    <n v="5"/>
    <n v="10"/>
    <n v="0.5"/>
    <s v="Plan B"/>
  </r>
  <r>
    <s v="PAT5878"/>
    <n v="52"/>
    <x v="0"/>
    <x v="1"/>
    <x v="251"/>
    <d v="2023-11-12T00:00:00"/>
    <n v="8"/>
    <x v="1"/>
    <n v="3"/>
    <s v="Dr. Rao"/>
    <n v="5840"/>
    <x v="2"/>
    <x v="0"/>
    <x v="0"/>
    <d v="2023-11-30T00:00:00"/>
    <d v="2023-11-30T02:00:00"/>
    <d v="1900-01-01T00:00:00"/>
    <x v="0"/>
    <x v="0"/>
    <x v="0"/>
    <n v="8"/>
    <n v="12"/>
    <n v="0.66666666666666663"/>
    <s v="Plan B"/>
  </r>
  <r>
    <s v="PAT5879"/>
    <n v="26"/>
    <x v="3"/>
    <x v="3"/>
    <x v="28"/>
    <d v="2024-05-02T00:00:00"/>
    <n v="11"/>
    <x v="0"/>
    <n v="5"/>
    <s v="Dr. Mehta"/>
    <n v="18873"/>
    <x v="3"/>
    <x v="0"/>
    <x v="0"/>
    <d v="2024-01-20T00:00:00"/>
    <d v="2024-01-20T15:00:00"/>
    <d v="1900-01-14T00:00:00"/>
    <x v="2"/>
    <x v="0"/>
    <x v="2"/>
    <n v="10"/>
    <n v="10"/>
    <n v="1"/>
    <s v="Plan C"/>
  </r>
  <r>
    <s v="PAT5880"/>
    <n v="64"/>
    <x v="0"/>
    <x v="4"/>
    <x v="299"/>
    <d v="2023-11-24T00:00:00"/>
    <n v="3"/>
    <x v="1"/>
    <n v="5"/>
    <s v="Dr. Patel"/>
    <n v="36568"/>
    <x v="4"/>
    <x v="0"/>
    <x v="0"/>
    <d v="2023-11-16T00:00:00"/>
    <d v="2023-11-17T11:00:00"/>
    <d v="1900-02-03T00:00:00"/>
    <x v="2"/>
    <x v="0"/>
    <x v="2"/>
    <n v="9"/>
    <n v="10"/>
    <n v="0.9"/>
    <s v="Plan B"/>
  </r>
  <r>
    <s v="PAT5881"/>
    <n v="59"/>
    <x v="0"/>
    <x v="5"/>
    <x v="322"/>
    <d v="2024-05-27T00:00:00"/>
    <n v="13"/>
    <x v="0"/>
    <n v="3"/>
    <s v="Dr. Mehta"/>
    <n v="15846"/>
    <x v="3"/>
    <x v="1"/>
    <x v="0"/>
    <d v="2024-09-05T00:00:00"/>
    <d v="2024-09-05T23:00:00"/>
    <d v="1900-01-22T00:00:00"/>
    <x v="2"/>
    <x v="0"/>
    <x v="2"/>
    <n v="4"/>
    <n v="10"/>
    <n v="0.4"/>
    <s v="Plan A"/>
  </r>
  <r>
    <s v="PAT5882"/>
    <n v="56"/>
    <x v="0"/>
    <x v="1"/>
    <x v="227"/>
    <d v="2023-09-02T00:00:00"/>
    <n v="3"/>
    <x v="5"/>
    <n v="4"/>
    <s v="Dr. Sharma"/>
    <n v="10899"/>
    <x v="0"/>
    <x v="1"/>
    <x v="0"/>
    <d v="2023-03-02T00:00:00"/>
    <d v="2023-04-02T17:00:00"/>
    <d v="1902-01-30T00:00:00"/>
    <x v="1"/>
    <x v="0"/>
    <x v="1"/>
    <n v="10"/>
    <n v="10"/>
    <n v="1"/>
    <s v="Plan C"/>
  </r>
  <r>
    <s v="PAT5883"/>
    <n v="59"/>
    <x v="0"/>
    <x v="5"/>
    <x v="115"/>
    <d v="2023-03-14T00:00:00"/>
    <n v="2"/>
    <x v="4"/>
    <n v="1"/>
    <s v="Dr. Mehta"/>
    <n v="25502"/>
    <x v="0"/>
    <x v="1"/>
    <x v="0"/>
    <d v="2023-09-03T00:00:00"/>
    <d v="2023-10-03T21:00:00"/>
    <d v="1902-01-10T00:00:00"/>
    <x v="2"/>
    <x v="0"/>
    <x v="0"/>
    <n v="4"/>
    <n v="8"/>
    <n v="0.5"/>
    <s v="Plan C"/>
  </r>
  <r>
    <s v="PAT5884"/>
    <n v="70"/>
    <x v="2"/>
    <x v="1"/>
    <x v="186"/>
    <d v="2023-10-09T00:00:00"/>
    <n v="12"/>
    <x v="1"/>
    <n v="1"/>
    <s v="Dr. Sharma"/>
    <n v="5565"/>
    <x v="1"/>
    <x v="0"/>
    <x v="0"/>
    <d v="2023-08-28T00:00:00"/>
    <d v="2023-08-28T01:00:00"/>
    <d v="1899-12-31T00:00:00"/>
    <x v="0"/>
    <x v="0"/>
    <x v="1"/>
    <n v="7"/>
    <n v="12"/>
    <n v="0.58333333333333337"/>
    <s v="Plan B"/>
  </r>
  <r>
    <s v="PAT5885"/>
    <n v="33"/>
    <x v="3"/>
    <x v="5"/>
    <x v="430"/>
    <d v="2023-04-11T00:00:00"/>
    <n v="13"/>
    <x v="0"/>
    <n v="3"/>
    <s v="Dr. Mehta"/>
    <n v="43773"/>
    <x v="1"/>
    <x v="1"/>
    <x v="1"/>
    <d v="2023-10-17T00:00:00"/>
    <d v="2023-10-17T22:00:00"/>
    <d v="1900-01-21T00:00:00"/>
    <x v="4"/>
    <x v="0"/>
    <x v="0"/>
    <n v="5"/>
    <n v="10"/>
    <n v="0.5"/>
    <s v="Plan C"/>
  </r>
  <r>
    <s v="PAT5886"/>
    <n v="53"/>
    <x v="0"/>
    <x v="0"/>
    <x v="378"/>
    <d v="2023-08-29T00:00:00"/>
    <n v="8"/>
    <x v="0"/>
    <n v="3"/>
    <s v="Dr. Rao"/>
    <n v="46924"/>
    <x v="1"/>
    <x v="1"/>
    <x v="0"/>
    <d v="2023-08-19T00:00:00"/>
    <d v="2023-08-19T01:00:00"/>
    <d v="1899-12-31T00:00:00"/>
    <x v="2"/>
    <x v="0"/>
    <x v="0"/>
    <n v="9"/>
    <n v="12"/>
    <n v="0.75"/>
    <s v="Plan B"/>
  </r>
  <r>
    <s v="PAT5887"/>
    <n v="22"/>
    <x v="3"/>
    <x v="5"/>
    <x v="446"/>
    <d v="2023-04-04T00:00:00"/>
    <n v="1"/>
    <x v="0"/>
    <n v="4"/>
    <s v="Dr. Gupta"/>
    <n v="48242"/>
    <x v="2"/>
    <x v="1"/>
    <x v="1"/>
    <d v="2023-02-04T00:00:00"/>
    <d v="2023-03-04T19:00:00"/>
    <d v="1901-11-21T00:00:00"/>
    <x v="2"/>
    <x v="0"/>
    <x v="1"/>
    <n v="5"/>
    <n v="8"/>
    <n v="0.625"/>
    <s v="Plan B"/>
  </r>
  <r>
    <s v="PAT5888"/>
    <n v="21"/>
    <x v="3"/>
    <x v="3"/>
    <x v="256"/>
    <d v="2024-03-25T00:00:00"/>
    <n v="5"/>
    <x v="2"/>
    <n v="5"/>
    <s v="Dr. Rao"/>
    <n v="14187"/>
    <x v="1"/>
    <x v="1"/>
    <x v="0"/>
    <d v="2024-03-19T00:00:00"/>
    <d v="2024-03-20T01:00:00"/>
    <d v="1900-01-24T00:00:00"/>
    <x v="4"/>
    <x v="0"/>
    <x v="1"/>
    <n v="7"/>
    <n v="12"/>
    <n v="0.58333333333333337"/>
    <s v="Plan C"/>
  </r>
  <r>
    <s v="PAT5889"/>
    <n v="70"/>
    <x v="2"/>
    <x v="0"/>
    <x v="153"/>
    <d v="2023-04-15T00:00:00"/>
    <n v="4"/>
    <x v="3"/>
    <n v="2"/>
    <s v="Dr. Rao"/>
    <n v="12226"/>
    <x v="2"/>
    <x v="1"/>
    <x v="0"/>
    <d v="2023-06-04T00:00:00"/>
    <d v="2023-08-04T00:00:00"/>
    <d v="1904-01-03T00:00:00"/>
    <x v="0"/>
    <x v="0"/>
    <x v="0"/>
    <n v="9"/>
    <n v="12"/>
    <n v="0.75"/>
    <s v="Plan B"/>
  </r>
  <r>
    <s v="PAT5890"/>
    <n v="70"/>
    <x v="2"/>
    <x v="5"/>
    <x v="200"/>
    <d v="2023-04-14T00:00:00"/>
    <n v="1"/>
    <x v="5"/>
    <n v="5"/>
    <s v="Dr. Gupta"/>
    <n v="47147"/>
    <x v="1"/>
    <x v="1"/>
    <x v="0"/>
    <d v="2023-09-04T00:00:00"/>
    <d v="2023-10-04T23:00:00"/>
    <d v="1902-01-12T00:00:00"/>
    <x v="1"/>
    <x v="0"/>
    <x v="0"/>
    <n v="11"/>
    <n v="8"/>
    <n v="1.375"/>
    <s v="Plan B"/>
  </r>
  <r>
    <s v="PAT5891"/>
    <n v="4"/>
    <x v="1"/>
    <x v="1"/>
    <x v="447"/>
    <d v="2024-12-04T00:00:00"/>
    <n v="13"/>
    <x v="1"/>
    <n v="1"/>
    <s v="Dr. Gupta"/>
    <n v="43658"/>
    <x v="2"/>
    <x v="1"/>
    <x v="0"/>
    <d v="2024-03-27T00:00:00"/>
    <d v="2024-03-27T20:00:00"/>
    <d v="1900-01-19T00:00:00"/>
    <x v="2"/>
    <x v="0"/>
    <x v="0"/>
    <n v="9"/>
    <n v="10"/>
    <n v="0.9"/>
    <s v="Plan B"/>
  </r>
  <r>
    <s v="PAT5892"/>
    <n v="75"/>
    <x v="2"/>
    <x v="1"/>
    <x v="167"/>
    <d v="2023-06-24T00:00:00"/>
    <n v="4"/>
    <x v="2"/>
    <n v="3"/>
    <s v="Dr. Patel"/>
    <n v="9311"/>
    <x v="3"/>
    <x v="1"/>
    <x v="0"/>
    <d v="2023-06-19T00:00:00"/>
    <d v="2023-06-19T07:00:00"/>
    <d v="1900-01-06T00:00:00"/>
    <x v="4"/>
    <x v="0"/>
    <x v="2"/>
    <n v="4"/>
    <n v="12"/>
    <n v="0.33333333333333331"/>
    <s v="Plan B"/>
  </r>
  <r>
    <s v="PAT5893"/>
    <n v="62"/>
    <x v="0"/>
    <x v="1"/>
    <x v="208"/>
    <d v="2023-11-18T00:00:00"/>
    <n v="15"/>
    <x v="1"/>
    <n v="4"/>
    <s v="Dr. Patel"/>
    <n v="49214"/>
    <x v="3"/>
    <x v="1"/>
    <x v="0"/>
    <d v="2023-10-30T00:00:00"/>
    <d v="2023-10-30T14:00:00"/>
    <d v="1900-01-13T00:00:00"/>
    <x v="0"/>
    <x v="0"/>
    <x v="0"/>
    <n v="4"/>
    <n v="12"/>
    <n v="0.33333333333333331"/>
    <s v="Plan C"/>
  </r>
  <r>
    <s v="PAT5894"/>
    <n v="62"/>
    <x v="0"/>
    <x v="2"/>
    <x v="324"/>
    <d v="2023-01-31T00:00:00"/>
    <n v="1"/>
    <x v="1"/>
    <n v="5"/>
    <s v="Dr. Rao"/>
    <n v="46616"/>
    <x v="0"/>
    <x v="1"/>
    <x v="1"/>
    <d v="2023-01-25T00:00:00"/>
    <d v="2023-01-26T10:00:00"/>
    <d v="1900-02-02T00:00:00"/>
    <x v="3"/>
    <x v="0"/>
    <x v="1"/>
    <n v="4"/>
    <n v="10"/>
    <n v="0.4"/>
    <s v="Plan A"/>
  </r>
  <r>
    <s v="PAT5895"/>
    <n v="24"/>
    <x v="3"/>
    <x v="4"/>
    <x v="284"/>
    <d v="2023-02-23T00:00:00"/>
    <n v="6"/>
    <x v="4"/>
    <n v="4"/>
    <s v="Dr. Rao"/>
    <n v="30689"/>
    <x v="2"/>
    <x v="1"/>
    <x v="1"/>
    <d v="2023-02-17T00:00:00"/>
    <d v="2023-02-17T16:00:00"/>
    <d v="1900-01-15T00:00:00"/>
    <x v="1"/>
    <x v="0"/>
    <x v="1"/>
    <n v="8"/>
    <n v="10"/>
    <n v="0.8"/>
    <s v="Plan A"/>
  </r>
  <r>
    <s v="PAT5896"/>
    <n v="55"/>
    <x v="0"/>
    <x v="1"/>
    <x v="61"/>
    <d v="2023-12-14T00:00:00"/>
    <n v="15"/>
    <x v="4"/>
    <n v="5"/>
    <s v="Dr. Sharma"/>
    <n v="11083"/>
    <x v="4"/>
    <x v="0"/>
    <x v="1"/>
    <d v="2023-11-25T00:00:00"/>
    <d v="2023-11-26T03:00:00"/>
    <d v="1900-01-26T00:00:00"/>
    <x v="4"/>
    <x v="0"/>
    <x v="1"/>
    <n v="11"/>
    <n v="12"/>
    <n v="0.91666666666666663"/>
    <s v="Plan B"/>
  </r>
  <r>
    <s v="PAT5897"/>
    <n v="9"/>
    <x v="1"/>
    <x v="0"/>
    <x v="62"/>
    <d v="2023-04-03T00:00:00"/>
    <n v="5"/>
    <x v="4"/>
    <n v="1"/>
    <s v="Dr. Sharma"/>
    <n v="17598"/>
    <x v="0"/>
    <x v="1"/>
    <x v="0"/>
    <d v="2023-02-27T00:00:00"/>
    <d v="2023-02-28T08:00:00"/>
    <d v="1900-01-31T00:00:00"/>
    <x v="4"/>
    <x v="0"/>
    <x v="0"/>
    <n v="6"/>
    <n v="8"/>
    <n v="0.75"/>
    <s v="Plan B"/>
  </r>
  <r>
    <s v="PAT5898"/>
    <n v="3"/>
    <x v="1"/>
    <x v="1"/>
    <x v="38"/>
    <d v="2023-06-11T00:00:00"/>
    <n v="9"/>
    <x v="2"/>
    <n v="2"/>
    <s v="Dr. Patel"/>
    <n v="21940"/>
    <x v="3"/>
    <x v="0"/>
    <x v="1"/>
    <d v="2023-10-28T00:00:00"/>
    <d v="2023-10-28T04:00:00"/>
    <d v="1900-01-03T00:00:00"/>
    <x v="4"/>
    <x v="0"/>
    <x v="0"/>
    <n v="10"/>
    <n v="10"/>
    <n v="1"/>
    <s v="Plan B"/>
  </r>
  <r>
    <s v="PAT5899"/>
    <n v="31"/>
    <x v="3"/>
    <x v="2"/>
    <x v="30"/>
    <d v="2024-10-01T00:00:00"/>
    <n v="7"/>
    <x v="1"/>
    <n v="4"/>
    <s v="Dr. Patel"/>
    <n v="31880"/>
    <x v="2"/>
    <x v="0"/>
    <x v="0"/>
    <d v="2023-12-29T00:00:00"/>
    <d v="2023-12-29T10:00:00"/>
    <d v="1900-01-09T00:00:00"/>
    <x v="2"/>
    <x v="0"/>
    <x v="2"/>
    <n v="4"/>
    <n v="10"/>
    <n v="0.4"/>
    <s v="Plan A"/>
  </r>
  <r>
    <s v="PAT5900"/>
    <n v="40"/>
    <x v="4"/>
    <x v="3"/>
    <x v="448"/>
    <d v="2024-02-02T00:00:00"/>
    <n v="14"/>
    <x v="3"/>
    <n v="4"/>
    <s v="Dr. Sharma"/>
    <n v="7580"/>
    <x v="1"/>
    <x v="1"/>
    <x v="0"/>
    <d v="2024-01-19T00:00:00"/>
    <d v="2024-01-20T22:00:00"/>
    <d v="1900-02-14T00:00:00"/>
    <x v="3"/>
    <x v="0"/>
    <x v="2"/>
    <n v="6"/>
    <n v="8"/>
    <n v="0.75"/>
    <s v="Plan B"/>
  </r>
  <r>
    <s v="PAT5901"/>
    <n v="36"/>
    <x v="4"/>
    <x v="0"/>
    <x v="148"/>
    <d v="2024-03-26T00:00:00"/>
    <n v="9"/>
    <x v="5"/>
    <n v="2"/>
    <s v="Dr. Sharma"/>
    <n v="47321"/>
    <x v="4"/>
    <x v="1"/>
    <x v="1"/>
    <d v="2024-03-17T00:00:00"/>
    <d v="2024-03-17T18:00:00"/>
    <d v="1900-01-17T00:00:00"/>
    <x v="1"/>
    <x v="0"/>
    <x v="1"/>
    <n v="6"/>
    <n v="12"/>
    <n v="0.5"/>
    <s v="Plan C"/>
  </r>
  <r>
    <s v="PAT5902"/>
    <n v="24"/>
    <x v="3"/>
    <x v="2"/>
    <x v="449"/>
    <d v="2023-07-06T00:00:00"/>
    <n v="8"/>
    <x v="4"/>
    <n v="4"/>
    <s v="Dr. Mehta"/>
    <n v="14386"/>
    <x v="3"/>
    <x v="0"/>
    <x v="0"/>
    <d v="2023-05-27T00:00:00"/>
    <d v="2023-05-27T06:00:00"/>
    <d v="1900-01-05T00:00:00"/>
    <x v="0"/>
    <x v="1"/>
    <x v="2"/>
    <n v="5"/>
    <n v="10"/>
    <n v="0.5"/>
    <s v="Plan C"/>
  </r>
  <r>
    <s v="PAT5903"/>
    <n v="6"/>
    <x v="1"/>
    <x v="3"/>
    <x v="3"/>
    <d v="2023-09-13T00:00:00"/>
    <n v="5"/>
    <x v="4"/>
    <n v="4"/>
    <s v="Dr. Mehta"/>
    <n v="24522"/>
    <x v="0"/>
    <x v="0"/>
    <x v="0"/>
    <d v="2023-07-09T00:00:00"/>
    <d v="2023-07-09T03:00:00"/>
    <d v="1900-01-02T00:00:00"/>
    <x v="0"/>
    <x v="0"/>
    <x v="2"/>
    <n v="7"/>
    <n v="12"/>
    <n v="0.58333333333333337"/>
    <s v="Plan C"/>
  </r>
  <r>
    <s v="PAT5904"/>
    <n v="66"/>
    <x v="2"/>
    <x v="0"/>
    <x v="239"/>
    <d v="2024-02-27T00:00:00"/>
    <n v="1"/>
    <x v="1"/>
    <n v="5"/>
    <s v="Dr. Sharma"/>
    <n v="31224"/>
    <x v="2"/>
    <x v="0"/>
    <x v="1"/>
    <d v="2024-02-21T00:00:00"/>
    <d v="2024-02-21T15:00:00"/>
    <d v="1900-01-14T00:00:00"/>
    <x v="3"/>
    <x v="0"/>
    <x v="1"/>
    <n v="8"/>
    <n v="12"/>
    <n v="0.66666666666666663"/>
    <s v="Plan A"/>
  </r>
  <r>
    <s v="PAT5905"/>
    <n v="84"/>
    <x v="2"/>
    <x v="5"/>
    <x v="450"/>
    <d v="2023-07-17T00:00:00"/>
    <n v="13"/>
    <x v="1"/>
    <n v="5"/>
    <s v="Dr. Mehta"/>
    <n v="19635"/>
    <x v="4"/>
    <x v="0"/>
    <x v="0"/>
    <d v="2023-03-07T00:00:00"/>
    <d v="2023-04-07T10:00:00"/>
    <d v="1902-01-23T00:00:00"/>
    <x v="4"/>
    <x v="0"/>
    <x v="0"/>
    <n v="6"/>
    <n v="12"/>
    <n v="0.5"/>
    <s v="Plan B"/>
  </r>
  <r>
    <s v="PAT5906"/>
    <n v="75"/>
    <x v="2"/>
    <x v="4"/>
    <x v="451"/>
    <d v="2023-05-07T00:00:00"/>
    <n v="11"/>
    <x v="2"/>
    <n v="2"/>
    <s v="Dr. Gupta"/>
    <n v="5671"/>
    <x v="2"/>
    <x v="1"/>
    <x v="0"/>
    <d v="2023-06-24T00:00:00"/>
    <d v="2023-06-25T03:00:00"/>
    <d v="1900-01-26T00:00:00"/>
    <x v="4"/>
    <x v="0"/>
    <x v="2"/>
    <n v="10"/>
    <n v="8"/>
    <n v="1.25"/>
    <s v="Plan B"/>
  </r>
  <r>
    <s v="PAT5907"/>
    <n v="4"/>
    <x v="1"/>
    <x v="4"/>
    <x v="416"/>
    <d v="2023-03-07T00:00:00"/>
    <n v="4"/>
    <x v="2"/>
    <n v="1"/>
    <s v="Dr. Patel"/>
    <n v="38545"/>
    <x v="1"/>
    <x v="1"/>
    <x v="0"/>
    <d v="2023-06-24T00:00:00"/>
    <d v="2023-06-25T21:00:00"/>
    <d v="1900-02-13T00:00:00"/>
    <x v="4"/>
    <x v="0"/>
    <x v="0"/>
    <n v="8"/>
    <n v="12"/>
    <n v="0.66666666666666663"/>
    <s v="Plan B"/>
  </r>
  <r>
    <s v="PAT5908"/>
    <n v="79"/>
    <x v="2"/>
    <x v="2"/>
    <x v="37"/>
    <d v="2023-03-27T00:00:00"/>
    <n v="5"/>
    <x v="4"/>
    <n v="4"/>
    <s v="Dr. Patel"/>
    <n v="31855"/>
    <x v="0"/>
    <x v="1"/>
    <x v="0"/>
    <d v="2023-03-21T00:00:00"/>
    <d v="2023-03-22T00:00:00"/>
    <d v="1900-01-23T00:00:00"/>
    <x v="4"/>
    <x v="0"/>
    <x v="1"/>
    <n v="5"/>
    <n v="12"/>
    <n v="0.41666666666666669"/>
    <s v="Plan A"/>
  </r>
  <r>
    <s v="PAT5909"/>
    <n v="6"/>
    <x v="1"/>
    <x v="3"/>
    <x v="241"/>
    <d v="2024-02-02T00:00:00"/>
    <n v="6"/>
    <x v="1"/>
    <n v="1"/>
    <s v="Dr. Sharma"/>
    <n v="40790"/>
    <x v="2"/>
    <x v="1"/>
    <x v="0"/>
    <d v="2024-01-27T00:00:00"/>
    <d v="2024-01-28T06:00:00"/>
    <d v="1900-01-29T00:00:00"/>
    <x v="4"/>
    <x v="0"/>
    <x v="1"/>
    <n v="4"/>
    <n v="10"/>
    <n v="0.4"/>
    <s v="Plan A"/>
  </r>
  <r>
    <s v="PAT5910"/>
    <n v="51"/>
    <x v="0"/>
    <x v="4"/>
    <x v="112"/>
    <d v="2023-09-18T00:00:00"/>
    <n v="14"/>
    <x v="3"/>
    <n v="2"/>
    <s v="Dr. Rao"/>
    <n v="19260"/>
    <x v="3"/>
    <x v="1"/>
    <x v="0"/>
    <d v="2023-03-09T00:00:00"/>
    <d v="2023-05-09T00:00:00"/>
    <d v="1904-01-03T00:00:00"/>
    <x v="3"/>
    <x v="0"/>
    <x v="2"/>
    <n v="9"/>
    <n v="10"/>
    <n v="0.9"/>
    <s v="Plan A"/>
  </r>
  <r>
    <s v="PAT5911"/>
    <n v="62"/>
    <x v="0"/>
    <x v="3"/>
    <x v="452"/>
    <d v="2024-06-06T00:00:00"/>
    <n v="13"/>
    <x v="5"/>
    <n v="2"/>
    <s v="Dr. Sharma"/>
    <n v="6074"/>
    <x v="0"/>
    <x v="0"/>
    <x v="1"/>
    <d v="2024-05-20T00:00:00"/>
    <d v="2024-05-20T06:00:00"/>
    <d v="1900-01-05T00:00:00"/>
    <x v="2"/>
    <x v="0"/>
    <x v="1"/>
    <n v="6"/>
    <n v="8"/>
    <n v="0.75"/>
    <s v="Plan A"/>
  </r>
  <r>
    <s v="PAT5912"/>
    <n v="57"/>
    <x v="0"/>
    <x v="3"/>
    <x v="74"/>
    <d v="2023-05-28T00:00:00"/>
    <n v="1"/>
    <x v="1"/>
    <n v="5"/>
    <s v="Dr. Mehta"/>
    <n v="47676"/>
    <x v="3"/>
    <x v="1"/>
    <x v="0"/>
    <d v="2023-05-24T00:00:00"/>
    <d v="2023-05-25T14:00:00"/>
    <d v="1900-02-06T00:00:00"/>
    <x v="1"/>
    <x v="0"/>
    <x v="1"/>
    <n v="7"/>
    <n v="8"/>
    <n v="0.875"/>
    <s v="Plan C"/>
  </r>
  <r>
    <s v="PAT5913"/>
    <n v="66"/>
    <x v="2"/>
    <x v="2"/>
    <x v="406"/>
    <d v="2023-09-09T00:00:00"/>
    <n v="14"/>
    <x v="1"/>
    <n v="4"/>
    <s v="Dr. Rao"/>
    <n v="14475"/>
    <x v="2"/>
    <x v="1"/>
    <x v="0"/>
    <d v="2023-08-24T00:00:00"/>
    <d v="2023-08-24T07:00:00"/>
    <d v="1900-01-06T00:00:00"/>
    <x v="4"/>
    <x v="0"/>
    <x v="1"/>
    <n v="9"/>
    <n v="10"/>
    <n v="0.9"/>
    <s v="Plan A"/>
  </r>
  <r>
    <s v="PAT5914"/>
    <n v="79"/>
    <x v="2"/>
    <x v="2"/>
    <x v="329"/>
    <d v="2024-04-28T00:00:00"/>
    <n v="11"/>
    <x v="0"/>
    <n v="3"/>
    <s v="Dr. Mehta"/>
    <n v="17878"/>
    <x v="0"/>
    <x v="0"/>
    <x v="1"/>
    <d v="2024-04-17T00:00:00"/>
    <d v="2024-04-18T09:00:00"/>
    <d v="1900-02-01T00:00:00"/>
    <x v="2"/>
    <x v="0"/>
    <x v="2"/>
    <n v="5"/>
    <n v="10"/>
    <n v="0.5"/>
    <s v="Plan A"/>
  </r>
  <r>
    <s v="PAT5915"/>
    <n v="75"/>
    <x v="2"/>
    <x v="2"/>
    <x v="260"/>
    <d v="2023-09-24T00:00:00"/>
    <n v="6"/>
    <x v="2"/>
    <n v="2"/>
    <s v="Dr. Gupta"/>
    <n v="20120"/>
    <x v="3"/>
    <x v="0"/>
    <x v="0"/>
    <d v="2023-09-14T00:00:00"/>
    <d v="2023-09-14T09:00:00"/>
    <d v="1900-01-08T00:00:00"/>
    <x v="0"/>
    <x v="0"/>
    <x v="2"/>
    <n v="8"/>
    <n v="8"/>
    <n v="1"/>
    <s v="Plan A"/>
  </r>
  <r>
    <s v="PAT5916"/>
    <n v="8"/>
    <x v="1"/>
    <x v="4"/>
    <x v="34"/>
    <d v="2024-04-20T00:00:00"/>
    <n v="5"/>
    <x v="5"/>
    <n v="4"/>
    <s v="Dr. Mehta"/>
    <n v="28147"/>
    <x v="1"/>
    <x v="1"/>
    <x v="0"/>
    <d v="2024-10-04T00:00:00"/>
    <d v="2024-11-04T17:00:00"/>
    <d v="1902-01-30T00:00:00"/>
    <x v="3"/>
    <x v="0"/>
    <x v="2"/>
    <n v="10"/>
    <n v="12"/>
    <n v="0.83333333333333337"/>
    <s v="Plan B"/>
  </r>
  <r>
    <s v="PAT5917"/>
    <n v="26"/>
    <x v="3"/>
    <x v="2"/>
    <x v="453"/>
    <d v="2023-09-21T00:00:00"/>
    <n v="2"/>
    <x v="4"/>
    <n v="1"/>
    <s v="Dr. Gupta"/>
    <n v="6986"/>
    <x v="1"/>
    <x v="0"/>
    <x v="0"/>
    <d v="2023-09-14T00:00:00"/>
    <d v="2023-09-15T02:00:00"/>
    <d v="1900-01-25T00:00:00"/>
    <x v="2"/>
    <x v="1"/>
    <x v="1"/>
    <n v="11"/>
    <n v="8"/>
    <n v="1.375"/>
    <s v="Plan B"/>
  </r>
  <r>
    <s v="PAT5918"/>
    <n v="51"/>
    <x v="0"/>
    <x v="4"/>
    <x v="199"/>
    <d v="2023-01-23T00:00:00"/>
    <n v="13"/>
    <x v="1"/>
    <n v="5"/>
    <s v="Dr. Gupta"/>
    <n v="48593"/>
    <x v="2"/>
    <x v="0"/>
    <x v="0"/>
    <d v="2023-06-01T00:00:00"/>
    <d v="2023-06-01T05:00:00"/>
    <d v="1900-01-04T00:00:00"/>
    <x v="4"/>
    <x v="0"/>
    <x v="0"/>
    <n v="4"/>
    <n v="12"/>
    <n v="0.33333333333333331"/>
    <s v="Plan B"/>
  </r>
  <r>
    <s v="PAT5919"/>
    <n v="45"/>
    <x v="4"/>
    <x v="2"/>
    <x v="276"/>
    <d v="2024-04-27T00:00:00"/>
    <n v="6"/>
    <x v="4"/>
    <n v="1"/>
    <s v="Dr. Mehta"/>
    <n v="37430"/>
    <x v="0"/>
    <x v="1"/>
    <x v="0"/>
    <d v="2024-04-18T00:00:00"/>
    <d v="2024-04-19T14:00:00"/>
    <d v="1900-02-06T00:00:00"/>
    <x v="4"/>
    <x v="0"/>
    <x v="1"/>
    <n v="8"/>
    <n v="10"/>
    <n v="0.8"/>
    <s v="Plan C"/>
  </r>
  <r>
    <s v="PAT5920"/>
    <n v="44"/>
    <x v="4"/>
    <x v="1"/>
    <x v="430"/>
    <d v="2023-10-29T00:00:00"/>
    <n v="7"/>
    <x v="1"/>
    <n v="2"/>
    <s v="Dr. Mehta"/>
    <n v="46961"/>
    <x v="4"/>
    <x v="1"/>
    <x v="0"/>
    <d v="2023-10-17T00:00:00"/>
    <d v="2023-10-18T13:00:00"/>
    <d v="1900-02-05T00:00:00"/>
    <x v="4"/>
    <x v="0"/>
    <x v="2"/>
    <n v="7"/>
    <n v="10"/>
    <n v="0.7"/>
    <s v="Plan C"/>
  </r>
  <r>
    <s v="PAT5921"/>
    <n v="5"/>
    <x v="1"/>
    <x v="3"/>
    <x v="95"/>
    <d v="2023-06-26T00:00:00"/>
    <n v="15"/>
    <x v="4"/>
    <n v="2"/>
    <s v="Dr. Gupta"/>
    <n v="22430"/>
    <x v="0"/>
    <x v="1"/>
    <x v="0"/>
    <d v="2023-08-06T00:00:00"/>
    <d v="2023-08-06T04:00:00"/>
    <d v="1900-01-03T00:00:00"/>
    <x v="2"/>
    <x v="1"/>
    <x v="0"/>
    <n v="6"/>
    <n v="10"/>
    <n v="0.6"/>
    <s v="Plan A"/>
  </r>
  <r>
    <s v="PAT5922"/>
    <n v="70"/>
    <x v="2"/>
    <x v="2"/>
    <x v="201"/>
    <d v="2023-03-24T00:00:00"/>
    <n v="7"/>
    <x v="5"/>
    <n v="1"/>
    <s v="Dr. Rao"/>
    <n v="7176"/>
    <x v="1"/>
    <x v="1"/>
    <x v="0"/>
    <d v="2023-03-17T00:00:00"/>
    <d v="2023-03-18T04:00:00"/>
    <d v="1900-01-27T00:00:00"/>
    <x v="4"/>
    <x v="0"/>
    <x v="0"/>
    <n v="7"/>
    <n v="12"/>
    <n v="0.58333333333333337"/>
    <s v="Plan B"/>
  </r>
  <r>
    <s v="PAT5923"/>
    <n v="26"/>
    <x v="3"/>
    <x v="0"/>
    <x v="224"/>
    <d v="2024-09-04T00:00:00"/>
    <n v="12"/>
    <x v="2"/>
    <n v="2"/>
    <s v="Dr. Gupta"/>
    <n v="23722"/>
    <x v="3"/>
    <x v="1"/>
    <x v="0"/>
    <d v="2024-03-28T00:00:00"/>
    <d v="2024-03-29T19:00:00"/>
    <d v="1900-02-11T00:00:00"/>
    <x v="2"/>
    <x v="0"/>
    <x v="2"/>
    <n v="8"/>
    <n v="8"/>
    <n v="1"/>
    <s v="Plan C"/>
  </r>
  <r>
    <s v="PAT5924"/>
    <n v="68"/>
    <x v="2"/>
    <x v="3"/>
    <x v="257"/>
    <d v="2023-12-28T00:00:00"/>
    <n v="8"/>
    <x v="5"/>
    <n v="4"/>
    <s v="Dr. Patel"/>
    <n v="47815"/>
    <x v="4"/>
    <x v="0"/>
    <x v="0"/>
    <d v="2023-12-16T00:00:00"/>
    <d v="2023-12-16T09:00:00"/>
    <d v="1900-01-08T00:00:00"/>
    <x v="4"/>
    <x v="0"/>
    <x v="0"/>
    <n v="8"/>
    <n v="12"/>
    <n v="0.66666666666666663"/>
    <s v="Plan B"/>
  </r>
  <r>
    <s v="PAT5925"/>
    <n v="19"/>
    <x v="3"/>
    <x v="3"/>
    <x v="208"/>
    <d v="2023-11-18T00:00:00"/>
    <n v="15"/>
    <x v="0"/>
    <n v="2"/>
    <s v="Dr. Gupta"/>
    <n v="23617"/>
    <x v="2"/>
    <x v="0"/>
    <x v="0"/>
    <d v="2023-10-30T00:00:00"/>
    <d v="2023-10-30T16:00:00"/>
    <d v="1900-01-15T00:00:00"/>
    <x v="0"/>
    <x v="0"/>
    <x v="0"/>
    <n v="9"/>
    <n v="8"/>
    <n v="1.125"/>
    <s v="Plan C"/>
  </r>
  <r>
    <s v="PAT5926"/>
    <n v="84"/>
    <x v="2"/>
    <x v="2"/>
    <x v="454"/>
    <d v="2024-03-17T00:00:00"/>
    <n v="7"/>
    <x v="3"/>
    <n v="5"/>
    <s v="Dr. Rao"/>
    <n v="32115"/>
    <x v="4"/>
    <x v="0"/>
    <x v="0"/>
    <d v="2024-07-03T00:00:00"/>
    <d v="2024-07-03T19:00:00"/>
    <d v="1900-01-18T00:00:00"/>
    <x v="0"/>
    <x v="0"/>
    <x v="2"/>
    <n v="7"/>
    <n v="8"/>
    <n v="0.875"/>
    <s v="Plan C"/>
  </r>
  <r>
    <s v="PAT5927"/>
    <n v="20"/>
    <x v="3"/>
    <x v="5"/>
    <x v="414"/>
    <d v="2023-09-20T00:00:00"/>
    <n v="6"/>
    <x v="2"/>
    <n v="4"/>
    <s v="Dr. Patel"/>
    <n v="42376"/>
    <x v="2"/>
    <x v="0"/>
    <x v="0"/>
    <d v="2023-09-14T00:00:00"/>
    <d v="2023-09-14T17:00:00"/>
    <d v="1900-01-16T00:00:00"/>
    <x v="1"/>
    <x v="0"/>
    <x v="0"/>
    <n v="7"/>
    <n v="8"/>
    <n v="0.875"/>
    <s v="Plan A"/>
  </r>
  <r>
    <s v="PAT5928"/>
    <n v="12"/>
    <x v="1"/>
    <x v="2"/>
    <x v="297"/>
    <d v="2024-04-15T00:00:00"/>
    <n v="3"/>
    <x v="5"/>
    <n v="3"/>
    <s v="Dr. Sharma"/>
    <n v="16906"/>
    <x v="4"/>
    <x v="0"/>
    <x v="0"/>
    <d v="2024-12-04T00:00:00"/>
    <d v="2024-12-04T21:00:00"/>
    <d v="1900-01-20T00:00:00"/>
    <x v="4"/>
    <x v="0"/>
    <x v="0"/>
    <n v="7"/>
    <n v="10"/>
    <n v="0.7"/>
    <s v="Plan A"/>
  </r>
  <r>
    <s v="PAT5929"/>
    <n v="47"/>
    <x v="4"/>
    <x v="3"/>
    <x v="206"/>
    <d v="2023-11-14T00:00:00"/>
    <n v="8"/>
    <x v="0"/>
    <n v="2"/>
    <s v="Dr. Sharma"/>
    <n v="45002"/>
    <x v="2"/>
    <x v="1"/>
    <x v="1"/>
    <d v="2023-02-11T00:00:00"/>
    <d v="2023-03-11T02:00:00"/>
    <d v="1901-11-04T00:00:00"/>
    <x v="4"/>
    <x v="1"/>
    <x v="2"/>
    <n v="4"/>
    <n v="8"/>
    <n v="0.5"/>
    <s v="Plan C"/>
  </r>
  <r>
    <s v="PAT5930"/>
    <n v="1"/>
    <x v="1"/>
    <x v="0"/>
    <x v="16"/>
    <d v="2023-04-08T00:00:00"/>
    <n v="12"/>
    <x v="3"/>
    <n v="2"/>
    <s v="Dr. Rao"/>
    <n v="11610"/>
    <x v="2"/>
    <x v="1"/>
    <x v="0"/>
    <d v="2023-07-18T00:00:00"/>
    <d v="2023-07-19T21:00:00"/>
    <d v="1900-02-13T00:00:00"/>
    <x v="2"/>
    <x v="0"/>
    <x v="0"/>
    <n v="10"/>
    <n v="10"/>
    <n v="1"/>
    <s v="Plan A"/>
  </r>
  <r>
    <s v="PAT5931"/>
    <n v="14"/>
    <x v="1"/>
    <x v="3"/>
    <x v="288"/>
    <d v="2024-06-02T00:00:00"/>
    <n v="8"/>
    <x v="0"/>
    <n v="5"/>
    <s v="Dr. Gupta"/>
    <n v="48292"/>
    <x v="4"/>
    <x v="0"/>
    <x v="0"/>
    <d v="2024-01-27T00:00:00"/>
    <d v="2024-01-29T00:00:00"/>
    <d v="1900-02-16T00:00:00"/>
    <x v="2"/>
    <x v="0"/>
    <x v="0"/>
    <n v="8"/>
    <n v="8"/>
    <n v="1"/>
    <s v="Plan C"/>
  </r>
  <r>
    <s v="PAT5932"/>
    <n v="64"/>
    <x v="0"/>
    <x v="0"/>
    <x v="433"/>
    <d v="2024-05-15T00:00:00"/>
    <n v="6"/>
    <x v="1"/>
    <n v="5"/>
    <s v="Dr. Mehta"/>
    <n v="18411"/>
    <x v="4"/>
    <x v="1"/>
    <x v="1"/>
    <d v="2024-05-05T00:00:00"/>
    <d v="2024-05-05T21:00:00"/>
    <d v="1900-01-20T00:00:00"/>
    <x v="4"/>
    <x v="0"/>
    <x v="0"/>
    <n v="5"/>
    <n v="8"/>
    <n v="0.625"/>
    <s v="Plan C"/>
  </r>
  <r>
    <s v="PAT5933"/>
    <n v="38"/>
    <x v="4"/>
    <x v="4"/>
    <x v="212"/>
    <d v="2023-05-05T00:00:00"/>
    <n v="15"/>
    <x v="1"/>
    <n v="1"/>
    <s v="Dr. Rao"/>
    <n v="14180"/>
    <x v="2"/>
    <x v="1"/>
    <x v="0"/>
    <d v="2023-04-18T00:00:00"/>
    <d v="2023-04-18T21:00:00"/>
    <d v="1900-01-20T00:00:00"/>
    <x v="1"/>
    <x v="0"/>
    <x v="0"/>
    <n v="4"/>
    <n v="10"/>
    <n v="0.4"/>
    <s v="Plan B"/>
  </r>
  <r>
    <s v="PAT5934"/>
    <n v="37"/>
    <x v="4"/>
    <x v="1"/>
    <x v="166"/>
    <d v="2023-09-13T00:00:00"/>
    <n v="13"/>
    <x v="4"/>
    <n v="1"/>
    <s v="Dr. Patel"/>
    <n v="15073"/>
    <x v="1"/>
    <x v="1"/>
    <x v="0"/>
    <d v="2023-08-31T00:00:00"/>
    <d v="2023-01-09T05:00:00"/>
    <d v="1915-05-12T00:00:00"/>
    <x v="4"/>
    <x v="0"/>
    <x v="2"/>
    <n v="4"/>
    <n v="10"/>
    <n v="0.4"/>
    <s v="Plan A"/>
  </r>
  <r>
    <s v="PAT5935"/>
    <n v="11"/>
    <x v="1"/>
    <x v="3"/>
    <x v="89"/>
    <d v="2024-04-02T00:00:00"/>
    <n v="9"/>
    <x v="2"/>
    <n v="1"/>
    <s v="Dr. Patel"/>
    <n v="42251"/>
    <x v="4"/>
    <x v="0"/>
    <x v="0"/>
    <d v="2024-01-22T00:00:00"/>
    <d v="2024-01-22T18:00:00"/>
    <d v="1900-01-17T00:00:00"/>
    <x v="2"/>
    <x v="0"/>
    <x v="1"/>
    <n v="4"/>
    <n v="12"/>
    <n v="0.33333333333333331"/>
    <s v="Plan A"/>
  </r>
  <r>
    <s v="PAT5936"/>
    <n v="77"/>
    <x v="2"/>
    <x v="2"/>
    <x v="30"/>
    <d v="2024-08-01T00:00:00"/>
    <n v="5"/>
    <x v="1"/>
    <n v="5"/>
    <s v="Dr. Sharma"/>
    <n v="35960"/>
    <x v="0"/>
    <x v="1"/>
    <x v="1"/>
    <d v="2023-12-29T00:00:00"/>
    <d v="2023-12-29T15:00:00"/>
    <d v="1900-01-14T00:00:00"/>
    <x v="4"/>
    <x v="0"/>
    <x v="1"/>
    <n v="9"/>
    <n v="8"/>
    <n v="1.125"/>
    <s v="Plan A"/>
  </r>
  <r>
    <s v="PAT5937"/>
    <n v="3"/>
    <x v="1"/>
    <x v="4"/>
    <x v="268"/>
    <d v="2023-12-11T00:00:00"/>
    <n v="13"/>
    <x v="0"/>
    <n v="1"/>
    <s v="Dr. Patel"/>
    <n v="10901"/>
    <x v="3"/>
    <x v="0"/>
    <x v="0"/>
    <d v="2023-10-25T00:00:00"/>
    <d v="2023-10-25T05:00:00"/>
    <d v="1900-01-04T00:00:00"/>
    <x v="2"/>
    <x v="0"/>
    <x v="0"/>
    <n v="11"/>
    <n v="10"/>
    <n v="1.1000000000000001"/>
    <s v="Plan B"/>
  </r>
  <r>
    <s v="PAT5938"/>
    <n v="33"/>
    <x v="3"/>
    <x v="1"/>
    <x v="268"/>
    <d v="2023-01-11T00:00:00"/>
    <n v="2"/>
    <x v="2"/>
    <n v="1"/>
    <s v="Dr. Rao"/>
    <n v="43897"/>
    <x v="2"/>
    <x v="1"/>
    <x v="0"/>
    <d v="2023-10-27T00:00:00"/>
    <d v="2023-10-27T13:00:00"/>
    <d v="1900-01-12T00:00:00"/>
    <x v="4"/>
    <x v="0"/>
    <x v="2"/>
    <n v="10"/>
    <n v="12"/>
    <n v="0.83333333333333337"/>
    <s v="Plan B"/>
  </r>
  <r>
    <s v="PAT5939"/>
    <n v="6"/>
    <x v="1"/>
    <x v="2"/>
    <x v="455"/>
    <d v="2023-04-02T00:00:00"/>
    <n v="12"/>
    <x v="1"/>
    <n v="3"/>
    <s v="Dr. Patel"/>
    <n v="48183"/>
    <x v="2"/>
    <x v="0"/>
    <x v="1"/>
    <d v="2023-01-22T00:00:00"/>
    <d v="2023-01-22T09:00:00"/>
    <d v="1900-01-08T00:00:00"/>
    <x v="3"/>
    <x v="0"/>
    <x v="2"/>
    <n v="10"/>
    <n v="12"/>
    <n v="0.83333333333333337"/>
    <s v="Plan B"/>
  </r>
  <r>
    <s v="PAT5940"/>
    <n v="50"/>
    <x v="4"/>
    <x v="5"/>
    <x v="72"/>
    <d v="2024-02-17T00:00:00"/>
    <n v="7"/>
    <x v="4"/>
    <n v="1"/>
    <s v="Dr. Rao"/>
    <n v="9482"/>
    <x v="3"/>
    <x v="1"/>
    <x v="0"/>
    <d v="2024-10-02T00:00:00"/>
    <d v="2024-11-02T14:00:00"/>
    <d v="1902-01-27T00:00:00"/>
    <x v="2"/>
    <x v="0"/>
    <x v="0"/>
    <n v="5"/>
    <n v="10"/>
    <n v="0.5"/>
    <s v="Plan A"/>
  </r>
  <r>
    <s v="PAT5941"/>
    <n v="10"/>
    <x v="1"/>
    <x v="2"/>
    <x v="2"/>
    <d v="2023-11-10T00:00:00"/>
    <n v="2"/>
    <x v="5"/>
    <n v="2"/>
    <s v="Dr. Mehta"/>
    <n v="47454"/>
    <x v="1"/>
    <x v="0"/>
    <x v="0"/>
    <d v="2023-09-10T00:00:00"/>
    <d v="2023-09-10T07:00:00"/>
    <d v="1900-01-06T00:00:00"/>
    <x v="1"/>
    <x v="0"/>
    <x v="1"/>
    <n v="11"/>
    <n v="8"/>
    <n v="1.375"/>
    <s v="Plan A"/>
  </r>
  <r>
    <s v="PAT5942"/>
    <n v="5"/>
    <x v="1"/>
    <x v="0"/>
    <x v="207"/>
    <d v="2023-01-16T00:00:00"/>
    <n v="7"/>
    <x v="4"/>
    <n v="5"/>
    <s v="Dr. Sharma"/>
    <n v="30428"/>
    <x v="3"/>
    <x v="1"/>
    <x v="1"/>
    <d v="2023-05-01T00:00:00"/>
    <d v="2023-05-01T10:00:00"/>
    <d v="1900-01-09T00:00:00"/>
    <x v="3"/>
    <x v="0"/>
    <x v="0"/>
    <n v="7"/>
    <n v="12"/>
    <n v="0.58333333333333337"/>
    <s v="Plan A"/>
  </r>
  <r>
    <s v="PAT5943"/>
    <n v="23"/>
    <x v="3"/>
    <x v="0"/>
    <x v="456"/>
    <d v="2023-02-03T00:00:00"/>
    <n v="10"/>
    <x v="3"/>
    <n v="4"/>
    <s v="Dr. Patel"/>
    <n v="12400"/>
    <x v="4"/>
    <x v="0"/>
    <x v="0"/>
    <d v="2023-02-19T00:00:00"/>
    <d v="2023-02-19T07:00:00"/>
    <d v="1900-01-06T00:00:00"/>
    <x v="4"/>
    <x v="0"/>
    <x v="2"/>
    <n v="9"/>
    <n v="8"/>
    <n v="1.125"/>
    <s v="Plan B"/>
  </r>
  <r>
    <s v="PAT5944"/>
    <n v="10"/>
    <x v="1"/>
    <x v="5"/>
    <x v="457"/>
    <d v="2024-06-06T00:00:00"/>
    <n v="14"/>
    <x v="1"/>
    <n v="3"/>
    <s v="Dr. Rao"/>
    <n v="44574"/>
    <x v="3"/>
    <x v="1"/>
    <x v="0"/>
    <d v="2024-05-22T00:00:00"/>
    <d v="2024-05-22T11:00:00"/>
    <d v="1900-01-10T00:00:00"/>
    <x v="2"/>
    <x v="0"/>
    <x v="2"/>
    <n v="8"/>
    <n v="8"/>
    <n v="1"/>
    <s v="Plan B"/>
  </r>
  <r>
    <s v="PAT5945"/>
    <n v="44"/>
    <x v="4"/>
    <x v="4"/>
    <x v="274"/>
    <d v="2023-10-24T00:00:00"/>
    <n v="3"/>
    <x v="3"/>
    <n v="5"/>
    <s v="Dr. Gupta"/>
    <n v="48284"/>
    <x v="2"/>
    <x v="1"/>
    <x v="0"/>
    <d v="2023-10-20T00:00:00"/>
    <d v="2023-10-21T05:00:00"/>
    <d v="1900-01-28T00:00:00"/>
    <x v="3"/>
    <x v="0"/>
    <x v="1"/>
    <n v="11"/>
    <n v="12"/>
    <n v="0.91666666666666663"/>
    <s v="Plan C"/>
  </r>
  <r>
    <s v="PAT5946"/>
    <n v="2"/>
    <x v="1"/>
    <x v="1"/>
    <x v="132"/>
    <d v="2023-02-09T00:00:00"/>
    <n v="9"/>
    <x v="3"/>
    <n v="5"/>
    <s v="Dr. Sharma"/>
    <n v="12396"/>
    <x v="3"/>
    <x v="1"/>
    <x v="1"/>
    <d v="2023-08-20T00:00:00"/>
    <d v="2023-08-21T06:00:00"/>
    <d v="1900-01-29T00:00:00"/>
    <x v="1"/>
    <x v="0"/>
    <x v="2"/>
    <n v="6"/>
    <n v="10"/>
    <n v="0.6"/>
    <s v="Plan B"/>
  </r>
  <r>
    <s v="PAT5947"/>
    <n v="13"/>
    <x v="1"/>
    <x v="2"/>
    <x v="321"/>
    <d v="2024-01-01T00:00:00"/>
    <n v="5"/>
    <x v="0"/>
    <n v="2"/>
    <s v="Dr. Mehta"/>
    <n v="12338"/>
    <x v="0"/>
    <x v="1"/>
    <x v="1"/>
    <d v="2023-12-23T00:00:00"/>
    <d v="2023-12-23T21:00:00"/>
    <d v="1900-01-20T00:00:00"/>
    <x v="2"/>
    <x v="0"/>
    <x v="2"/>
    <n v="9"/>
    <n v="8"/>
    <n v="1.125"/>
    <s v="Plan C"/>
  </r>
  <r>
    <s v="PAT5948"/>
    <n v="40"/>
    <x v="4"/>
    <x v="0"/>
    <x v="60"/>
    <d v="2023-08-19T00:00:00"/>
    <n v="6"/>
    <x v="2"/>
    <n v="1"/>
    <s v="Dr. Rao"/>
    <n v="47718"/>
    <x v="4"/>
    <x v="1"/>
    <x v="1"/>
    <d v="2023-11-08T00:00:00"/>
    <d v="2023-12-08T03:00:00"/>
    <d v="1901-12-23T00:00:00"/>
    <x v="3"/>
    <x v="0"/>
    <x v="2"/>
    <n v="6"/>
    <n v="10"/>
    <n v="0.6"/>
    <s v="Plan A"/>
  </r>
  <r>
    <s v="PAT5949"/>
    <n v="2"/>
    <x v="1"/>
    <x v="4"/>
    <x v="146"/>
    <d v="2023-07-16T00:00:00"/>
    <n v="2"/>
    <x v="0"/>
    <n v="2"/>
    <s v="Dr. Mehta"/>
    <n v="17500"/>
    <x v="3"/>
    <x v="1"/>
    <x v="0"/>
    <d v="2023-12-07T00:00:00"/>
    <d v="2023-12-07T08:00:00"/>
    <d v="1900-01-07T00:00:00"/>
    <x v="3"/>
    <x v="0"/>
    <x v="1"/>
    <n v="8"/>
    <n v="12"/>
    <n v="0.66666666666666663"/>
    <s v="Plan B"/>
  </r>
  <r>
    <s v="PAT5950"/>
    <n v="84"/>
    <x v="2"/>
    <x v="5"/>
    <x v="414"/>
    <d v="2023-09-16T00:00:00"/>
    <n v="2"/>
    <x v="1"/>
    <n v="1"/>
    <s v="Dr. Mehta"/>
    <n v="16545"/>
    <x v="2"/>
    <x v="0"/>
    <x v="0"/>
    <d v="2023-12-09T00:00:00"/>
    <d v="2023-09-13T11:00:00"/>
    <d v="1905-09-07T00:00:00"/>
    <x v="3"/>
    <x v="0"/>
    <x v="2"/>
    <n v="5"/>
    <n v="8"/>
    <n v="0.625"/>
    <s v="Plan A"/>
  </r>
  <r>
    <s v="PAT5951"/>
    <n v="65"/>
    <x v="0"/>
    <x v="3"/>
    <x v="458"/>
    <d v="2023-05-27T00:00:00"/>
    <n v="6"/>
    <x v="3"/>
    <n v="1"/>
    <s v="Dr. Patel"/>
    <n v="10241"/>
    <x v="4"/>
    <x v="0"/>
    <x v="1"/>
    <d v="2023-05-18T00:00:00"/>
    <d v="2023-05-18T23:00:00"/>
    <d v="1900-01-22T00:00:00"/>
    <x v="0"/>
    <x v="0"/>
    <x v="0"/>
    <n v="10"/>
    <n v="10"/>
    <n v="1"/>
    <s v="Plan A"/>
  </r>
  <r>
    <s v="PAT5952"/>
    <n v="63"/>
    <x v="0"/>
    <x v="0"/>
    <x v="29"/>
    <d v="2023-04-21T00:00:00"/>
    <n v="11"/>
    <x v="5"/>
    <n v="5"/>
    <s v="Dr. Patel"/>
    <n v="28778"/>
    <x v="2"/>
    <x v="1"/>
    <x v="1"/>
    <d v="2023-10-04T00:00:00"/>
    <d v="2023-10-04T14:00:00"/>
    <d v="1900-01-13T00:00:00"/>
    <x v="4"/>
    <x v="1"/>
    <x v="1"/>
    <n v="6"/>
    <n v="10"/>
    <n v="0.6"/>
    <s v="Plan A"/>
  </r>
  <r>
    <s v="PAT5953"/>
    <n v="73"/>
    <x v="2"/>
    <x v="5"/>
    <x v="189"/>
    <d v="2023-02-15T00:00:00"/>
    <n v="5"/>
    <x v="3"/>
    <n v="1"/>
    <s v="Dr. Rao"/>
    <n v="27821"/>
    <x v="1"/>
    <x v="0"/>
    <x v="0"/>
    <d v="2023-08-02T00:00:00"/>
    <d v="2023-09-02T05:00:00"/>
    <d v="1902-01-18T00:00:00"/>
    <x v="2"/>
    <x v="0"/>
    <x v="0"/>
    <n v="4"/>
    <n v="8"/>
    <n v="0.5"/>
    <s v="Plan A"/>
  </r>
  <r>
    <s v="PAT5954"/>
    <n v="17"/>
    <x v="1"/>
    <x v="2"/>
    <x v="265"/>
    <d v="2023-11-18T00:00:00"/>
    <n v="5"/>
    <x v="5"/>
    <n v="3"/>
    <s v="Dr. Gupta"/>
    <n v="9695"/>
    <x v="0"/>
    <x v="1"/>
    <x v="0"/>
    <d v="2023-10-11T00:00:00"/>
    <d v="2023-10-11T20:00:00"/>
    <d v="1900-01-19T00:00:00"/>
    <x v="2"/>
    <x v="0"/>
    <x v="0"/>
    <n v="9"/>
    <n v="10"/>
    <n v="0.9"/>
    <s v="Plan B"/>
  </r>
  <r>
    <s v="PAT5955"/>
    <n v="9"/>
    <x v="1"/>
    <x v="1"/>
    <x v="385"/>
    <d v="2024-04-04T00:00:00"/>
    <n v="8"/>
    <x v="0"/>
    <n v="3"/>
    <s v="Dr. Rao"/>
    <n v="16530"/>
    <x v="1"/>
    <x v="1"/>
    <x v="0"/>
    <d v="2024-03-24T00:00:00"/>
    <d v="2024-03-25T06:00:00"/>
    <d v="1900-01-29T00:00:00"/>
    <x v="2"/>
    <x v="1"/>
    <x v="1"/>
    <n v="11"/>
    <n v="10"/>
    <n v="1.1000000000000001"/>
    <s v="Plan A"/>
  </r>
  <r>
    <s v="PAT5956"/>
    <n v="75"/>
    <x v="2"/>
    <x v="0"/>
    <x v="459"/>
    <d v="2023-02-14T00:00:00"/>
    <n v="10"/>
    <x v="0"/>
    <n v="3"/>
    <s v="Dr. Gupta"/>
    <n v="19318"/>
    <x v="0"/>
    <x v="1"/>
    <x v="0"/>
    <d v="2023-01-31T00:00:00"/>
    <d v="2023-01-31T17:00:00"/>
    <d v="1900-01-16T00:00:00"/>
    <x v="3"/>
    <x v="0"/>
    <x v="0"/>
    <n v="11"/>
    <n v="12"/>
    <n v="0.91666666666666663"/>
    <s v="Plan C"/>
  </r>
  <r>
    <s v="PAT5957"/>
    <n v="15"/>
    <x v="1"/>
    <x v="0"/>
    <x v="48"/>
    <d v="2024-01-21T00:00:00"/>
    <n v="12"/>
    <x v="2"/>
    <n v="5"/>
    <s v="Dr. Mehta"/>
    <n v="27331"/>
    <x v="3"/>
    <x v="1"/>
    <x v="0"/>
    <d v="2024-08-01T00:00:00"/>
    <d v="2024-08-01T08:00:00"/>
    <d v="1900-01-07T00:00:00"/>
    <x v="4"/>
    <x v="0"/>
    <x v="1"/>
    <n v="6"/>
    <n v="12"/>
    <n v="0.5"/>
    <s v="Plan B"/>
  </r>
  <r>
    <s v="PAT5958"/>
    <n v="24"/>
    <x v="3"/>
    <x v="2"/>
    <x v="195"/>
    <d v="2023-05-22T00:00:00"/>
    <n v="7"/>
    <x v="3"/>
    <n v="2"/>
    <s v="Dr. Sharma"/>
    <n v="31355"/>
    <x v="4"/>
    <x v="1"/>
    <x v="1"/>
    <d v="2023-10-05T00:00:00"/>
    <d v="2023-10-05T06:00:00"/>
    <d v="1900-01-05T00:00:00"/>
    <x v="1"/>
    <x v="0"/>
    <x v="0"/>
    <n v="8"/>
    <n v="10"/>
    <n v="0.8"/>
    <s v="Plan A"/>
  </r>
  <r>
    <s v="PAT5959"/>
    <n v="38"/>
    <x v="4"/>
    <x v="3"/>
    <x v="446"/>
    <d v="2023-06-04T00:00:00"/>
    <n v="3"/>
    <x v="4"/>
    <n v="4"/>
    <s v="Dr. Rao"/>
    <n v="16324"/>
    <x v="3"/>
    <x v="0"/>
    <x v="0"/>
    <d v="2023-02-04T00:00:00"/>
    <d v="2023-02-04T11:00:00"/>
    <d v="1900-01-10T00:00:00"/>
    <x v="2"/>
    <x v="0"/>
    <x v="1"/>
    <n v="10"/>
    <n v="10"/>
    <n v="1"/>
    <s v="Plan B"/>
  </r>
  <r>
    <s v="PAT5960"/>
    <n v="35"/>
    <x v="3"/>
    <x v="4"/>
    <x v="268"/>
    <d v="2023-11-11T00:00:00"/>
    <n v="12"/>
    <x v="0"/>
    <n v="1"/>
    <s v="Dr. Rao"/>
    <n v="33149"/>
    <x v="0"/>
    <x v="1"/>
    <x v="0"/>
    <d v="2023-10-28T00:00:00"/>
    <d v="2023-10-29T20:00:00"/>
    <d v="1900-02-12T00:00:00"/>
    <x v="4"/>
    <x v="0"/>
    <x v="2"/>
    <n v="4"/>
    <n v="8"/>
    <n v="0.5"/>
    <s v="Plan C"/>
  </r>
  <r>
    <s v="PAT5961"/>
    <n v="49"/>
    <x v="4"/>
    <x v="1"/>
    <x v="267"/>
    <d v="2023-09-12T00:00:00"/>
    <n v="8"/>
    <x v="0"/>
    <n v="4"/>
    <s v="Dr. Gupta"/>
    <n v="8218"/>
    <x v="0"/>
    <x v="1"/>
    <x v="0"/>
    <d v="2023-11-26T00:00:00"/>
    <d v="2023-11-26T20:00:00"/>
    <d v="1900-01-19T00:00:00"/>
    <x v="4"/>
    <x v="1"/>
    <x v="2"/>
    <n v="11"/>
    <n v="12"/>
    <n v="0.91666666666666663"/>
    <s v="Plan A"/>
  </r>
  <r>
    <s v="PAT5962"/>
    <n v="69"/>
    <x v="2"/>
    <x v="0"/>
    <x v="316"/>
    <d v="2024-07-03T00:00:00"/>
    <n v="6"/>
    <x v="2"/>
    <n v="2"/>
    <s v="Dr. Mehta"/>
    <n v="25141"/>
    <x v="0"/>
    <x v="1"/>
    <x v="0"/>
    <d v="2024-01-03T00:00:00"/>
    <d v="2024-02-03T22:00:00"/>
    <d v="1902-02-04T00:00:00"/>
    <x v="0"/>
    <x v="0"/>
    <x v="0"/>
    <n v="6"/>
    <n v="8"/>
    <n v="0.75"/>
    <s v="Plan C"/>
  </r>
  <r>
    <s v="PAT5963"/>
    <n v="62"/>
    <x v="0"/>
    <x v="1"/>
    <x v="416"/>
    <d v="2023-07-07T00:00:00"/>
    <n v="8"/>
    <x v="5"/>
    <n v="2"/>
    <s v="Dr. Mehta"/>
    <n v="41784"/>
    <x v="2"/>
    <x v="0"/>
    <x v="1"/>
    <d v="2023-06-24T00:00:00"/>
    <d v="2023-06-25T21:00:00"/>
    <d v="1900-02-13T00:00:00"/>
    <x v="2"/>
    <x v="0"/>
    <x v="2"/>
    <n v="10"/>
    <n v="10"/>
    <n v="1"/>
    <s v="Plan A"/>
  </r>
  <r>
    <s v="PAT5964"/>
    <n v="60"/>
    <x v="0"/>
    <x v="0"/>
    <x v="122"/>
    <d v="2023-07-26T00:00:00"/>
    <n v="1"/>
    <x v="2"/>
    <n v="5"/>
    <s v="Dr. Gupta"/>
    <n v="7837"/>
    <x v="4"/>
    <x v="1"/>
    <x v="1"/>
    <d v="2023-07-20T00:00:00"/>
    <d v="2023-07-21T15:00:00"/>
    <d v="1900-02-07T00:00:00"/>
    <x v="3"/>
    <x v="0"/>
    <x v="1"/>
    <n v="8"/>
    <n v="8"/>
    <n v="1"/>
    <s v="Plan C"/>
  </r>
  <r>
    <s v="PAT5965"/>
    <n v="50"/>
    <x v="4"/>
    <x v="1"/>
    <x v="142"/>
    <d v="2023-05-28T00:00:00"/>
    <n v="12"/>
    <x v="3"/>
    <n v="3"/>
    <s v="Dr. Mehta"/>
    <n v="44802"/>
    <x v="3"/>
    <x v="0"/>
    <x v="0"/>
    <d v="2023-05-16T00:00:00"/>
    <d v="2023-05-16T03:00:00"/>
    <d v="1900-01-02T00:00:00"/>
    <x v="4"/>
    <x v="0"/>
    <x v="0"/>
    <n v="5"/>
    <n v="10"/>
    <n v="0.5"/>
    <s v="Plan A"/>
  </r>
  <r>
    <s v="PAT5966"/>
    <n v="78"/>
    <x v="2"/>
    <x v="5"/>
    <x v="460"/>
    <d v="2024-01-24T00:00:00"/>
    <n v="14"/>
    <x v="1"/>
    <n v="3"/>
    <s v="Dr. Patel"/>
    <n v="45077"/>
    <x v="3"/>
    <x v="0"/>
    <x v="1"/>
    <d v="2024-10-01T00:00:00"/>
    <d v="2024-10-01T14:00:00"/>
    <d v="1900-01-13T00:00:00"/>
    <x v="4"/>
    <x v="0"/>
    <x v="2"/>
    <n v="8"/>
    <n v="12"/>
    <n v="0.66666666666666663"/>
    <s v="Plan B"/>
  </r>
  <r>
    <s v="PAT5967"/>
    <n v="75"/>
    <x v="2"/>
    <x v="0"/>
    <x v="461"/>
    <d v="2024-12-06T00:00:00"/>
    <n v="15"/>
    <x v="1"/>
    <n v="2"/>
    <s v="Dr. Sharma"/>
    <n v="19379"/>
    <x v="1"/>
    <x v="0"/>
    <x v="1"/>
    <d v="2024-05-25T00:00:00"/>
    <d v="2024-05-25T21:00:00"/>
    <d v="1900-01-20T00:00:00"/>
    <x v="1"/>
    <x v="0"/>
    <x v="2"/>
    <n v="5"/>
    <n v="12"/>
    <n v="0.41666666666666669"/>
    <s v="Plan A"/>
  </r>
  <r>
    <s v="PAT5968"/>
    <n v="9"/>
    <x v="1"/>
    <x v="1"/>
    <x v="323"/>
    <d v="2023-10-13T00:00:00"/>
    <n v="6"/>
    <x v="5"/>
    <n v="5"/>
    <s v="Dr. Rao"/>
    <n v="9239"/>
    <x v="0"/>
    <x v="0"/>
    <x v="1"/>
    <d v="2023-04-10T00:00:00"/>
    <d v="2023-04-10T10:00:00"/>
    <d v="1900-01-09T00:00:00"/>
    <x v="0"/>
    <x v="0"/>
    <x v="0"/>
    <n v="11"/>
    <n v="10"/>
    <n v="1.1000000000000001"/>
    <s v="Plan B"/>
  </r>
  <r>
    <s v="PAT5969"/>
    <n v="34"/>
    <x v="3"/>
    <x v="4"/>
    <x v="170"/>
    <d v="2023-06-28T00:00:00"/>
    <n v="10"/>
    <x v="0"/>
    <n v="5"/>
    <s v="Dr. Sharma"/>
    <n v="49896"/>
    <x v="0"/>
    <x v="1"/>
    <x v="1"/>
    <d v="2023-06-15T00:00:00"/>
    <d v="2023-06-15T06:00:00"/>
    <d v="1900-01-05T00:00:00"/>
    <x v="4"/>
    <x v="0"/>
    <x v="2"/>
    <n v="10"/>
    <n v="12"/>
    <n v="0.83333333333333337"/>
    <s v="Plan A"/>
  </r>
  <r>
    <s v="PAT5970"/>
    <n v="76"/>
    <x v="2"/>
    <x v="5"/>
    <x v="462"/>
    <d v="2023-09-28T00:00:00"/>
    <n v="7"/>
    <x v="5"/>
    <n v="1"/>
    <s v="Dr. Rao"/>
    <n v="25812"/>
    <x v="0"/>
    <x v="0"/>
    <x v="0"/>
    <d v="2023-09-17T00:00:00"/>
    <d v="2023-09-18T22:00:00"/>
    <d v="1900-02-14T00:00:00"/>
    <x v="4"/>
    <x v="1"/>
    <x v="2"/>
    <n v="10"/>
    <n v="10"/>
    <n v="1"/>
    <s v="Plan A"/>
  </r>
  <r>
    <s v="PAT5971"/>
    <n v="35"/>
    <x v="3"/>
    <x v="5"/>
    <x v="463"/>
    <d v="2024-05-13T00:00:00"/>
    <n v="5"/>
    <x v="0"/>
    <n v="3"/>
    <s v="Dr. Patel"/>
    <n v="34669"/>
    <x v="3"/>
    <x v="1"/>
    <x v="1"/>
    <d v="2024-05-05T00:00:00"/>
    <d v="2024-05-05T16:00:00"/>
    <d v="1900-01-15T00:00:00"/>
    <x v="3"/>
    <x v="0"/>
    <x v="0"/>
    <n v="4"/>
    <n v="8"/>
    <n v="0.5"/>
    <s v="Plan C"/>
  </r>
  <r>
    <s v="PAT5972"/>
    <n v="1"/>
    <x v="1"/>
    <x v="4"/>
    <x v="268"/>
    <d v="2023-10-11T00:00:00"/>
    <n v="11"/>
    <x v="0"/>
    <n v="2"/>
    <s v="Dr. Mehta"/>
    <n v="14611"/>
    <x v="1"/>
    <x v="0"/>
    <x v="0"/>
    <d v="2023-10-30T00:00:00"/>
    <d v="2023-10-30T23:00:00"/>
    <d v="1900-01-22T00:00:00"/>
    <x v="3"/>
    <x v="0"/>
    <x v="2"/>
    <n v="8"/>
    <n v="10"/>
    <n v="0.8"/>
    <s v="Plan C"/>
  </r>
  <r>
    <s v="PAT5973"/>
    <n v="40"/>
    <x v="4"/>
    <x v="1"/>
    <x v="130"/>
    <d v="2023-12-26T00:00:00"/>
    <n v="13"/>
    <x v="1"/>
    <n v="4"/>
    <s v="Dr. Gupta"/>
    <n v="9150"/>
    <x v="2"/>
    <x v="0"/>
    <x v="0"/>
    <d v="2023-08-12T00:00:00"/>
    <d v="2023-09-12T02:00:00"/>
    <d v="1902-01-15T00:00:00"/>
    <x v="1"/>
    <x v="0"/>
    <x v="2"/>
    <n v="7"/>
    <n v="8"/>
    <n v="0.875"/>
    <s v="Plan C"/>
  </r>
  <r>
    <s v="PAT5974"/>
    <n v="64"/>
    <x v="0"/>
    <x v="2"/>
    <x v="93"/>
    <d v="2023-04-29T00:00:00"/>
    <n v="1"/>
    <x v="5"/>
    <n v="3"/>
    <s v="Dr. Patel"/>
    <n v="16109"/>
    <x v="4"/>
    <x v="0"/>
    <x v="0"/>
    <d v="2023-04-28T00:00:00"/>
    <d v="2023-04-29T09:00:00"/>
    <d v="1900-02-01T00:00:00"/>
    <x v="1"/>
    <x v="0"/>
    <x v="2"/>
    <n v="11"/>
    <n v="10"/>
    <n v="1.1000000000000001"/>
    <s v="Plan A"/>
  </r>
  <r>
    <s v="PAT5975"/>
    <n v="22"/>
    <x v="3"/>
    <x v="4"/>
    <x v="90"/>
    <d v="2024-04-26T00:00:00"/>
    <n v="2"/>
    <x v="2"/>
    <n v="1"/>
    <s v="Dr. Sharma"/>
    <n v="39214"/>
    <x v="2"/>
    <x v="1"/>
    <x v="1"/>
    <d v="2024-04-19T00:00:00"/>
    <d v="2024-04-19T04:00:00"/>
    <d v="1900-01-03T00:00:00"/>
    <x v="1"/>
    <x v="0"/>
    <x v="2"/>
    <n v="9"/>
    <n v="12"/>
    <n v="0.75"/>
    <s v="Plan A"/>
  </r>
  <r>
    <s v="PAT5976"/>
    <n v="60"/>
    <x v="0"/>
    <x v="1"/>
    <x v="162"/>
    <d v="2023-03-30T00:00:00"/>
    <n v="11"/>
    <x v="0"/>
    <n v="5"/>
    <s v="Dr. Gupta"/>
    <n v="31016"/>
    <x v="3"/>
    <x v="1"/>
    <x v="0"/>
    <d v="2023-03-18T00:00:00"/>
    <d v="2023-03-19T20:00:00"/>
    <d v="1900-02-12T00:00:00"/>
    <x v="3"/>
    <x v="0"/>
    <x v="0"/>
    <n v="7"/>
    <n v="10"/>
    <n v="0.7"/>
    <s v="Plan A"/>
  </r>
  <r>
    <s v="PAT5977"/>
    <n v="64"/>
    <x v="0"/>
    <x v="4"/>
    <x v="464"/>
    <d v="2023-05-06T00:00:00"/>
    <n v="11"/>
    <x v="4"/>
    <n v="2"/>
    <s v="Dr. Mehta"/>
    <n v="16936"/>
    <x v="0"/>
    <x v="0"/>
    <x v="1"/>
    <d v="2023-05-25T00:00:00"/>
    <d v="2023-05-25T20:00:00"/>
    <d v="1900-01-19T00:00:00"/>
    <x v="3"/>
    <x v="0"/>
    <x v="1"/>
    <n v="11"/>
    <n v="10"/>
    <n v="1.1000000000000001"/>
    <s v="Plan B"/>
  </r>
  <r>
    <s v="PAT5978"/>
    <n v="72"/>
    <x v="2"/>
    <x v="4"/>
    <x v="395"/>
    <d v="2023-08-27T00:00:00"/>
    <n v="7"/>
    <x v="4"/>
    <n v="3"/>
    <s v="Dr. Patel"/>
    <n v="16036"/>
    <x v="4"/>
    <x v="1"/>
    <x v="0"/>
    <d v="2023-08-17T00:00:00"/>
    <d v="2023-08-17T17:00:00"/>
    <d v="1900-01-16T00:00:00"/>
    <x v="0"/>
    <x v="0"/>
    <x v="1"/>
    <n v="7"/>
    <n v="10"/>
    <n v="0.7"/>
    <s v="Plan B"/>
  </r>
  <r>
    <s v="PAT5979"/>
    <n v="11"/>
    <x v="1"/>
    <x v="0"/>
    <x v="347"/>
    <d v="2024-02-17T00:00:00"/>
    <n v="6"/>
    <x v="2"/>
    <n v="4"/>
    <s v="Dr. Gupta"/>
    <n v="44236"/>
    <x v="3"/>
    <x v="1"/>
    <x v="0"/>
    <d v="2024-08-02T00:00:00"/>
    <d v="2024-08-02T12:00:00"/>
    <d v="1900-01-11T00:00:00"/>
    <x v="2"/>
    <x v="1"/>
    <x v="2"/>
    <n v="7"/>
    <n v="12"/>
    <n v="0.58333333333333337"/>
    <s v="Plan A"/>
  </r>
  <r>
    <s v="PAT5980"/>
    <n v="14"/>
    <x v="1"/>
    <x v="1"/>
    <x v="460"/>
    <d v="2024-01-19T00:00:00"/>
    <n v="9"/>
    <x v="4"/>
    <n v="1"/>
    <s v="Dr. Patel"/>
    <n v="19021"/>
    <x v="3"/>
    <x v="1"/>
    <x v="0"/>
    <d v="2024-05-01T00:00:00"/>
    <d v="2024-05-01T02:00:00"/>
    <d v="1900-01-01T00:00:00"/>
    <x v="2"/>
    <x v="0"/>
    <x v="2"/>
    <n v="9"/>
    <n v="10"/>
    <n v="0.9"/>
    <s v="Plan C"/>
  </r>
  <r>
    <s v="PAT5981"/>
    <n v="60"/>
    <x v="0"/>
    <x v="2"/>
    <x v="446"/>
    <d v="2023-04-16T00:00:00"/>
    <n v="13"/>
    <x v="3"/>
    <n v="1"/>
    <s v="Dr. Patel"/>
    <n v="41943"/>
    <x v="3"/>
    <x v="0"/>
    <x v="0"/>
    <d v="2023-01-04T00:00:00"/>
    <d v="2023-02-04T02:00:00"/>
    <d v="1902-01-15T00:00:00"/>
    <x v="0"/>
    <x v="1"/>
    <x v="1"/>
    <n v="7"/>
    <n v="12"/>
    <n v="0.58333333333333337"/>
    <s v="Plan C"/>
  </r>
  <r>
    <s v="PAT5982"/>
    <n v="30"/>
    <x v="3"/>
    <x v="0"/>
    <x v="465"/>
    <d v="2024-02-21T00:00:00"/>
    <n v="12"/>
    <x v="0"/>
    <n v="3"/>
    <s v="Dr. Mehta"/>
    <n v="42848"/>
    <x v="4"/>
    <x v="1"/>
    <x v="0"/>
    <d v="2024-05-02T00:00:00"/>
    <d v="2024-06-02T05:00:00"/>
    <d v="1902-01-18T00:00:00"/>
    <x v="2"/>
    <x v="0"/>
    <x v="2"/>
    <n v="5"/>
    <n v="10"/>
    <n v="0.5"/>
    <s v="Plan C"/>
  </r>
  <r>
    <s v="PAT5983"/>
    <n v="35"/>
    <x v="3"/>
    <x v="4"/>
    <x v="380"/>
    <d v="2023-01-26T00:00:00"/>
    <n v="11"/>
    <x v="2"/>
    <n v="4"/>
    <s v="Dr. Rao"/>
    <n v="20471"/>
    <x v="4"/>
    <x v="1"/>
    <x v="0"/>
    <d v="2023-01-15T00:00:00"/>
    <d v="2023-01-16T12:00:00"/>
    <d v="1900-02-04T00:00:00"/>
    <x v="3"/>
    <x v="0"/>
    <x v="1"/>
    <n v="8"/>
    <n v="8"/>
    <n v="1"/>
    <s v="Plan A"/>
  </r>
  <r>
    <s v="PAT5984"/>
    <n v="85"/>
    <x v="2"/>
    <x v="3"/>
    <x v="32"/>
    <d v="2023-01-10T00:00:00"/>
    <n v="3"/>
    <x v="5"/>
    <n v="1"/>
    <s v="Dr. Gupta"/>
    <n v="28244"/>
    <x v="1"/>
    <x v="1"/>
    <x v="0"/>
    <d v="2023-09-24T00:00:00"/>
    <d v="2023-09-26T00:00:00"/>
    <d v="1900-02-16T00:00:00"/>
    <x v="2"/>
    <x v="0"/>
    <x v="0"/>
    <n v="10"/>
    <n v="10"/>
    <n v="1"/>
    <s v="Plan C"/>
  </r>
  <r>
    <s v="PAT5985"/>
    <n v="37"/>
    <x v="4"/>
    <x v="4"/>
    <x v="466"/>
    <d v="2023-08-05T00:00:00"/>
    <n v="1"/>
    <x v="0"/>
    <n v="2"/>
    <s v="Dr. Mehta"/>
    <n v="43985"/>
    <x v="1"/>
    <x v="1"/>
    <x v="0"/>
    <d v="2023-07-05T00:00:00"/>
    <d v="2023-08-05T12:00:00"/>
    <d v="1902-01-25T00:00:00"/>
    <x v="3"/>
    <x v="0"/>
    <x v="0"/>
    <n v="4"/>
    <n v="8"/>
    <n v="0.5"/>
    <s v="Plan A"/>
  </r>
  <r>
    <s v="PAT5986"/>
    <n v="5"/>
    <x v="1"/>
    <x v="4"/>
    <x v="173"/>
    <d v="2024-04-13T00:00:00"/>
    <n v="3"/>
    <x v="2"/>
    <n v="1"/>
    <s v="Dr. Patel"/>
    <n v="43440"/>
    <x v="2"/>
    <x v="0"/>
    <x v="0"/>
    <d v="2024-09-04T00:00:00"/>
    <d v="2024-09-04T16:00:00"/>
    <d v="1900-01-15T00:00:00"/>
    <x v="0"/>
    <x v="0"/>
    <x v="0"/>
    <n v="7"/>
    <n v="12"/>
    <n v="0.58333333333333337"/>
    <s v="Plan B"/>
  </r>
  <r>
    <s v="PAT5987"/>
    <n v="83"/>
    <x v="2"/>
    <x v="1"/>
    <x v="342"/>
    <d v="2024-01-27T00:00:00"/>
    <n v="14"/>
    <x v="1"/>
    <n v="4"/>
    <s v="Dr. Mehta"/>
    <n v="6502"/>
    <x v="4"/>
    <x v="0"/>
    <x v="0"/>
    <d v="2024-12-01T00:00:00"/>
    <d v="2024-12-01T07:00:00"/>
    <d v="1900-01-06T00:00:00"/>
    <x v="1"/>
    <x v="0"/>
    <x v="0"/>
    <n v="10"/>
    <n v="12"/>
    <n v="0.83333333333333337"/>
    <s v="Plan C"/>
  </r>
  <r>
    <s v="PAT5988"/>
    <n v="78"/>
    <x v="2"/>
    <x v="1"/>
    <x v="223"/>
    <d v="2023-06-10T00:00:00"/>
    <n v="10"/>
    <x v="5"/>
    <n v="5"/>
    <s v="Dr. Rao"/>
    <n v="39178"/>
    <x v="4"/>
    <x v="0"/>
    <x v="0"/>
    <d v="2023-09-21T00:00:00"/>
    <d v="2023-09-22T06:00:00"/>
    <d v="1900-01-29T00:00:00"/>
    <x v="0"/>
    <x v="0"/>
    <x v="0"/>
    <n v="7"/>
    <n v="10"/>
    <n v="0.7"/>
    <s v="Plan B"/>
  </r>
  <r>
    <s v="PAT5989"/>
    <n v="26"/>
    <x v="3"/>
    <x v="0"/>
    <x v="89"/>
    <d v="2024-06-02T00:00:00"/>
    <n v="11"/>
    <x v="1"/>
    <n v="5"/>
    <s v="Dr. Gupta"/>
    <n v="8770"/>
    <x v="4"/>
    <x v="1"/>
    <x v="0"/>
    <d v="2024-01-22T00:00:00"/>
    <d v="2024-01-22T07:00:00"/>
    <d v="1900-01-06T00:00:00"/>
    <x v="2"/>
    <x v="1"/>
    <x v="0"/>
    <n v="11"/>
    <n v="12"/>
    <n v="0.91666666666666663"/>
    <s v="Plan C"/>
  </r>
  <r>
    <s v="PAT5990"/>
    <n v="62"/>
    <x v="0"/>
    <x v="2"/>
    <x v="467"/>
    <d v="2024-01-29T00:00:00"/>
    <n v="13"/>
    <x v="0"/>
    <n v="3"/>
    <s v="Dr. Rao"/>
    <n v="47865"/>
    <x v="1"/>
    <x v="0"/>
    <x v="0"/>
    <d v="2024-01-13T00:00:00"/>
    <d v="2024-01-13T09:00:00"/>
    <d v="1900-01-08T00:00:00"/>
    <x v="3"/>
    <x v="0"/>
    <x v="1"/>
    <n v="4"/>
    <n v="10"/>
    <n v="0.4"/>
    <s v="Plan A"/>
  </r>
  <r>
    <s v="PAT5991"/>
    <n v="4"/>
    <x v="1"/>
    <x v="0"/>
    <x v="240"/>
    <d v="2023-04-29T00:00:00"/>
    <n v="8"/>
    <x v="5"/>
    <n v="4"/>
    <s v="Dr. Sharma"/>
    <n v="9001"/>
    <x v="3"/>
    <x v="1"/>
    <x v="0"/>
    <d v="2023-04-19T00:00:00"/>
    <d v="2023-04-19T08:00:00"/>
    <d v="1900-01-07T00:00:00"/>
    <x v="2"/>
    <x v="0"/>
    <x v="2"/>
    <n v="11"/>
    <n v="12"/>
    <n v="0.91666666666666663"/>
    <s v="Plan A"/>
  </r>
  <r>
    <s v="PAT5992"/>
    <n v="89"/>
    <x v="2"/>
    <x v="5"/>
    <x v="408"/>
    <d v="2023-08-29T00:00:00"/>
    <n v="1"/>
    <x v="4"/>
    <n v="1"/>
    <s v="Dr. Gupta"/>
    <n v="25946"/>
    <x v="0"/>
    <x v="1"/>
    <x v="1"/>
    <d v="2023-08-28T00:00:00"/>
    <d v="2023-08-28T01:00:00"/>
    <d v="1899-12-31T00:00:00"/>
    <x v="2"/>
    <x v="0"/>
    <x v="1"/>
    <n v="4"/>
    <n v="8"/>
    <n v="0.5"/>
    <s v="Plan A"/>
  </r>
  <r>
    <s v="PAT5993"/>
    <n v="42"/>
    <x v="4"/>
    <x v="4"/>
    <x v="468"/>
    <d v="2024-04-30T00:00:00"/>
    <n v="3"/>
    <x v="2"/>
    <n v="1"/>
    <s v="Dr. Rao"/>
    <n v="5598"/>
    <x v="1"/>
    <x v="1"/>
    <x v="0"/>
    <d v="2024-04-27T00:00:00"/>
    <d v="2024-04-27T04:00:00"/>
    <d v="1900-01-03T00:00:00"/>
    <x v="1"/>
    <x v="0"/>
    <x v="0"/>
    <n v="7"/>
    <n v="12"/>
    <n v="0.58333333333333337"/>
    <s v="Plan A"/>
  </r>
  <r>
    <s v="PAT5994"/>
    <n v="89"/>
    <x v="2"/>
    <x v="3"/>
    <x v="1"/>
    <d v="2023-01-28T00:00:00"/>
    <n v="2"/>
    <x v="0"/>
    <n v="5"/>
    <s v="Dr. Patel"/>
    <n v="35316"/>
    <x v="4"/>
    <x v="1"/>
    <x v="1"/>
    <d v="2023-01-21T00:00:00"/>
    <d v="2023-01-21T15:00:00"/>
    <d v="1900-01-14T00:00:00"/>
    <x v="2"/>
    <x v="0"/>
    <x v="2"/>
    <n v="5"/>
    <n v="8"/>
    <n v="0.625"/>
    <s v="Plan C"/>
  </r>
  <r>
    <s v="PAT5995"/>
    <n v="18"/>
    <x v="1"/>
    <x v="4"/>
    <x v="332"/>
    <d v="2023-06-12T00:00:00"/>
    <n v="4"/>
    <x v="3"/>
    <n v="5"/>
    <s v="Dr. Gupta"/>
    <n v="30567"/>
    <x v="1"/>
    <x v="1"/>
    <x v="0"/>
    <d v="2023-11-30T00:00:00"/>
    <d v="2023-11-30T09:00:00"/>
    <d v="1900-01-08T00:00:00"/>
    <x v="1"/>
    <x v="0"/>
    <x v="2"/>
    <n v="10"/>
    <n v="10"/>
    <n v="1"/>
    <s v="Plan B"/>
  </r>
  <r>
    <s v="PAT5996"/>
    <n v="40"/>
    <x v="4"/>
    <x v="4"/>
    <x v="370"/>
    <d v="2023-08-28T00:00:00"/>
    <n v="13"/>
    <x v="5"/>
    <n v="2"/>
    <s v="Dr. Gupta"/>
    <n v="31508"/>
    <x v="2"/>
    <x v="1"/>
    <x v="1"/>
    <d v="2023-11-08T00:00:00"/>
    <d v="2023-11-08T13:00:00"/>
    <d v="1900-01-12T00:00:00"/>
    <x v="3"/>
    <x v="0"/>
    <x v="0"/>
    <n v="4"/>
    <n v="10"/>
    <n v="0.4"/>
    <s v="Plan A"/>
  </r>
  <r>
    <s v="PAT5997"/>
    <n v="72"/>
    <x v="2"/>
    <x v="0"/>
    <x v="469"/>
    <d v="2023-03-17T00:00:00"/>
    <n v="11"/>
    <x v="5"/>
    <n v="5"/>
    <s v="Dr. Mehta"/>
    <n v="48744"/>
    <x v="4"/>
    <x v="1"/>
    <x v="1"/>
    <d v="2023-02-03T00:00:00"/>
    <d v="2023-03-03T02:00:00"/>
    <d v="1901-11-04T00:00:00"/>
    <x v="3"/>
    <x v="0"/>
    <x v="0"/>
    <n v="8"/>
    <n v="10"/>
    <n v="0.8"/>
    <s v="Plan C"/>
  </r>
  <r>
    <s v="PAT5998"/>
    <n v="39"/>
    <x v="4"/>
    <x v="3"/>
    <x v="295"/>
    <d v="2024-04-26T00:00:00"/>
    <n v="6"/>
    <x v="0"/>
    <n v="2"/>
    <s v="Dr. Patel"/>
    <n v="44159"/>
    <x v="2"/>
    <x v="1"/>
    <x v="0"/>
    <d v="2024-04-15T00:00:00"/>
    <d v="2024-04-16T00:00:00"/>
    <d v="1900-01-23T00:00:00"/>
    <x v="1"/>
    <x v="0"/>
    <x v="0"/>
    <n v="10"/>
    <n v="8"/>
    <n v="1.25"/>
    <s v="Plan B"/>
  </r>
  <r>
    <s v="PAT5999"/>
    <n v="14"/>
    <x v="1"/>
    <x v="3"/>
    <x v="206"/>
    <d v="2023-12-11T00:00:00"/>
    <n v="6"/>
    <x v="0"/>
    <n v="1"/>
    <s v="Dr. Sharma"/>
    <n v="35276"/>
    <x v="4"/>
    <x v="0"/>
    <x v="0"/>
    <d v="2023-06-11T00:00:00"/>
    <d v="2023-07-11T20:00:00"/>
    <d v="1902-01-09T00:00:00"/>
    <x v="0"/>
    <x v="0"/>
    <x v="0"/>
    <n v="8"/>
    <n v="10"/>
    <n v="0.8"/>
    <s v="Plan 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4CA0C4-486E-4C6D-B7EB-1541638836D6}" name="PivotTable1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ase Type">
  <location ref="G46:H48" firstHeaderRow="1" firstDataRow="1" firstDataCol="1" rowPageCount="1" colPageCount="1"/>
  <pivotFields count="26">
    <pivotField dataField="1" showAll="0"/>
    <pivotField showAll="0"/>
    <pivotField showAll="0"/>
    <pivotField showAll="0"/>
    <pivotField axis="axisPage" numFmtId="14" multipleItemSelectionAllowed="1" showAll="0">
      <items count="15">
        <item h="1" x="0"/>
        <item x="1"/>
        <item x="2"/>
        <item x="3"/>
        <item x="4"/>
        <item x="5"/>
        <item x="6"/>
        <item x="7"/>
        <item x="8"/>
        <item x="9"/>
        <item x="10"/>
        <item x="11"/>
        <item x="12"/>
        <item h="1" x="13"/>
        <item t="default"/>
      </items>
    </pivotField>
    <pivotField numFmtId="14" showAll="0"/>
    <pivotField showAll="0"/>
    <pivotField showAll="0"/>
    <pivotField showAll="0"/>
    <pivotField showAll="0"/>
    <pivotField showAll="0"/>
    <pivotField showAll="0"/>
    <pivotField showAll="0"/>
    <pivotField axis="axisRow" showAll="0">
      <items count="3">
        <item x="1"/>
        <item h="1" x="0"/>
        <item t="default"/>
      </items>
    </pivotField>
    <pivotField numFmtId="22" showAll="0"/>
    <pivotField numFmtId="22" showAll="0"/>
    <pivotField numFmtId="20" showAll="0"/>
    <pivotField showAll="0"/>
    <pivotField showAll="0"/>
    <pivotField showAll="0"/>
    <pivotField showAll="0"/>
    <pivotField showAll="0"/>
    <pivotField numFmtId="10" showAll="0"/>
    <pivotField showAll="0"/>
    <pivotField showAll="0" defaultSubtotal="0"/>
    <pivotField showAll="0" defaultSubtotal="0"/>
  </pivotFields>
  <rowFields count="1">
    <field x="13"/>
  </rowFields>
  <rowItems count="2">
    <i>
      <x/>
    </i>
    <i t="grand">
      <x/>
    </i>
  </rowItems>
  <colItems count="1">
    <i/>
  </colItems>
  <pageFields count="1">
    <pageField fld="4" hier="-1"/>
  </pageFields>
  <dataFields count="1">
    <dataField name="Count of Patient ID" fld="0" subtotal="count" baseField="0" baseItem="0"/>
  </dataFields>
  <formats count="4">
    <format dxfId="13">
      <pivotArea field="13" type="button" dataOnly="0" labelOnly="1" outline="0" axis="axisRow" fieldPosition="0"/>
    </format>
    <format dxfId="12">
      <pivotArea dataOnly="0" labelOnly="1" outline="0" axis="axisValues" fieldPosition="0"/>
    </format>
    <format dxfId="11">
      <pivotArea grandRow="1" outline="0" collapsedLevelsAreSubtotals="1" fieldPosition="0"/>
    </format>
    <format dxfId="1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6F977E-B184-46DB-A414-93959833B36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O16:Q23"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Distinct Count of Doctor" fld="2" subtotal="count" baseField="0" baseItem="0">
      <extLst>
        <ext xmlns:x15="http://schemas.microsoft.com/office/spreadsheetml/2010/11/main" uri="{FABC7310-3BB5-11E1-824E-6D434824019B}">
          <x15:dataField isCountDistinct="1"/>
        </ext>
      </extLst>
    </dataField>
    <dataField name="Count of Patient ID" fld="1" subtotal="count" baseField="0" baseItem="0"/>
  </dataFields>
  <formats count="7">
    <format dxfId="20">
      <pivotArea field="0" type="button" dataOnly="0" labelOnly="1" outline="0" axis="axisRow" fieldPosition="0"/>
    </format>
    <format dxfId="19">
      <pivotArea dataOnly="0" labelOnly="1" outline="0" fieldPosition="0">
        <references count="1">
          <reference field="4294967294" count="2">
            <x v="0"/>
            <x v="1"/>
          </reference>
        </references>
      </pivotArea>
    </format>
    <format dxfId="18">
      <pivotArea grandRow="1" outline="0" collapsedLevelsAreSubtotals="1" fieldPosition="0"/>
    </format>
    <format dxfId="17">
      <pivotArea dataOnly="0" labelOnly="1" grandRow="1" outline="0" fieldPosition="0"/>
    </format>
    <format dxfId="16">
      <pivotArea field="0" type="button" dataOnly="0" labelOnly="1" outline="0" axis="axisRow" fieldPosition="0"/>
    </format>
    <format dxfId="15">
      <pivotArea dataOnly="0" labelOnly="1" outline="0" fieldPosition="0">
        <references count="1">
          <reference field="4294967294" count="2">
            <x v="0"/>
            <x v="1"/>
          </reference>
        </references>
      </pivotArea>
    </format>
    <format dxfId="14">
      <pivotArea dataOnly="0" grandRow="1" axis="axisRow"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Doctor"/>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ssesmen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7F9AED-4722-477D-9B14-0ADEEBE21915}" name="Average length of hospital stay for different age groups"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Age Group">
  <location ref="A3:B9" firstHeaderRow="1" firstDataRow="1" firstDataCol="1"/>
  <pivotFields count="26">
    <pivotField showAll="0"/>
    <pivotField showAll="0"/>
    <pivotField axis="axisRow" showAll="0">
      <items count="6">
        <item x="1"/>
        <item x="3"/>
        <item x="4"/>
        <item x="0"/>
        <item x="2"/>
        <item t="default"/>
      </items>
    </pivotField>
    <pivotField showAll="0"/>
    <pivotField numFmtId="22" showAll="0">
      <items count="15">
        <item x="0"/>
        <item x="1"/>
        <item x="2"/>
        <item x="3"/>
        <item x="4"/>
        <item x="5"/>
        <item x="6"/>
        <item x="7"/>
        <item x="8"/>
        <item x="9"/>
        <item x="10"/>
        <item x="11"/>
        <item x="12"/>
        <item x="13"/>
        <item t="default"/>
      </items>
    </pivotField>
    <pivotField numFmtId="22" showAll="0"/>
    <pivotField dataField="1" showAll="0"/>
    <pivotField showAll="0"/>
    <pivotField showAll="0"/>
    <pivotField showAll="0"/>
    <pivotField showAll="0"/>
    <pivotField showAll="0"/>
    <pivotField showAll="0"/>
    <pivotField showAll="0"/>
    <pivotField numFmtId="22" showAll="0"/>
    <pivotField numFmtId="22" showAll="0"/>
    <pivotField numFmtId="20" showAll="0"/>
    <pivotField showAll="0"/>
    <pivotField showAll="0"/>
    <pivotField showAll="0"/>
    <pivotField showAll="0"/>
    <pivotField showAll="0"/>
    <pivotField numFmtId="10"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Average of Stay Duration (days)" fld="6" subtotal="average" baseField="2" baseItem="0" numFmtId="164"/>
  </dataFields>
  <formats count="4">
    <format dxfId="24">
      <pivotArea field="2" type="button" dataOnly="0" labelOnly="1" outline="0" axis="axisRow" fieldPosition="0"/>
    </format>
    <format dxfId="23">
      <pivotArea dataOnly="0" labelOnly="1" outline="0" axis="axisValues" fieldPosition="0"/>
    </format>
    <format dxfId="22">
      <pivotArea dataOnly="0" labelOnly="1" grandRow="1" outline="0" fieldPosition="0"/>
    </format>
    <format dxfId="2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B764D1-0953-467E-B6DE-5A660EF2352F}" name="Most Frequently Diagnosed Diseases"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Disease/Condition">
  <location ref="A16:B23" firstHeaderRow="1" firstDataRow="1" firstDataCol="1"/>
  <pivotFields count="26">
    <pivotField dataField="1" showAll="0"/>
    <pivotField showAll="0"/>
    <pivotField showAll="0"/>
    <pivotField showAll="0">
      <items count="7">
        <item x="4"/>
        <item x="3"/>
        <item x="2"/>
        <item x="1"/>
        <item x="0"/>
        <item x="5"/>
        <item t="default"/>
      </items>
    </pivotField>
    <pivotField numFmtId="22" showAll="0"/>
    <pivotField numFmtId="22" showAll="0"/>
    <pivotField showAll="0"/>
    <pivotField axis="axisRow" showAll="0" sortType="descending">
      <items count="7">
        <item x="3"/>
        <item x="4"/>
        <item x="1"/>
        <item x="0"/>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22" showAll="0"/>
    <pivotField numFmtId="22" showAll="0"/>
    <pivotField numFmtId="20" showAll="0"/>
    <pivotField showAll="0"/>
    <pivotField showAll="0"/>
    <pivotField showAll="0"/>
    <pivotField showAll="0"/>
    <pivotField showAll="0"/>
    <pivotField numFmtId="10" showAll="0"/>
    <pivotField showAll="0"/>
    <pivotField showAll="0" defaultSubtotal="0"/>
    <pivotField showAll="0" defaultSubtotal="0"/>
  </pivotFields>
  <rowFields count="1">
    <field x="7"/>
  </rowFields>
  <rowItems count="7">
    <i>
      <x v="2"/>
    </i>
    <i>
      <x/>
    </i>
    <i>
      <x v="1"/>
    </i>
    <i>
      <x v="3"/>
    </i>
    <i>
      <x v="4"/>
    </i>
    <i>
      <x v="5"/>
    </i>
    <i t="grand">
      <x/>
    </i>
  </rowItems>
  <colItems count="1">
    <i/>
  </colItems>
  <dataFields count="1">
    <dataField name="Count of Disease" fld="0" subtotal="count" baseField="0" baseItem="0"/>
  </dataFields>
  <formats count="4">
    <format dxfId="28">
      <pivotArea field="7" type="button" dataOnly="0" labelOnly="1" outline="0" axis="axisRow" fieldPosition="0"/>
    </format>
    <format dxfId="27">
      <pivotArea dataOnly="0" labelOnly="1" outline="0" axis="axisValues" fieldPosition="0"/>
    </format>
    <format dxfId="26">
      <pivotArea grandRow="1" outline="0" collapsedLevelsAreSubtotals="1" fieldPosition="0"/>
    </format>
    <format dxfId="25">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181634-87E4-4D31-960A-87F689E48EC7}" name="Monthly Hospital Admissions Trend"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Month">
  <location ref="K16:L29" firstHeaderRow="1" firstDataRow="1" firstDataCol="1"/>
  <pivotFields count="26">
    <pivotField dataField="1" showAll="0"/>
    <pivotField showAll="0"/>
    <pivotField showAll="0"/>
    <pivotField showAll="0"/>
    <pivotField axis="axisRow" numFmtId="22" showAll="0">
      <items count="15">
        <item x="0"/>
        <item x="1"/>
        <item x="2"/>
        <item x="3"/>
        <item x="4"/>
        <item x="5"/>
        <item x="6"/>
        <item x="7"/>
        <item x="8"/>
        <item x="9"/>
        <item x="10"/>
        <item x="11"/>
        <item x="12"/>
        <item x="13"/>
        <item t="default"/>
      </items>
    </pivotField>
    <pivotField numFmtId="22" showAll="0"/>
    <pivotField showAll="0"/>
    <pivotField showAll="0"/>
    <pivotField showAll="0"/>
    <pivotField showAll="0"/>
    <pivotField showAll="0"/>
    <pivotField showAll="0"/>
    <pivotField showAll="0"/>
    <pivotField showAll="0"/>
    <pivotField numFmtId="22" showAll="0"/>
    <pivotField numFmtId="22" showAll="0"/>
    <pivotField numFmtId="20" showAll="0"/>
    <pivotField showAll="0"/>
    <pivotField showAll="0"/>
    <pivotField showAll="0"/>
    <pivotField showAll="0"/>
    <pivotField showAll="0"/>
    <pivotField numFmtId="10"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4"/>
  </rowFields>
  <rowItems count="13">
    <i>
      <x v="1"/>
    </i>
    <i>
      <x v="2"/>
    </i>
    <i>
      <x v="3"/>
    </i>
    <i>
      <x v="4"/>
    </i>
    <i>
      <x v="5"/>
    </i>
    <i>
      <x v="6"/>
    </i>
    <i>
      <x v="7"/>
    </i>
    <i>
      <x v="8"/>
    </i>
    <i>
      <x v="9"/>
    </i>
    <i>
      <x v="10"/>
    </i>
    <i>
      <x v="11"/>
    </i>
    <i>
      <x v="12"/>
    </i>
    <i t="grand">
      <x/>
    </i>
  </rowItems>
  <colItems count="1">
    <i/>
  </colItems>
  <dataFields count="1">
    <dataField name="Number of Admissions" fld="0" subtotal="count" baseField="0" baseItem="0"/>
  </dataFields>
  <formats count="4">
    <format dxfId="32">
      <pivotArea field="4" type="button" dataOnly="0" labelOnly="1" outline="0" axis="axisRow" fieldPosition="0"/>
    </format>
    <format dxfId="31">
      <pivotArea dataOnly="0" labelOnly="1" outline="0" axis="axisValues" fieldPosition="0"/>
    </format>
    <format dxfId="30">
      <pivotArea grandRow="1" outline="0" collapsedLevelsAreSubtotals="1" fieldPosition="0"/>
    </format>
    <format dxfId="29">
      <pivotArea dataOnly="0" labelOnly="1" grandRow="1" outline="0"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F553A3-3C42-4638-B779-51852666F738}" name="Top medication per department"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Department" colHeaderCaption="medication">
  <location ref="A32:G40" firstHeaderRow="1" firstDataRow="2" firstDataCol="1"/>
  <pivotFields count="26">
    <pivotField showAll="0"/>
    <pivotField showAll="0"/>
    <pivotField showAll="0"/>
    <pivotField axis="axisRow" showAll="0">
      <items count="7">
        <item x="4"/>
        <item x="3"/>
        <item x="2"/>
        <item x="1"/>
        <item x="0"/>
        <item x="5"/>
        <item t="default"/>
      </items>
    </pivotField>
    <pivotField numFmtId="22" showAll="0"/>
    <pivotField numFmtId="22" showAll="0"/>
    <pivotField showAll="0"/>
    <pivotField showAll="0"/>
    <pivotField showAll="0"/>
    <pivotField showAll="0"/>
    <pivotField showAll="0"/>
    <pivotField axis="axisCol" dataField="1" showAll="0">
      <items count="6">
        <item x="2"/>
        <item x="4"/>
        <item x="0"/>
        <item x="3"/>
        <item x="1"/>
        <item t="default"/>
      </items>
    </pivotField>
    <pivotField showAll="0"/>
    <pivotField showAll="0"/>
    <pivotField numFmtId="22" showAll="0"/>
    <pivotField numFmtId="22" showAll="0"/>
    <pivotField numFmtId="20" showAll="0"/>
    <pivotField showAll="0"/>
    <pivotField showAll="0"/>
    <pivotField showAll="0"/>
    <pivotField showAll="0"/>
    <pivotField showAll="0"/>
    <pivotField numFmtId="10" showAll="0"/>
    <pivotField showAll="0"/>
    <pivotField showAll="0" defaultSubtotal="0"/>
    <pivotField showAll="0" defaultSubtotal="0"/>
  </pivotFields>
  <rowFields count="1">
    <field x="3"/>
  </rowFields>
  <rowItems count="7">
    <i>
      <x/>
    </i>
    <i>
      <x v="1"/>
    </i>
    <i>
      <x v="2"/>
    </i>
    <i>
      <x v="3"/>
    </i>
    <i>
      <x v="4"/>
    </i>
    <i>
      <x v="5"/>
    </i>
    <i t="grand">
      <x/>
    </i>
  </rowItems>
  <colFields count="1">
    <field x="11"/>
  </colFields>
  <colItems count="6">
    <i>
      <x/>
    </i>
    <i>
      <x v="1"/>
    </i>
    <i>
      <x v="2"/>
    </i>
    <i>
      <x v="3"/>
    </i>
    <i>
      <x v="4"/>
    </i>
    <i t="grand">
      <x/>
    </i>
  </colItems>
  <dataFields count="1">
    <dataField name="count" fld="11" subtotal="count" baseField="0" baseItem="0"/>
  </dataFields>
  <formats count="8">
    <format dxfId="40">
      <pivotArea type="origin" dataOnly="0" labelOnly="1" outline="0" fieldPosition="0"/>
    </format>
    <format dxfId="39">
      <pivotArea field="11" type="button" dataOnly="0" labelOnly="1" outline="0" axis="axisCol" fieldPosition="0"/>
    </format>
    <format dxfId="38">
      <pivotArea type="topRight" dataOnly="0" labelOnly="1" outline="0" fieldPosition="0"/>
    </format>
    <format dxfId="37">
      <pivotArea field="3" type="button" dataOnly="0" labelOnly="1" outline="0" axis="axisRow" fieldPosition="0"/>
    </format>
    <format dxfId="36">
      <pivotArea dataOnly="0" labelOnly="1" fieldPosition="0">
        <references count="1">
          <reference field="11" count="0"/>
        </references>
      </pivotArea>
    </format>
    <format dxfId="35">
      <pivotArea dataOnly="0" labelOnly="1" grandCol="1" outline="0" fieldPosition="0"/>
    </format>
    <format dxfId="34">
      <pivotArea grandRow="1" outline="0" collapsedLevelsAreSubtotals="1" fieldPosition="0"/>
    </format>
    <format dxfId="33">
      <pivotArea dataOnly="0" labelOnly="1" grandRow="1" outline="0" fieldPosition="0"/>
    </format>
  </formats>
  <chartFormats count="5">
    <chartFormat chart="2" format="15" series="1">
      <pivotArea type="data" outline="0" fieldPosition="0">
        <references count="2">
          <reference field="4294967294" count="1" selected="0">
            <x v="0"/>
          </reference>
          <reference field="11" count="1" selected="0">
            <x v="0"/>
          </reference>
        </references>
      </pivotArea>
    </chartFormat>
    <chartFormat chart="2" format="16" series="1">
      <pivotArea type="data" outline="0" fieldPosition="0">
        <references count="2">
          <reference field="4294967294" count="1" selected="0">
            <x v="0"/>
          </reference>
          <reference field="11" count="1" selected="0">
            <x v="1"/>
          </reference>
        </references>
      </pivotArea>
    </chartFormat>
    <chartFormat chart="2" format="17" series="1">
      <pivotArea type="data" outline="0" fieldPosition="0">
        <references count="2">
          <reference field="4294967294" count="1" selected="0">
            <x v="0"/>
          </reference>
          <reference field="11" count="1" selected="0">
            <x v="2"/>
          </reference>
        </references>
      </pivotArea>
    </chartFormat>
    <chartFormat chart="2" format="18" series="1">
      <pivotArea type="data" outline="0" fieldPosition="0">
        <references count="2">
          <reference field="4294967294" count="1" selected="0">
            <x v="0"/>
          </reference>
          <reference field="11" count="1" selected="0">
            <x v="3"/>
          </reference>
        </references>
      </pivotArea>
    </chartFormat>
    <chartFormat chart="2" format="19"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38559B-5B14-4FBF-98E7-E81907909E1F}" name="Highest patient inflow per month by Department_x0009__x0009__x0009__x0009__x0009__x0009__x0009__x0009__x0009__x0009__x0009_Highest patient inflow per month by Department_x0009__x0009__x0009__x0009__x0009__x0009__x0009__x0009__x0009__x0009_"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Department" colHeaderCaption="Month">
  <location ref="E3:R11" firstHeaderRow="1" firstDataRow="2" firstDataCol="1"/>
  <pivotFields count="26">
    <pivotField dataField="1" showAll="0"/>
    <pivotField showAll="0"/>
    <pivotField showAll="0"/>
    <pivotField axis="axisRow" showAll="0">
      <items count="7">
        <item x="4"/>
        <item x="3"/>
        <item x="2"/>
        <item x="1"/>
        <item x="0"/>
        <item x="5"/>
        <item t="default"/>
      </items>
    </pivotField>
    <pivotField axis="axisCol" numFmtId="22" showAll="0">
      <items count="15">
        <item x="0"/>
        <item x="1"/>
        <item x="2"/>
        <item x="3"/>
        <item x="4"/>
        <item x="5"/>
        <item x="6"/>
        <item x="7"/>
        <item x="8"/>
        <item x="9"/>
        <item x="10"/>
        <item x="11"/>
        <item x="12"/>
        <item x="13"/>
        <item t="default"/>
      </items>
    </pivotField>
    <pivotField numFmtId="22" showAll="0"/>
    <pivotField showAll="0"/>
    <pivotField showAll="0"/>
    <pivotField showAll="0"/>
    <pivotField showAll="0"/>
    <pivotField showAll="0"/>
    <pivotField showAll="0"/>
    <pivotField showAll="0"/>
    <pivotField showAll="0"/>
    <pivotField numFmtId="22" showAll="0"/>
    <pivotField numFmtId="22" showAll="0"/>
    <pivotField numFmtId="20" showAll="0"/>
    <pivotField showAll="0"/>
    <pivotField showAll="0"/>
    <pivotField showAll="0"/>
    <pivotField showAll="0"/>
    <pivotField showAll="0"/>
    <pivotField numFmtId="10"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7">
    <i>
      <x/>
    </i>
    <i>
      <x v="1"/>
    </i>
    <i>
      <x v="2"/>
    </i>
    <i>
      <x v="3"/>
    </i>
    <i>
      <x v="4"/>
    </i>
    <i>
      <x v="5"/>
    </i>
    <i t="grand">
      <x/>
    </i>
  </rowItems>
  <colFields count="1">
    <field x="4"/>
  </colFields>
  <colItems count="13">
    <i>
      <x v="1"/>
    </i>
    <i>
      <x v="2"/>
    </i>
    <i>
      <x v="3"/>
    </i>
    <i>
      <x v="4"/>
    </i>
    <i>
      <x v="5"/>
    </i>
    <i>
      <x v="6"/>
    </i>
    <i>
      <x v="7"/>
    </i>
    <i>
      <x v="8"/>
    </i>
    <i>
      <x v="9"/>
    </i>
    <i>
      <x v="10"/>
    </i>
    <i>
      <x v="11"/>
    </i>
    <i>
      <x v="12"/>
    </i>
    <i t="grand">
      <x/>
    </i>
  </colItems>
  <dataFields count="1">
    <dataField name="Count of Patient ID" fld="0" subtotal="count" baseField="0" baseItem="0"/>
  </dataFields>
  <formats count="9">
    <format dxfId="49">
      <pivotArea type="origin" dataOnly="0" labelOnly="1" outline="0" fieldPosition="0"/>
    </format>
    <format dxfId="48">
      <pivotArea field="4" type="button" dataOnly="0" labelOnly="1" outline="0" axis="axisCol" fieldPosition="0"/>
    </format>
    <format dxfId="47">
      <pivotArea field="3" type="button" dataOnly="0" labelOnly="1" outline="0" axis="axisRow" fieldPosition="0"/>
    </format>
    <format dxfId="46">
      <pivotArea dataOnly="0" labelOnly="1" fieldPosition="0">
        <references count="1">
          <reference field="4" count="1">
            <x v="1"/>
          </reference>
        </references>
      </pivotArea>
    </format>
    <format dxfId="45">
      <pivotArea type="topRight" dataOnly="0" labelOnly="1" outline="0" fieldPosition="0"/>
    </format>
    <format dxfId="44">
      <pivotArea dataOnly="0" labelOnly="1" fieldPosition="0">
        <references count="1">
          <reference field="4" count="11">
            <x v="2"/>
            <x v="3"/>
            <x v="4"/>
            <x v="5"/>
            <x v="6"/>
            <x v="7"/>
            <x v="8"/>
            <x v="9"/>
            <x v="10"/>
            <x v="11"/>
            <x v="12"/>
          </reference>
        </references>
      </pivotArea>
    </format>
    <format dxfId="43">
      <pivotArea dataOnly="0" labelOnly="1" grandCol="1" outline="0" fieldPosition="0"/>
    </format>
    <format dxfId="42">
      <pivotArea grandRow="1" outline="0" collapsedLevelsAreSubtotals="1" fieldPosition="0"/>
    </format>
    <format dxfId="41">
      <pivotArea dataOnly="0" labelOnly="1" grandRow="1" outline="0" fieldPosition="0"/>
    </format>
  </formats>
  <chartFormats count="36">
    <chartFormat chart="0" format="0" series="1">
      <pivotArea type="data" outline="0" fieldPosition="0">
        <references count="2">
          <reference field="4294967294" count="1" selected="0">
            <x v="0"/>
          </reference>
          <reference field="4" count="1" selected="0">
            <x v="1"/>
          </reference>
        </references>
      </pivotArea>
    </chartFormat>
    <chartFormat chart="0" format="1" series="1">
      <pivotArea type="data" outline="0" fieldPosition="0">
        <references count="2">
          <reference field="4294967294" count="1" selected="0">
            <x v="0"/>
          </reference>
          <reference field="4" count="1" selected="0">
            <x v="2"/>
          </reference>
        </references>
      </pivotArea>
    </chartFormat>
    <chartFormat chart="0" format="2" series="1">
      <pivotArea type="data" outline="0" fieldPosition="0">
        <references count="2">
          <reference field="4294967294" count="1" selected="0">
            <x v="0"/>
          </reference>
          <reference field="4" count="1" selected="0">
            <x v="3"/>
          </reference>
        </references>
      </pivotArea>
    </chartFormat>
    <chartFormat chart="0" format="3" series="1">
      <pivotArea type="data" outline="0" fieldPosition="0">
        <references count="2">
          <reference field="4294967294" count="1" selected="0">
            <x v="0"/>
          </reference>
          <reference field="4" count="1" selected="0">
            <x v="4"/>
          </reference>
        </references>
      </pivotArea>
    </chartFormat>
    <chartFormat chart="0" format="4" series="1">
      <pivotArea type="data" outline="0" fieldPosition="0">
        <references count="2">
          <reference field="4294967294" count="1" selected="0">
            <x v="0"/>
          </reference>
          <reference field="4" count="1" selected="0">
            <x v="5"/>
          </reference>
        </references>
      </pivotArea>
    </chartFormat>
    <chartFormat chart="0" format="5" series="1">
      <pivotArea type="data" outline="0" fieldPosition="0">
        <references count="2">
          <reference field="4294967294" count="1" selected="0">
            <x v="0"/>
          </reference>
          <reference field="4" count="1" selected="0">
            <x v="6"/>
          </reference>
        </references>
      </pivotArea>
    </chartFormat>
    <chartFormat chart="0" format="6" series="1">
      <pivotArea type="data" outline="0" fieldPosition="0">
        <references count="2">
          <reference field="4294967294" count="1" selected="0">
            <x v="0"/>
          </reference>
          <reference field="4" count="1" selected="0">
            <x v="7"/>
          </reference>
        </references>
      </pivotArea>
    </chartFormat>
    <chartFormat chart="0" format="7" series="1">
      <pivotArea type="data" outline="0" fieldPosition="0">
        <references count="2">
          <reference field="4294967294" count="1" selected="0">
            <x v="0"/>
          </reference>
          <reference field="4" count="1" selected="0">
            <x v="8"/>
          </reference>
        </references>
      </pivotArea>
    </chartFormat>
    <chartFormat chart="0" format="8" series="1">
      <pivotArea type="data" outline="0" fieldPosition="0">
        <references count="2">
          <reference field="4294967294" count="1" selected="0">
            <x v="0"/>
          </reference>
          <reference field="4" count="1" selected="0">
            <x v="9"/>
          </reference>
        </references>
      </pivotArea>
    </chartFormat>
    <chartFormat chart="0" format="9" series="1">
      <pivotArea type="data" outline="0" fieldPosition="0">
        <references count="2">
          <reference field="4294967294" count="1" selected="0">
            <x v="0"/>
          </reference>
          <reference field="4" count="1" selected="0">
            <x v="10"/>
          </reference>
        </references>
      </pivotArea>
    </chartFormat>
    <chartFormat chart="0" format="10" series="1">
      <pivotArea type="data" outline="0" fieldPosition="0">
        <references count="2">
          <reference field="4294967294" count="1" selected="0">
            <x v="0"/>
          </reference>
          <reference field="4" count="1" selected="0">
            <x v="11"/>
          </reference>
        </references>
      </pivotArea>
    </chartFormat>
    <chartFormat chart="0" format="11" series="1">
      <pivotArea type="data" outline="0" fieldPosition="0">
        <references count="2">
          <reference field="4294967294" count="1" selected="0">
            <x v="0"/>
          </reference>
          <reference field="4" count="1" selected="0">
            <x v="12"/>
          </reference>
        </references>
      </pivotArea>
    </chartFormat>
    <chartFormat chart="1" format="12" series="1">
      <pivotArea type="data" outline="0" fieldPosition="0">
        <references count="2">
          <reference field="4294967294" count="1" selected="0">
            <x v="0"/>
          </reference>
          <reference field="4" count="1" selected="0">
            <x v="1"/>
          </reference>
        </references>
      </pivotArea>
    </chartFormat>
    <chartFormat chart="1" format="13" series="1">
      <pivotArea type="data" outline="0" fieldPosition="0">
        <references count="2">
          <reference field="4294967294" count="1" selected="0">
            <x v="0"/>
          </reference>
          <reference field="4" count="1" selected="0">
            <x v="2"/>
          </reference>
        </references>
      </pivotArea>
    </chartFormat>
    <chartFormat chart="1" format="14" series="1">
      <pivotArea type="data" outline="0" fieldPosition="0">
        <references count="2">
          <reference field="4294967294" count="1" selected="0">
            <x v="0"/>
          </reference>
          <reference field="4" count="1" selected="0">
            <x v="3"/>
          </reference>
        </references>
      </pivotArea>
    </chartFormat>
    <chartFormat chart="1" format="15" series="1">
      <pivotArea type="data" outline="0" fieldPosition="0">
        <references count="2">
          <reference field="4294967294" count="1" selected="0">
            <x v="0"/>
          </reference>
          <reference field="4" count="1" selected="0">
            <x v="4"/>
          </reference>
        </references>
      </pivotArea>
    </chartFormat>
    <chartFormat chart="1" format="16" series="1">
      <pivotArea type="data" outline="0" fieldPosition="0">
        <references count="2">
          <reference field="4294967294" count="1" selected="0">
            <x v="0"/>
          </reference>
          <reference field="4" count="1" selected="0">
            <x v="5"/>
          </reference>
        </references>
      </pivotArea>
    </chartFormat>
    <chartFormat chart="1" format="17" series="1">
      <pivotArea type="data" outline="0" fieldPosition="0">
        <references count="2">
          <reference field="4294967294" count="1" selected="0">
            <x v="0"/>
          </reference>
          <reference field="4" count="1" selected="0">
            <x v="6"/>
          </reference>
        </references>
      </pivotArea>
    </chartFormat>
    <chartFormat chart="1" format="18" series="1">
      <pivotArea type="data" outline="0" fieldPosition="0">
        <references count="2">
          <reference field="4294967294" count="1" selected="0">
            <x v="0"/>
          </reference>
          <reference field="4" count="1" selected="0">
            <x v="7"/>
          </reference>
        </references>
      </pivotArea>
    </chartFormat>
    <chartFormat chart="1" format="19" series="1">
      <pivotArea type="data" outline="0" fieldPosition="0">
        <references count="2">
          <reference field="4294967294" count="1" selected="0">
            <x v="0"/>
          </reference>
          <reference field="4" count="1" selected="0">
            <x v="8"/>
          </reference>
        </references>
      </pivotArea>
    </chartFormat>
    <chartFormat chart="1" format="20" series="1">
      <pivotArea type="data" outline="0" fieldPosition="0">
        <references count="2">
          <reference field="4294967294" count="1" selected="0">
            <x v="0"/>
          </reference>
          <reference field="4" count="1" selected="0">
            <x v="9"/>
          </reference>
        </references>
      </pivotArea>
    </chartFormat>
    <chartFormat chart="1" format="21" series="1">
      <pivotArea type="data" outline="0" fieldPosition="0">
        <references count="2">
          <reference field="4294967294" count="1" selected="0">
            <x v="0"/>
          </reference>
          <reference field="4" count="1" selected="0">
            <x v="10"/>
          </reference>
        </references>
      </pivotArea>
    </chartFormat>
    <chartFormat chart="1" format="22" series="1">
      <pivotArea type="data" outline="0" fieldPosition="0">
        <references count="2">
          <reference field="4294967294" count="1" selected="0">
            <x v="0"/>
          </reference>
          <reference field="4" count="1" selected="0">
            <x v="11"/>
          </reference>
        </references>
      </pivotArea>
    </chartFormat>
    <chartFormat chart="1" format="23" series="1">
      <pivotArea type="data" outline="0" fieldPosition="0">
        <references count="2">
          <reference field="4294967294" count="1" selected="0">
            <x v="0"/>
          </reference>
          <reference field="4" count="1" selected="0">
            <x v="12"/>
          </reference>
        </references>
      </pivotArea>
    </chartFormat>
    <chartFormat chart="2" format="24" series="1">
      <pivotArea type="data" outline="0" fieldPosition="0">
        <references count="2">
          <reference field="4294967294" count="1" selected="0">
            <x v="0"/>
          </reference>
          <reference field="4" count="1" selected="0">
            <x v="1"/>
          </reference>
        </references>
      </pivotArea>
    </chartFormat>
    <chartFormat chart="2" format="25" series="1">
      <pivotArea type="data" outline="0" fieldPosition="0">
        <references count="2">
          <reference field="4294967294" count="1" selected="0">
            <x v="0"/>
          </reference>
          <reference field="4" count="1" selected="0">
            <x v="2"/>
          </reference>
        </references>
      </pivotArea>
    </chartFormat>
    <chartFormat chart="2" format="26" series="1">
      <pivotArea type="data" outline="0" fieldPosition="0">
        <references count="2">
          <reference field="4294967294" count="1" selected="0">
            <x v="0"/>
          </reference>
          <reference field="4" count="1" selected="0">
            <x v="3"/>
          </reference>
        </references>
      </pivotArea>
    </chartFormat>
    <chartFormat chart="2" format="27" series="1">
      <pivotArea type="data" outline="0" fieldPosition="0">
        <references count="2">
          <reference field="4294967294" count="1" selected="0">
            <x v="0"/>
          </reference>
          <reference field="4" count="1" selected="0">
            <x v="4"/>
          </reference>
        </references>
      </pivotArea>
    </chartFormat>
    <chartFormat chart="2" format="28" series="1">
      <pivotArea type="data" outline="0" fieldPosition="0">
        <references count="2">
          <reference field="4294967294" count="1" selected="0">
            <x v="0"/>
          </reference>
          <reference field="4" count="1" selected="0">
            <x v="5"/>
          </reference>
        </references>
      </pivotArea>
    </chartFormat>
    <chartFormat chart="2" format="29" series="1">
      <pivotArea type="data" outline="0" fieldPosition="0">
        <references count="2">
          <reference field="4294967294" count="1" selected="0">
            <x v="0"/>
          </reference>
          <reference field="4" count="1" selected="0">
            <x v="6"/>
          </reference>
        </references>
      </pivotArea>
    </chartFormat>
    <chartFormat chart="2" format="30" series="1">
      <pivotArea type="data" outline="0" fieldPosition="0">
        <references count="2">
          <reference field="4294967294" count="1" selected="0">
            <x v="0"/>
          </reference>
          <reference field="4" count="1" selected="0">
            <x v="7"/>
          </reference>
        </references>
      </pivotArea>
    </chartFormat>
    <chartFormat chart="2" format="31" series="1">
      <pivotArea type="data" outline="0" fieldPosition="0">
        <references count="2">
          <reference field="4294967294" count="1" selected="0">
            <x v="0"/>
          </reference>
          <reference field="4" count="1" selected="0">
            <x v="8"/>
          </reference>
        </references>
      </pivotArea>
    </chartFormat>
    <chartFormat chart="2" format="32" series="1">
      <pivotArea type="data" outline="0" fieldPosition="0">
        <references count="2">
          <reference field="4294967294" count="1" selected="0">
            <x v="0"/>
          </reference>
          <reference field="4" count="1" selected="0">
            <x v="9"/>
          </reference>
        </references>
      </pivotArea>
    </chartFormat>
    <chartFormat chart="2" format="33" series="1">
      <pivotArea type="data" outline="0" fieldPosition="0">
        <references count="2">
          <reference field="4294967294" count="1" selected="0">
            <x v="0"/>
          </reference>
          <reference field="4" count="1" selected="0">
            <x v="10"/>
          </reference>
        </references>
      </pivotArea>
    </chartFormat>
    <chartFormat chart="2" format="34" series="1">
      <pivotArea type="data" outline="0" fieldPosition="0">
        <references count="2">
          <reference field="4294967294" count="1" selected="0">
            <x v="0"/>
          </reference>
          <reference field="4" count="1" selected="0">
            <x v="11"/>
          </reference>
        </references>
      </pivotArea>
    </chartFormat>
    <chartFormat chart="2" format="35" series="1">
      <pivotArea type="data" outline="0" fieldPosition="0">
        <references count="2">
          <reference field="4294967294" count="1" selected="0">
            <x v="0"/>
          </reference>
          <reference field="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139B0B-E055-4F55-B94C-50758ACD762C}" name="Average Treatment Cost"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Disease/Condition">
  <location ref="F16:G23" firstHeaderRow="1" firstDataRow="1" firstDataCol="1"/>
  <pivotFields count="26">
    <pivotField showAll="0"/>
    <pivotField showAll="0"/>
    <pivotField showAll="0"/>
    <pivotField showAll="0">
      <items count="7">
        <item x="4"/>
        <item x="3"/>
        <item x="2"/>
        <item x="1"/>
        <item x="0"/>
        <item x="5"/>
        <item t="default"/>
      </items>
    </pivotField>
    <pivotField numFmtId="22" showAll="0"/>
    <pivotField numFmtId="22" showAll="0"/>
    <pivotField showAll="0"/>
    <pivotField axis="axisRow" showAll="0">
      <items count="7">
        <item x="3"/>
        <item x="4"/>
        <item x="1"/>
        <item x="0"/>
        <item x="2"/>
        <item x="5"/>
        <item t="default"/>
      </items>
    </pivotField>
    <pivotField showAll="0"/>
    <pivotField showAll="0"/>
    <pivotField dataField="1" showAll="0"/>
    <pivotField showAll="0"/>
    <pivotField showAll="0"/>
    <pivotField showAll="0"/>
    <pivotField numFmtId="22" showAll="0"/>
    <pivotField numFmtId="22" showAll="0"/>
    <pivotField numFmtId="20" showAll="0"/>
    <pivotField showAll="0"/>
    <pivotField showAll="0"/>
    <pivotField showAll="0"/>
    <pivotField showAll="0"/>
    <pivotField showAll="0"/>
    <pivotField numFmtId="10" showAll="0"/>
    <pivotField showAll="0"/>
    <pivotField showAll="0" defaultSubtotal="0"/>
    <pivotField showAll="0" defaultSubtotal="0"/>
  </pivotFields>
  <rowFields count="1">
    <field x="7"/>
  </rowFields>
  <rowItems count="7">
    <i>
      <x/>
    </i>
    <i>
      <x v="1"/>
    </i>
    <i>
      <x v="2"/>
    </i>
    <i>
      <x v="3"/>
    </i>
    <i>
      <x v="4"/>
    </i>
    <i>
      <x v="5"/>
    </i>
    <i t="grand">
      <x/>
    </i>
  </rowItems>
  <colItems count="1">
    <i/>
  </colItems>
  <dataFields count="1">
    <dataField name="Average of Treatment Cost" fld="10" subtotal="average" baseField="7" baseItem="0" numFmtId="164"/>
  </dataFields>
  <formats count="4">
    <format dxfId="53">
      <pivotArea field="7" type="button" dataOnly="0" labelOnly="1" outline="0" axis="axisRow" fieldPosition="0"/>
    </format>
    <format dxfId="52">
      <pivotArea dataOnly="0" labelOnly="1" outline="0" axis="axisValues" fieldPosition="0"/>
    </format>
    <format dxfId="51">
      <pivotArea grandRow="1" outline="0" collapsedLevelsAreSubtotals="1" fieldPosition="0"/>
    </format>
    <format dxfId="50">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C6E511-5369-4EBF-9B94-798AA704BBFE}"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Has Insurance">
  <location ref="K35:L38" firstHeaderRow="1" firstDataRow="1" firstDataCol="1"/>
  <pivotFields count="26">
    <pivotField dataField="1" showAll="0"/>
    <pivotField showAll="0"/>
    <pivotField showAll="0"/>
    <pivotField showAll="0"/>
    <pivotField numFmtId="22" showAll="0"/>
    <pivotField numFmtId="22" showAll="0"/>
    <pivotField showAll="0"/>
    <pivotField showAll="0"/>
    <pivotField showAll="0"/>
    <pivotField showAll="0"/>
    <pivotField showAll="0"/>
    <pivotField showAll="0"/>
    <pivotField axis="axisRow" showAll="0" sortType="descending">
      <items count="3">
        <item x="1"/>
        <item x="0"/>
        <item t="default"/>
      </items>
    </pivotField>
    <pivotField showAll="0"/>
    <pivotField numFmtId="22" showAll="0"/>
    <pivotField numFmtId="22" showAll="0"/>
    <pivotField numFmtId="20" showAll="0"/>
    <pivotField showAll="0"/>
    <pivotField showAll="0"/>
    <pivotField showAll="0"/>
    <pivotField showAll="0"/>
    <pivotField showAll="0"/>
    <pivotField numFmtId="10" showAll="0"/>
    <pivotField showAll="0"/>
    <pivotField showAll="0" defaultSubtotal="0"/>
    <pivotField showAll="0" defaultSubtotal="0"/>
  </pivotFields>
  <rowFields count="1">
    <field x="12"/>
  </rowFields>
  <rowItems count="3">
    <i>
      <x/>
    </i>
    <i>
      <x v="1"/>
    </i>
    <i t="grand">
      <x/>
    </i>
  </rowItems>
  <colItems count="1">
    <i/>
  </colItems>
  <dataFields count="1">
    <dataField name="Number of Patients" fld="0" subtotal="count" showDataAs="percentOfTotal" baseField="12" baseItem="0" numFmtId="10"/>
  </dataFields>
  <formats count="4">
    <format dxfId="57">
      <pivotArea field="12" type="button" dataOnly="0" labelOnly="1" outline="0" axis="axisRow" fieldPosition="0"/>
    </format>
    <format dxfId="56">
      <pivotArea dataOnly="0" labelOnly="1" outline="0" axis="axisValues" fieldPosition="0"/>
    </format>
    <format dxfId="55">
      <pivotArea dataOnly="0" labelOnly="1" grandRow="1" outline="0" fieldPosition="0"/>
    </format>
    <format dxfId="54">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2" count="1" selected="0">
            <x v="0"/>
          </reference>
        </references>
      </pivotArea>
    </chartFormat>
    <chartFormat chart="4"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77C26F-04F9-4D72-A267-16B0C55B12D4}" name=" Staff Utilization Rate by Shift and Department"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Department">
  <location ref="A44:E52" firstHeaderRow="1" firstDataRow="2" firstDataCol="1"/>
  <pivotFields count="26">
    <pivotField showAll="0"/>
    <pivotField showAll="0"/>
    <pivotField showAll="0"/>
    <pivotField axis="axisRow" showAll="0">
      <items count="7">
        <item x="4"/>
        <item x="3"/>
        <item x="2"/>
        <item x="1"/>
        <item x="0"/>
        <item x="5"/>
        <item t="default"/>
      </items>
    </pivotField>
    <pivotField numFmtId="14" showAll="0"/>
    <pivotField numFmtId="14" showAll="0"/>
    <pivotField showAll="0"/>
    <pivotField showAll="0"/>
    <pivotField showAll="0"/>
    <pivotField showAll="0"/>
    <pivotField showAll="0"/>
    <pivotField showAll="0"/>
    <pivotField showAll="0"/>
    <pivotField showAll="0"/>
    <pivotField numFmtId="22" showAll="0"/>
    <pivotField numFmtId="22" showAll="0"/>
    <pivotField numFmtId="20" showAll="0"/>
    <pivotField showAll="0"/>
    <pivotField showAll="0"/>
    <pivotField axis="axisCol" showAll="0">
      <items count="4">
        <item x="0"/>
        <item x="1"/>
        <item x="2"/>
        <item t="default"/>
      </items>
    </pivotField>
    <pivotField showAll="0"/>
    <pivotField showAll="0"/>
    <pivotField dataField="1" numFmtId="10" showAll="0"/>
    <pivotField showAll="0"/>
    <pivotField showAll="0" defaultSubtotal="0"/>
    <pivotField showAll="0" defaultSubtotal="0"/>
  </pivotFields>
  <rowFields count="1">
    <field x="3"/>
  </rowFields>
  <rowItems count="7">
    <i>
      <x/>
    </i>
    <i>
      <x v="1"/>
    </i>
    <i>
      <x v="2"/>
    </i>
    <i>
      <x v="3"/>
    </i>
    <i>
      <x v="4"/>
    </i>
    <i>
      <x v="5"/>
    </i>
    <i t="grand">
      <x/>
    </i>
  </rowItems>
  <colFields count="1">
    <field x="19"/>
  </colFields>
  <colItems count="4">
    <i>
      <x/>
    </i>
    <i>
      <x v="1"/>
    </i>
    <i>
      <x v="2"/>
    </i>
    <i t="grand">
      <x/>
    </i>
  </colItems>
  <dataFields count="1">
    <dataField name="Average of Staff Utilization Rate" fld="22" subtotal="average" baseField="3" baseItem="0" numFmtId="10"/>
  </dataFields>
  <formats count="12">
    <format dxfId="69">
      <pivotArea type="origin" dataOnly="0" labelOnly="1" outline="0" fieldPosition="0"/>
    </format>
    <format dxfId="68">
      <pivotArea field="19" type="button" dataOnly="0" labelOnly="1" outline="0" axis="axisCol" fieldPosition="0"/>
    </format>
    <format dxfId="67">
      <pivotArea type="topRight" dataOnly="0" labelOnly="1" outline="0" fieldPosition="0"/>
    </format>
    <format dxfId="66">
      <pivotArea field="3" type="button" dataOnly="0" labelOnly="1" outline="0" axis="axisRow" fieldPosition="0"/>
    </format>
    <format dxfId="65">
      <pivotArea dataOnly="0" labelOnly="1" fieldPosition="0">
        <references count="1">
          <reference field="19" count="0"/>
        </references>
      </pivotArea>
    </format>
    <format dxfId="64">
      <pivotArea dataOnly="0" labelOnly="1" grandCol="1" outline="0" fieldPosition="0"/>
    </format>
    <format dxfId="63">
      <pivotArea grandRow="1" outline="0" collapsedLevelsAreSubtotals="1" fieldPosition="0"/>
    </format>
    <format dxfId="62">
      <pivotArea dataOnly="0" labelOnly="1" grandRow="1" outline="0" fieldPosition="0"/>
    </format>
    <format dxfId="61">
      <pivotArea field="19" grandRow="1" outline="0" collapsedLevelsAreSubtotals="1" axis="axisCol" fieldPosition="0">
        <references count="1">
          <reference field="19" count="1" selected="0">
            <x v="0"/>
          </reference>
        </references>
      </pivotArea>
    </format>
    <format dxfId="60">
      <pivotArea field="19" grandRow="1" outline="0" collapsedLevelsAreSubtotals="1" axis="axisCol" fieldPosition="0">
        <references count="1">
          <reference field="19" count="1" selected="0">
            <x v="1"/>
          </reference>
        </references>
      </pivotArea>
    </format>
    <format dxfId="59">
      <pivotArea field="19" grandRow="1" outline="0" collapsedLevelsAreSubtotals="1" axis="axisCol" fieldPosition="0">
        <references count="1">
          <reference field="19" count="1" selected="0">
            <x v="2"/>
          </reference>
        </references>
      </pivotArea>
    </format>
    <format dxfId="58">
      <pivotArea grandRow="1" grandCol="1" outline="0" collapsedLevelsAreSubtotals="1" fieldPosition="0"/>
    </format>
  </formats>
  <chartFormats count="6">
    <chartFormat chart="1" format="0" series="1">
      <pivotArea type="data" outline="0" fieldPosition="0">
        <references count="2">
          <reference field="4294967294" count="1" selected="0">
            <x v="0"/>
          </reference>
          <reference field="19" count="1" selected="0">
            <x v="0"/>
          </reference>
        </references>
      </pivotArea>
    </chartFormat>
    <chartFormat chart="1" format="1" series="1">
      <pivotArea type="data" outline="0" fieldPosition="0">
        <references count="2">
          <reference field="4294967294" count="1" selected="0">
            <x v="0"/>
          </reference>
          <reference field="19" count="1" selected="0">
            <x v="1"/>
          </reference>
        </references>
      </pivotArea>
    </chartFormat>
    <chartFormat chart="1" format="2" series="1">
      <pivotArea type="data" outline="0" fieldPosition="0">
        <references count="2">
          <reference field="4294967294" count="1" selected="0">
            <x v="0"/>
          </reference>
          <reference field="19" count="1" selected="0">
            <x v="2"/>
          </reference>
        </references>
      </pivotArea>
    </chartFormat>
    <chartFormat chart="3" format="6" series="1">
      <pivotArea type="data" outline="0" fieldPosition="0">
        <references count="2">
          <reference field="4294967294" count="1" selected="0">
            <x v="0"/>
          </reference>
          <reference field="19" count="1" selected="0">
            <x v="0"/>
          </reference>
        </references>
      </pivotArea>
    </chartFormat>
    <chartFormat chart="3" format="7" series="1">
      <pivotArea type="data" outline="0" fieldPosition="0">
        <references count="2">
          <reference field="4294967294" count="1" selected="0">
            <x v="0"/>
          </reference>
          <reference field="19" count="1" selected="0">
            <x v="1"/>
          </reference>
        </references>
      </pivotArea>
    </chartFormat>
    <chartFormat chart="3" format="8"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9BBBCA-D022-4D67-98B0-460BE19985D1}"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Test type" colHeaderCaption="Test Result">
  <location ref="O30:R37" firstHeaderRow="1" firstDataRow="2" firstDataCol="1"/>
  <pivotFields count="26">
    <pivotField showAll="0"/>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 numFmtId="22" showAll="0"/>
    <pivotField numFmtId="22" showAll="0"/>
    <pivotField numFmtId="20" showAll="0"/>
    <pivotField axis="axisRow" showAll="0">
      <items count="6">
        <item x="1"/>
        <item x="2"/>
        <item x="4"/>
        <item x="3"/>
        <item x="0"/>
        <item t="default"/>
      </items>
    </pivotField>
    <pivotField axis="axisCol" dataField="1" multipleItemSelectionAllowed="1" showAll="0">
      <items count="3">
        <item x="0"/>
        <item x="1"/>
        <item t="default"/>
      </items>
    </pivotField>
    <pivotField showAll="0"/>
    <pivotField showAll="0"/>
    <pivotField showAll="0"/>
    <pivotField numFmtId="10" showAll="0"/>
    <pivotField showAll="0"/>
    <pivotField showAll="0" defaultSubtotal="0"/>
    <pivotField showAll="0" defaultSubtotal="0"/>
  </pivotFields>
  <rowFields count="1">
    <field x="17"/>
  </rowFields>
  <rowItems count="6">
    <i>
      <x/>
    </i>
    <i>
      <x v="1"/>
    </i>
    <i>
      <x v="2"/>
    </i>
    <i>
      <x v="3"/>
    </i>
    <i>
      <x v="4"/>
    </i>
    <i t="grand">
      <x/>
    </i>
  </rowItems>
  <colFields count="1">
    <field x="18"/>
  </colFields>
  <colItems count="3">
    <i>
      <x/>
    </i>
    <i>
      <x v="1"/>
    </i>
    <i t="grand">
      <x/>
    </i>
  </colItems>
  <dataFields count="1">
    <dataField name="Count of Test Result" fld="18" subtotal="count" showDataAs="percentOfRow" baseField="16" baseItem="1" numFmtId="10"/>
  </dataFields>
  <formats count="16">
    <format dxfId="85">
      <pivotArea type="origin" dataOnly="0" labelOnly="1" outline="0" fieldPosition="0"/>
    </format>
    <format dxfId="84">
      <pivotArea field="18" type="button" dataOnly="0" labelOnly="1" outline="0" axis="axisCol" fieldPosition="0"/>
    </format>
    <format dxfId="83">
      <pivotArea type="topRight" dataOnly="0" labelOnly="1" outline="0" fieldPosition="0"/>
    </format>
    <format dxfId="82">
      <pivotArea field="17" type="button" dataOnly="0" labelOnly="1" outline="0" axis="axisRow" fieldPosition="0"/>
    </format>
    <format dxfId="81">
      <pivotArea dataOnly="0" labelOnly="1" grandCol="1" outline="0" fieldPosition="0"/>
    </format>
    <format dxfId="80">
      <pivotArea grandRow="1" outline="0" collapsedLevelsAreSubtotals="1" fieldPosition="0"/>
    </format>
    <format dxfId="79">
      <pivotArea dataOnly="0" labelOnly="1" grandRow="1" outline="0" fieldPosition="0"/>
    </format>
    <format dxfId="78">
      <pivotArea outline="0" fieldPosition="0">
        <references count="1">
          <reference field="4294967294" count="1">
            <x v="0"/>
          </reference>
        </references>
      </pivotArea>
    </format>
    <format dxfId="77">
      <pivotArea dataOnly="0" labelOnly="1" fieldPosition="0">
        <references count="1">
          <reference field="18" count="0"/>
        </references>
      </pivotArea>
    </format>
    <format dxfId="76">
      <pivotArea type="origin" dataOnly="0" labelOnly="1" outline="0" fieldPosition="0"/>
    </format>
    <format dxfId="75">
      <pivotArea field="18" type="button" dataOnly="0" labelOnly="1" outline="0" axis="axisCol" fieldPosition="0"/>
    </format>
    <format dxfId="74">
      <pivotArea type="topRight" dataOnly="0" labelOnly="1" outline="0" fieldPosition="0"/>
    </format>
    <format dxfId="73">
      <pivotArea field="17" type="button" dataOnly="0" labelOnly="1" outline="0" axis="axisRow" fieldPosition="0"/>
    </format>
    <format dxfId="72">
      <pivotArea dataOnly="0" labelOnly="1" fieldPosition="0">
        <references count="1">
          <reference field="18" count="0"/>
        </references>
      </pivotArea>
    </format>
    <format dxfId="71">
      <pivotArea dataOnly="0" labelOnly="1" grandCol="1" outline="0" fieldPosition="0"/>
    </format>
    <format dxfId="70">
      <pivotArea field="17" dataOnly="0" grandRow="1" axis="axisRow" fieldPosition="0">
        <references count="1">
          <reference field="17"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8A6031A-5504-42B9-AE56-78540A3B4049}" sourceName="Department">
  <pivotTables>
    <pivotTable tabId="2" name="Most Frequently Diagnosed Diseases"/>
    <pivotTable tabId="2" name="Average Treatment Cost"/>
    <pivotTable tabId="2" name=" Staff Utilization Rate by Shift and Department"/>
  </pivotTables>
  <data>
    <tabular pivotCacheId="636033359">
      <items count="6">
        <i x="4" s="1"/>
        <i x="3" s="1"/>
        <i x="2" s="1"/>
        <i x="1"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F1919C5-69B4-4987-BDD0-0AD927E74695}" cache="Slicer_Department" caption="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C42495-21F3-4E7E-A776-C83C8CD12CB3}" name="Table1" displayName="Table1" ref="A1:X1001" totalsRowShown="0" headerRowDxfId="91">
  <autoFilter ref="A1:X1001" xr:uid="{45C42495-21F3-4E7E-A776-C83C8CD12CB3}"/>
  <tableColumns count="24">
    <tableColumn id="1" xr3:uid="{3E7596C4-9E30-4BE5-BB6A-CD8D7FC54248}" name="Patient ID"/>
    <tableColumn id="2" xr3:uid="{500750DF-94D4-405F-A312-4A07C8416052}" name="Age"/>
    <tableColumn id="3" xr3:uid="{2EE065F5-E7AE-4238-860A-3772736BD751}" name="Age Group">
      <calculatedColumnFormula array="1">_xlfn.IFS(B2&lt;=18,"0-18",B2&lt;=35,"19-35",B2&lt;=50,"36-50",B2&lt;=65,"51-65","True","65+")</calculatedColumnFormula>
    </tableColumn>
    <tableColumn id="4" xr3:uid="{C9D11466-2FA8-4103-A6A5-1A267EEF8607}" name="Department"/>
    <tableColumn id="5" xr3:uid="{0C8772F5-1E4A-4C68-8162-041CCD089423}" name="Admission Date" dataDxfId="90"/>
    <tableColumn id="6" xr3:uid="{C3C0E06B-4C45-485B-B36B-5D8A4E2DC71B}" name="Discharge Date" dataDxfId="89"/>
    <tableColumn id="7" xr3:uid="{F4A6E0A6-7414-4CE4-888E-41651B8F01B0}" name="Stay Duration (days)"/>
    <tableColumn id="8" xr3:uid="{009C5FAC-6436-4D31-AC19-2C3EC1E2D98A}" name="Disease/Condition"/>
    <tableColumn id="9" xr3:uid="{C879D11B-88FF-4219-8EE9-41ECE6259BCB}" name="Satisfaction Score"/>
    <tableColumn id="10" xr3:uid="{0F11C6CB-E8F9-44A4-B9EA-333278F1B881}" name="Doctor"/>
    <tableColumn id="11" xr3:uid="{57497B87-0C4E-46D7-A354-391D5DC0AAA3}" name="Treatment Cost"/>
    <tableColumn id="12" xr3:uid="{84735083-A2C6-4A52-A7A8-F71E97F6319B}" name="Medication"/>
    <tableColumn id="13" xr3:uid="{6097B566-966A-4B04-BC92-F10E7ED80E1F}" name="Has Insurance"/>
    <tableColumn id="14" xr3:uid="{C2E81056-4841-4312-9953-C519769CEF2A}" name="Case Type"/>
    <tableColumn id="15" xr3:uid="{DD18EBFD-7DF5-4545-B0BB-2435AB2521E7}" name="Appointment Date" dataDxfId="88"/>
    <tableColumn id="16" xr3:uid="{0A55F95D-99AB-483A-9737-A7B7541269AC}" name="Consultation Date" dataDxfId="87"/>
    <tableColumn id="24" xr3:uid="{BE45A026-129C-4D21-BDD1-7696DC09D571}" name="Waiting Time" dataDxfId="0">
      <calculatedColumnFormula>IF(OR(O2="",P2=""),"",ABS(P2-O2))</calculatedColumnFormula>
    </tableColumn>
    <tableColumn id="17" xr3:uid="{15AE4041-C584-41EE-B7D9-4468B8383EF9}" name="Test Type"/>
    <tableColumn id="18" xr3:uid="{154D917F-2086-4108-96B4-FBF6618B068D}" name="Test Result"/>
    <tableColumn id="19" xr3:uid="{2D3219BD-86C1-4B79-A391-CF47477466B1}" name="Shift"/>
    <tableColumn id="20" xr3:uid="{D661181A-C4F9-4DE7-BAC4-879B1934E5A9}" name="Staff Hours Worked"/>
    <tableColumn id="21" xr3:uid="{806893AD-19C2-4542-B277-4744477D8CFE}" name="Staff Available Hours"/>
    <tableColumn id="25" xr3:uid="{2DE5A768-6AA5-42F6-B69B-2D4747CDF080}" name="Staff Utilization " dataDxfId="86">
      <calculatedColumnFormula>IFERROR(Table1[[#This Row],[Staff Hours Worked]]/Table1[[#This Row],[Staff Available Hours]],0)</calculatedColumnFormula>
    </tableColumn>
    <tableColumn id="22" xr3:uid="{75DD8D00-B52E-458D-B85A-4B0DA97A30FC}" name="Treatment Plan"/>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1E8DC0-6960-41A7-BABE-17BACB228EC3}" name="Table2" displayName="Table2" ref="S16:T24" totalsRowShown="0">
  <autoFilter ref="S16:T24" xr:uid="{411E8DC0-6960-41A7-BABE-17BACB228EC3}"/>
  <tableColumns count="2">
    <tableColumn id="1" xr3:uid="{B23935D9-A33E-4F21-80BD-2CAC825D5657}" name="Department" dataDxfId="9"/>
    <tableColumn id="2" xr3:uid="{FF53B9FC-8450-40D7-8613-114E75724ED4}" name="Doctor-Patient Ratio"/>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79046-3D2E-4A9A-A57A-77203251F62E}">
  <dimension ref="A1:X1001"/>
  <sheetViews>
    <sheetView tabSelected="1" zoomScale="99" zoomScaleNormal="99" workbookViewId="0">
      <selection activeCell="C2" sqref="C2"/>
    </sheetView>
  </sheetViews>
  <sheetFormatPr defaultRowHeight="13.8"/>
  <cols>
    <col min="1" max="1" width="11" customWidth="1"/>
    <col min="2" max="2" width="6.09765625" customWidth="1"/>
    <col min="3" max="3" width="12" customWidth="1"/>
    <col min="4" max="4" width="16.3984375" bestFit="1" customWidth="1"/>
    <col min="5" max="5" width="16.3984375" style="6" customWidth="1"/>
    <col min="6" max="6" width="15.8984375" style="6" customWidth="1"/>
    <col min="7" max="7" width="20.296875" customWidth="1"/>
    <col min="8" max="8" width="18.5" customWidth="1"/>
    <col min="9" max="9" width="18.3984375" customWidth="1"/>
    <col min="10" max="10" width="10.8984375" bestFit="1" customWidth="1"/>
    <col min="11" max="11" width="16.09765625" customWidth="1"/>
    <col min="12" max="12" width="12.09765625" customWidth="1"/>
    <col min="13" max="13" width="15.59765625" bestFit="1" customWidth="1"/>
    <col min="14" max="14" width="12.296875" bestFit="1" customWidth="1"/>
    <col min="15" max="15" width="18.3984375" style="2" customWidth="1"/>
    <col min="16" max="16" width="18.5" bestFit="1" customWidth="1"/>
    <col min="17" max="17" width="15.19921875" style="2" bestFit="1" customWidth="1"/>
    <col min="18" max="18" width="12.5" customWidth="1"/>
    <col min="19" max="19" width="12.8984375" bestFit="1" customWidth="1"/>
    <col min="20" max="20" width="19.5" customWidth="1"/>
    <col min="21" max="21" width="20.8984375" customWidth="1"/>
    <col min="22" max="22" width="15.8984375" customWidth="1"/>
    <col min="23" max="23" width="20.8984375" bestFit="1" customWidth="1"/>
  </cols>
  <sheetData>
    <row r="1" spans="1:24">
      <c r="A1" s="1" t="s">
        <v>0</v>
      </c>
      <c r="B1" s="1" t="s">
        <v>1</v>
      </c>
      <c r="C1" s="1" t="s">
        <v>1059</v>
      </c>
      <c r="D1" s="1" t="s">
        <v>2</v>
      </c>
      <c r="E1" s="7" t="s">
        <v>3</v>
      </c>
      <c r="F1" s="7" t="s">
        <v>4</v>
      </c>
      <c r="G1" s="1" t="s">
        <v>5</v>
      </c>
      <c r="H1" s="1" t="s">
        <v>6</v>
      </c>
      <c r="I1" s="1" t="s">
        <v>7</v>
      </c>
      <c r="J1" s="1" t="s">
        <v>8</v>
      </c>
      <c r="K1" s="1" t="s">
        <v>9</v>
      </c>
      <c r="L1" s="1" t="s">
        <v>10</v>
      </c>
      <c r="M1" s="1" t="s">
        <v>11</v>
      </c>
      <c r="N1" s="1" t="s">
        <v>12</v>
      </c>
      <c r="O1" s="22" t="s">
        <v>13</v>
      </c>
      <c r="P1" s="1" t="s">
        <v>14</v>
      </c>
      <c r="Q1" s="22" t="s">
        <v>1096</v>
      </c>
      <c r="R1" s="1" t="s">
        <v>15</v>
      </c>
      <c r="S1" s="1" t="s">
        <v>16</v>
      </c>
      <c r="T1" s="1" t="s">
        <v>17</v>
      </c>
      <c r="U1" s="1" t="s">
        <v>18</v>
      </c>
      <c r="V1" s="1" t="s">
        <v>19</v>
      </c>
      <c r="W1" s="1" t="s">
        <v>1106</v>
      </c>
      <c r="X1" s="1" t="s">
        <v>20</v>
      </c>
    </row>
    <row r="2" spans="1:24">
      <c r="A2" t="s">
        <v>21</v>
      </c>
      <c r="B2">
        <v>52</v>
      </c>
      <c r="C2" t="str" cm="1">
        <f t="array" ref="C2">_xlfn.IFS(B2&lt;=18,"0-18",B2&lt;=35,"19-35",B2&lt;=50,"36-50",B2&lt;=65,"51-65","True","65+")</f>
        <v>51-65</v>
      </c>
      <c r="D2" t="s">
        <v>22</v>
      </c>
      <c r="E2" s="6">
        <v>45041</v>
      </c>
      <c r="F2" s="6">
        <v>45082</v>
      </c>
      <c r="G2">
        <v>11</v>
      </c>
      <c r="H2" t="s">
        <v>23</v>
      </c>
      <c r="I2">
        <v>3</v>
      </c>
      <c r="J2" t="s">
        <v>24</v>
      </c>
      <c r="K2">
        <v>40901</v>
      </c>
      <c r="L2" t="s">
        <v>25</v>
      </c>
      <c r="M2" t="s">
        <v>26</v>
      </c>
      <c r="N2" t="s">
        <v>27</v>
      </c>
      <c r="O2" s="2">
        <v>45038</v>
      </c>
      <c r="P2" s="2">
        <v>45038.5</v>
      </c>
      <c r="Q2" s="38">
        <f t="shared" ref="Q2:Q65" si="0">IF(OR(O2="",P2=""),"",ABS(P2-O2))</f>
        <v>0.5</v>
      </c>
      <c r="R2" t="s">
        <v>28</v>
      </c>
      <c r="S2" t="s">
        <v>29</v>
      </c>
      <c r="T2" t="s">
        <v>30</v>
      </c>
      <c r="U2">
        <v>9</v>
      </c>
      <c r="V2">
        <v>12</v>
      </c>
      <c r="W2" s="18">
        <f>IFERROR(Table1[[#This Row],[Staff Hours Worked]]/Table1[[#This Row],[Staff Available Hours]],0)</f>
        <v>0.75</v>
      </c>
      <c r="X2" t="s">
        <v>31</v>
      </c>
    </row>
    <row r="3" spans="1:24">
      <c r="A3" t="s">
        <v>32</v>
      </c>
      <c r="B3">
        <v>15</v>
      </c>
      <c r="C3" t="str" cm="1">
        <f t="array" ref="C3">_xlfn.IFS(B3&lt;=18,"0-18",B3&lt;=35,"19-35",B3&lt;=50,"36-50",B3&lt;=65,"51-65","True","65+")</f>
        <v>0-18</v>
      </c>
      <c r="D3" t="s">
        <v>33</v>
      </c>
      <c r="E3" s="6">
        <v>44952</v>
      </c>
      <c r="F3" s="6">
        <v>44959</v>
      </c>
      <c r="G3">
        <v>7</v>
      </c>
      <c r="H3" t="s">
        <v>34</v>
      </c>
      <c r="I3">
        <v>2</v>
      </c>
      <c r="J3" t="s">
        <v>35</v>
      </c>
      <c r="K3">
        <v>49380</v>
      </c>
      <c r="L3" t="s">
        <v>36</v>
      </c>
      <c r="M3" t="s">
        <v>26</v>
      </c>
      <c r="N3" t="s">
        <v>27</v>
      </c>
      <c r="O3" s="2">
        <v>44948</v>
      </c>
      <c r="P3" s="2">
        <v>44948.875</v>
      </c>
      <c r="Q3" s="38">
        <f t="shared" si="0"/>
        <v>0.875</v>
      </c>
      <c r="R3" t="s">
        <v>37</v>
      </c>
      <c r="S3" t="s">
        <v>38</v>
      </c>
      <c r="T3" t="s">
        <v>30</v>
      </c>
      <c r="U3">
        <v>9</v>
      </c>
      <c r="V3">
        <v>10</v>
      </c>
      <c r="W3" s="18">
        <f>IFERROR(Table1[[#This Row],[Staff Hours Worked]]/Table1[[#This Row],[Staff Available Hours]],0)</f>
        <v>0.9</v>
      </c>
      <c r="X3" t="s">
        <v>31</v>
      </c>
    </row>
    <row r="4" spans="1:24">
      <c r="A4" t="s">
        <v>39</v>
      </c>
      <c r="B4">
        <v>72</v>
      </c>
      <c r="C4" t="str" cm="1">
        <f t="array" ref="C4">_xlfn.IFS(B4&lt;=18,"0-18",B4&lt;=35,"19-35",B4&lt;=50,"36-50",B4&lt;=65,"51-65","True","65+")</f>
        <v>65+</v>
      </c>
      <c r="D4" t="s">
        <v>22</v>
      </c>
      <c r="E4" s="6">
        <v>45179</v>
      </c>
      <c r="F4" s="6">
        <v>45240</v>
      </c>
      <c r="G4">
        <v>2</v>
      </c>
      <c r="H4" t="s">
        <v>40</v>
      </c>
      <c r="I4">
        <v>5</v>
      </c>
      <c r="J4" t="s">
        <v>24</v>
      </c>
      <c r="K4">
        <v>25493</v>
      </c>
      <c r="L4" t="s">
        <v>25</v>
      </c>
      <c r="M4" t="s">
        <v>26</v>
      </c>
      <c r="N4" t="s">
        <v>41</v>
      </c>
      <c r="O4" s="2">
        <v>45179</v>
      </c>
      <c r="P4" s="2">
        <v>45179.083333333336</v>
      </c>
      <c r="Q4" s="38">
        <f t="shared" si="0"/>
        <v>8.3333333335758653E-2</v>
      </c>
      <c r="R4" t="s">
        <v>42</v>
      </c>
      <c r="S4" t="s">
        <v>38</v>
      </c>
      <c r="T4" t="s">
        <v>43</v>
      </c>
      <c r="U4">
        <v>10</v>
      </c>
      <c r="V4">
        <v>10</v>
      </c>
      <c r="W4" s="18">
        <f>IFERROR(Table1[[#This Row],[Staff Hours Worked]]/Table1[[#This Row],[Staff Available Hours]],0)</f>
        <v>1</v>
      </c>
      <c r="X4" t="s">
        <v>31</v>
      </c>
    </row>
    <row r="5" spans="1:24">
      <c r="A5" t="s">
        <v>44</v>
      </c>
      <c r="B5">
        <v>61</v>
      </c>
      <c r="C5" t="str" cm="1">
        <f t="array" ref="C5">_xlfn.IFS(B5&lt;=18,"0-18",B5&lt;=35,"19-35",B5&lt;=50,"36-50",B5&lt;=65,"51-65","True","65+")</f>
        <v>51-65</v>
      </c>
      <c r="D5" t="s">
        <v>45</v>
      </c>
      <c r="E5" s="6">
        <v>45147</v>
      </c>
      <c r="F5" s="6">
        <v>45239</v>
      </c>
      <c r="G5">
        <v>3</v>
      </c>
      <c r="H5" t="s">
        <v>34</v>
      </c>
      <c r="I5">
        <v>3</v>
      </c>
      <c r="J5" t="s">
        <v>46</v>
      </c>
      <c r="K5">
        <v>23595</v>
      </c>
      <c r="L5" t="s">
        <v>25</v>
      </c>
      <c r="M5" t="s">
        <v>26</v>
      </c>
      <c r="N5" t="s">
        <v>27</v>
      </c>
      <c r="O5" s="2">
        <v>45025</v>
      </c>
      <c r="P5" s="2">
        <v>45025.583333333336</v>
      </c>
      <c r="Q5" s="38">
        <f t="shared" si="0"/>
        <v>0.58333333333575865</v>
      </c>
      <c r="R5" t="s">
        <v>42</v>
      </c>
      <c r="S5" t="s">
        <v>29</v>
      </c>
      <c r="T5" t="s">
        <v>47</v>
      </c>
      <c r="U5">
        <v>7</v>
      </c>
      <c r="V5">
        <v>12</v>
      </c>
      <c r="W5" s="18">
        <f>IFERROR(Table1[[#This Row],[Staff Hours Worked]]/Table1[[#This Row],[Staff Available Hours]],0)</f>
        <v>0.58333333333333337</v>
      </c>
      <c r="X5" t="s">
        <v>48</v>
      </c>
    </row>
    <row r="6" spans="1:24">
      <c r="A6" t="s">
        <v>49</v>
      </c>
      <c r="B6">
        <v>21</v>
      </c>
      <c r="C6" t="str" cm="1">
        <f t="array" ref="C6">_xlfn.IFS(B6&lt;=18,"0-18",B6&lt;=35,"19-35",B6&lt;=50,"36-50",B6&lt;=65,"51-65","True","65+")</f>
        <v>19-35</v>
      </c>
      <c r="D6" t="s">
        <v>41</v>
      </c>
      <c r="E6" s="6">
        <v>45155</v>
      </c>
      <c r="F6" s="6">
        <v>45156</v>
      </c>
      <c r="G6">
        <v>1</v>
      </c>
      <c r="H6" t="s">
        <v>50</v>
      </c>
      <c r="I6">
        <v>1</v>
      </c>
      <c r="J6" t="s">
        <v>46</v>
      </c>
      <c r="K6">
        <v>26923</v>
      </c>
      <c r="L6" t="s">
        <v>36</v>
      </c>
      <c r="M6" t="s">
        <v>26</v>
      </c>
      <c r="N6" t="s">
        <v>41</v>
      </c>
      <c r="O6" s="2">
        <v>45154</v>
      </c>
      <c r="P6" s="2">
        <v>45155.583333333336</v>
      </c>
      <c r="Q6" s="38">
        <f t="shared" si="0"/>
        <v>1.5833333333357587</v>
      </c>
      <c r="R6" t="s">
        <v>42</v>
      </c>
      <c r="S6" t="s">
        <v>29</v>
      </c>
      <c r="T6" t="s">
        <v>47</v>
      </c>
      <c r="U6">
        <v>5</v>
      </c>
      <c r="V6">
        <v>10</v>
      </c>
      <c r="W6" s="18">
        <f>IFERROR(Table1[[#This Row],[Staff Hours Worked]]/Table1[[#This Row],[Staff Available Hours]],0)</f>
        <v>0.5</v>
      </c>
      <c r="X6" t="s">
        <v>31</v>
      </c>
    </row>
    <row r="7" spans="1:24">
      <c r="A7" t="s">
        <v>51</v>
      </c>
      <c r="B7">
        <v>83</v>
      </c>
      <c r="C7" t="str" cm="1">
        <f t="array" ref="C7">_xlfn.IFS(B7&lt;=18,"0-18",B7&lt;=35,"19-35",B7&lt;=50,"36-50",B7&lt;=65,"51-65","True","65+")</f>
        <v>65+</v>
      </c>
      <c r="D7" t="s">
        <v>52</v>
      </c>
      <c r="E7" s="6">
        <v>45069</v>
      </c>
      <c r="F7" s="6">
        <v>45070</v>
      </c>
      <c r="G7">
        <v>1</v>
      </c>
      <c r="H7" t="s">
        <v>50</v>
      </c>
      <c r="I7">
        <v>3</v>
      </c>
      <c r="J7" t="s">
        <v>24</v>
      </c>
      <c r="K7">
        <v>14735</v>
      </c>
      <c r="L7" t="s">
        <v>53</v>
      </c>
      <c r="M7" t="s">
        <v>54</v>
      </c>
      <c r="N7" t="s">
        <v>27</v>
      </c>
      <c r="O7" s="2">
        <v>45064</v>
      </c>
      <c r="P7" s="2">
        <v>45064.416666666664</v>
      </c>
      <c r="Q7" s="38">
        <f t="shared" si="0"/>
        <v>0.41666666666424135</v>
      </c>
      <c r="R7" t="s">
        <v>55</v>
      </c>
      <c r="S7" t="s">
        <v>38</v>
      </c>
      <c r="T7" t="s">
        <v>43</v>
      </c>
      <c r="U7">
        <v>9</v>
      </c>
      <c r="V7">
        <v>12</v>
      </c>
      <c r="W7" s="18">
        <f>IFERROR(Table1[[#This Row],[Staff Hours Worked]]/Table1[[#This Row],[Staff Available Hours]],0)</f>
        <v>0.75</v>
      </c>
      <c r="X7" t="s">
        <v>48</v>
      </c>
    </row>
    <row r="8" spans="1:24">
      <c r="A8" t="s">
        <v>56</v>
      </c>
      <c r="B8">
        <v>87</v>
      </c>
      <c r="C8" t="str" cm="1">
        <f t="array" ref="C8">_xlfn.IFS(B8&lt;=18,"0-18",B8&lt;=35,"19-35",B8&lt;=50,"36-50",B8&lt;=65,"51-65","True","65+")</f>
        <v>65+</v>
      </c>
      <c r="D8" t="s">
        <v>52</v>
      </c>
      <c r="E8" s="6">
        <v>45031</v>
      </c>
      <c r="F8" s="6">
        <v>45036</v>
      </c>
      <c r="G8">
        <v>5</v>
      </c>
      <c r="H8" t="s">
        <v>57</v>
      </c>
      <c r="I8">
        <v>1</v>
      </c>
      <c r="J8" t="s">
        <v>35</v>
      </c>
      <c r="K8">
        <v>39457</v>
      </c>
      <c r="L8" t="s">
        <v>25</v>
      </c>
      <c r="M8" t="s">
        <v>54</v>
      </c>
      <c r="N8" t="s">
        <v>41</v>
      </c>
      <c r="O8" s="2">
        <v>45264</v>
      </c>
      <c r="P8" s="2">
        <v>45395.916666666664</v>
      </c>
      <c r="Q8" s="38">
        <f t="shared" si="0"/>
        <v>131.91666666666424</v>
      </c>
      <c r="R8" t="s">
        <v>28</v>
      </c>
      <c r="S8" t="s">
        <v>29</v>
      </c>
      <c r="T8" t="s">
        <v>30</v>
      </c>
      <c r="U8">
        <v>10</v>
      </c>
      <c r="V8">
        <v>8</v>
      </c>
      <c r="W8" s="18">
        <f>IFERROR(Table1[[#This Row],[Staff Hours Worked]]/Table1[[#This Row],[Staff Available Hours]],0)</f>
        <v>1.25</v>
      </c>
      <c r="X8" t="s">
        <v>31</v>
      </c>
    </row>
    <row r="9" spans="1:24">
      <c r="A9" t="s">
        <v>58</v>
      </c>
      <c r="B9">
        <v>75</v>
      </c>
      <c r="C9" t="str" cm="1">
        <f t="array" ref="C9">_xlfn.IFS(B9&lt;=18,"0-18",B9&lt;=35,"19-35",B9&lt;=50,"36-50",B9&lt;=65,"51-65","True","65+")</f>
        <v>65+</v>
      </c>
      <c r="D9" t="s">
        <v>33</v>
      </c>
      <c r="E9" s="6">
        <v>45016</v>
      </c>
      <c r="F9" s="6">
        <v>45142</v>
      </c>
      <c r="G9">
        <v>8</v>
      </c>
      <c r="H9" t="s">
        <v>50</v>
      </c>
      <c r="I9">
        <v>5</v>
      </c>
      <c r="J9" t="s">
        <v>24</v>
      </c>
      <c r="K9">
        <v>47531</v>
      </c>
      <c r="L9" t="s">
        <v>25</v>
      </c>
      <c r="M9" t="s">
        <v>54</v>
      </c>
      <c r="N9" t="s">
        <v>41</v>
      </c>
      <c r="O9" s="2">
        <v>45014</v>
      </c>
      <c r="P9" s="2">
        <v>45015.083333333336</v>
      </c>
      <c r="Q9" s="38">
        <f t="shared" si="0"/>
        <v>1.0833333333357587</v>
      </c>
      <c r="R9" t="s">
        <v>55</v>
      </c>
      <c r="S9" t="s">
        <v>29</v>
      </c>
      <c r="T9" t="s">
        <v>30</v>
      </c>
      <c r="U9">
        <v>4</v>
      </c>
      <c r="V9">
        <v>8</v>
      </c>
      <c r="W9" s="18">
        <f>IFERROR(Table1[[#This Row],[Staff Hours Worked]]/Table1[[#This Row],[Staff Available Hours]],0)</f>
        <v>0.5</v>
      </c>
      <c r="X9" t="s">
        <v>48</v>
      </c>
    </row>
    <row r="10" spans="1:24">
      <c r="A10" t="s">
        <v>59</v>
      </c>
      <c r="B10">
        <v>75</v>
      </c>
      <c r="C10" t="str" cm="1">
        <f t="array" ref="C10">_xlfn.IFS(B10&lt;=18,"0-18",B10&lt;=35,"19-35",B10&lt;=50,"36-50",B10&lt;=65,"51-65","True","65+")</f>
        <v>65+</v>
      </c>
      <c r="D10" t="s">
        <v>45</v>
      </c>
      <c r="E10" s="6">
        <v>45507</v>
      </c>
      <c r="F10" s="6">
        <v>45568</v>
      </c>
      <c r="G10">
        <v>2</v>
      </c>
      <c r="H10" t="s">
        <v>34</v>
      </c>
      <c r="I10">
        <v>5</v>
      </c>
      <c r="J10" t="s">
        <v>24</v>
      </c>
      <c r="K10">
        <v>12727</v>
      </c>
      <c r="L10" t="s">
        <v>60</v>
      </c>
      <c r="M10" t="s">
        <v>54</v>
      </c>
      <c r="N10" t="s">
        <v>27</v>
      </c>
      <c r="O10" s="2">
        <v>45446</v>
      </c>
      <c r="P10" s="2">
        <v>45446.208333333336</v>
      </c>
      <c r="Q10" s="38">
        <f t="shared" si="0"/>
        <v>0.20833333333575865</v>
      </c>
      <c r="R10" t="s">
        <v>55</v>
      </c>
      <c r="S10" t="s">
        <v>29</v>
      </c>
      <c r="T10" t="s">
        <v>47</v>
      </c>
      <c r="U10">
        <v>9</v>
      </c>
      <c r="V10">
        <v>12</v>
      </c>
      <c r="W10" s="18">
        <f>IFERROR(Table1[[#This Row],[Staff Hours Worked]]/Table1[[#This Row],[Staff Available Hours]],0)</f>
        <v>0.75</v>
      </c>
      <c r="X10" t="s">
        <v>48</v>
      </c>
    </row>
    <row r="11" spans="1:24">
      <c r="A11" t="s">
        <v>61</v>
      </c>
      <c r="B11">
        <v>88</v>
      </c>
      <c r="C11" t="str" cm="1">
        <f t="array" ref="C11">_xlfn.IFS(B11&lt;=18,"0-18",B11&lt;=35,"19-35",B11&lt;=50,"36-50",B11&lt;=65,"51-65","True","65+")</f>
        <v>65+</v>
      </c>
      <c r="D11" t="s">
        <v>62</v>
      </c>
      <c r="E11" s="6">
        <v>44959</v>
      </c>
      <c r="F11" s="6">
        <v>45018</v>
      </c>
      <c r="G11">
        <v>2</v>
      </c>
      <c r="H11" t="s">
        <v>63</v>
      </c>
      <c r="I11">
        <v>4</v>
      </c>
      <c r="J11" t="s">
        <v>24</v>
      </c>
      <c r="K11">
        <v>12764</v>
      </c>
      <c r="L11" t="s">
        <v>36</v>
      </c>
      <c r="M11" t="s">
        <v>54</v>
      </c>
      <c r="N11" t="s">
        <v>27</v>
      </c>
      <c r="O11" s="2">
        <v>44956</v>
      </c>
      <c r="P11" s="2">
        <v>44956.833333333336</v>
      </c>
      <c r="Q11" s="38">
        <f t="shared" si="0"/>
        <v>0.83333333333575865</v>
      </c>
      <c r="R11" t="s">
        <v>64</v>
      </c>
      <c r="S11" t="s">
        <v>29</v>
      </c>
      <c r="T11" t="s">
        <v>47</v>
      </c>
      <c r="U11">
        <v>6</v>
      </c>
      <c r="V11">
        <v>8</v>
      </c>
      <c r="W11" s="18">
        <f>IFERROR(Table1[[#This Row],[Staff Hours Worked]]/Table1[[#This Row],[Staff Available Hours]],0)</f>
        <v>0.75</v>
      </c>
      <c r="X11" t="s">
        <v>48</v>
      </c>
    </row>
    <row r="12" spans="1:24">
      <c r="A12" t="s">
        <v>65</v>
      </c>
      <c r="B12">
        <v>24</v>
      </c>
      <c r="C12" t="str" cm="1">
        <f t="array" ref="C12">_xlfn.IFS(B12&lt;=18,"0-18",B12&lt;=35,"19-35",B12&lt;=50,"36-50",B12&lt;=65,"51-65","True","65+")</f>
        <v>19-35</v>
      </c>
      <c r="D12" t="s">
        <v>45</v>
      </c>
      <c r="E12" s="6">
        <v>44957</v>
      </c>
      <c r="F12" s="6">
        <v>45018</v>
      </c>
      <c r="G12">
        <v>4</v>
      </c>
      <c r="H12" t="s">
        <v>63</v>
      </c>
      <c r="I12">
        <v>4</v>
      </c>
      <c r="J12" t="s">
        <v>66</v>
      </c>
      <c r="K12">
        <v>32599</v>
      </c>
      <c r="L12" t="s">
        <v>67</v>
      </c>
      <c r="M12" t="s">
        <v>26</v>
      </c>
      <c r="N12" t="s">
        <v>27</v>
      </c>
      <c r="O12" s="2">
        <v>44957</v>
      </c>
      <c r="P12" s="2">
        <v>44957.458333333336</v>
      </c>
      <c r="Q12" s="38">
        <f t="shared" si="0"/>
        <v>0.45833333333575865</v>
      </c>
      <c r="R12" t="s">
        <v>28</v>
      </c>
      <c r="S12" t="s">
        <v>29</v>
      </c>
      <c r="T12" t="s">
        <v>47</v>
      </c>
      <c r="U12">
        <v>6</v>
      </c>
      <c r="V12">
        <v>10</v>
      </c>
      <c r="W12" s="18">
        <f>IFERROR(Table1[[#This Row],[Staff Hours Worked]]/Table1[[#This Row],[Staff Available Hours]],0)</f>
        <v>0.6</v>
      </c>
      <c r="X12" t="s">
        <v>68</v>
      </c>
    </row>
    <row r="13" spans="1:24">
      <c r="A13" t="s">
        <v>69</v>
      </c>
      <c r="B13">
        <v>3</v>
      </c>
      <c r="C13" t="str" cm="1">
        <f t="array" ref="C13">_xlfn.IFS(B13&lt;=18,"0-18",B13&lt;=35,"19-35",B13&lt;=50,"36-50",B13&lt;=65,"51-65","True","65+")</f>
        <v>0-18</v>
      </c>
      <c r="D13" t="s">
        <v>52</v>
      </c>
      <c r="E13" s="6">
        <v>45081</v>
      </c>
      <c r="F13" s="6">
        <v>45037</v>
      </c>
      <c r="G13">
        <v>15</v>
      </c>
      <c r="H13" t="s">
        <v>57</v>
      </c>
      <c r="I13">
        <v>4</v>
      </c>
      <c r="J13" t="s">
        <v>46</v>
      </c>
      <c r="K13">
        <v>5818</v>
      </c>
      <c r="L13" t="s">
        <v>53</v>
      </c>
      <c r="M13" t="s">
        <v>26</v>
      </c>
      <c r="N13" t="s">
        <v>41</v>
      </c>
      <c r="O13" s="2">
        <v>44961</v>
      </c>
      <c r="P13" s="2">
        <v>44989.541666666664</v>
      </c>
      <c r="Q13" s="38">
        <f t="shared" si="0"/>
        <v>28.541666666664241</v>
      </c>
      <c r="R13" t="s">
        <v>42</v>
      </c>
      <c r="S13" t="s">
        <v>29</v>
      </c>
      <c r="T13" t="s">
        <v>47</v>
      </c>
      <c r="U13">
        <v>4</v>
      </c>
      <c r="V13">
        <v>8</v>
      </c>
      <c r="W13" s="18">
        <f>IFERROR(Table1[[#This Row],[Staff Hours Worked]]/Table1[[#This Row],[Staff Available Hours]],0)</f>
        <v>0.5</v>
      </c>
      <c r="X13" t="s">
        <v>31</v>
      </c>
    </row>
    <row r="14" spans="1:24">
      <c r="A14" t="s">
        <v>70</v>
      </c>
      <c r="B14">
        <v>22</v>
      </c>
      <c r="C14" t="str" cm="1">
        <f t="array" ref="C14">_xlfn.IFS(B14&lt;=18,"0-18",B14&lt;=35,"19-35",B14&lt;=50,"36-50",B14&lt;=65,"51-65","True","65+")</f>
        <v>19-35</v>
      </c>
      <c r="D14" t="s">
        <v>52</v>
      </c>
      <c r="E14" s="6">
        <v>45268</v>
      </c>
      <c r="F14" s="6">
        <v>45159</v>
      </c>
      <c r="G14">
        <v>9</v>
      </c>
      <c r="H14" t="s">
        <v>23</v>
      </c>
      <c r="I14">
        <v>5</v>
      </c>
      <c r="J14" t="s">
        <v>71</v>
      </c>
      <c r="K14">
        <v>42289</v>
      </c>
      <c r="L14" t="s">
        <v>53</v>
      </c>
      <c r="M14" t="s">
        <v>54</v>
      </c>
      <c r="N14" t="s">
        <v>27</v>
      </c>
      <c r="O14" s="2">
        <v>45238</v>
      </c>
      <c r="P14" s="2">
        <v>45238.666666666664</v>
      </c>
      <c r="Q14" s="38">
        <f t="shared" si="0"/>
        <v>0.66666666666424135</v>
      </c>
      <c r="R14" t="s">
        <v>37</v>
      </c>
      <c r="S14" t="s">
        <v>29</v>
      </c>
      <c r="T14" t="s">
        <v>47</v>
      </c>
      <c r="U14">
        <v>11</v>
      </c>
      <c r="V14">
        <v>8</v>
      </c>
      <c r="W14" s="18">
        <f>IFERROR(Table1[[#This Row],[Staff Hours Worked]]/Table1[[#This Row],[Staff Available Hours]],0)</f>
        <v>1.375</v>
      </c>
      <c r="X14" t="s">
        <v>68</v>
      </c>
    </row>
    <row r="15" spans="1:24">
      <c r="A15" t="s">
        <v>72</v>
      </c>
      <c r="B15">
        <v>53</v>
      </c>
      <c r="C15" t="str" cm="1">
        <f t="array" ref="C15">_xlfn.IFS(B15&lt;=18,"0-18",B15&lt;=35,"19-35",B15&lt;=50,"36-50",B15&lt;=65,"51-65","True","65+")</f>
        <v>51-65</v>
      </c>
      <c r="D15" t="s">
        <v>41</v>
      </c>
      <c r="E15" s="6">
        <v>45165</v>
      </c>
      <c r="F15" s="6">
        <v>45168</v>
      </c>
      <c r="G15">
        <v>3</v>
      </c>
      <c r="H15" t="s">
        <v>34</v>
      </c>
      <c r="I15">
        <v>2</v>
      </c>
      <c r="J15" t="s">
        <v>71</v>
      </c>
      <c r="K15">
        <v>38892</v>
      </c>
      <c r="L15" t="s">
        <v>36</v>
      </c>
      <c r="M15" t="s">
        <v>54</v>
      </c>
      <c r="N15" t="s">
        <v>27</v>
      </c>
      <c r="O15" s="2">
        <v>45161</v>
      </c>
      <c r="P15" s="2">
        <v>45162.541666666664</v>
      </c>
      <c r="Q15" s="38">
        <f t="shared" si="0"/>
        <v>1.5416666666642413</v>
      </c>
      <c r="R15" t="s">
        <v>42</v>
      </c>
      <c r="S15" t="s">
        <v>29</v>
      </c>
      <c r="T15" t="s">
        <v>30</v>
      </c>
      <c r="U15">
        <v>7</v>
      </c>
      <c r="V15">
        <v>12</v>
      </c>
      <c r="W15" s="18">
        <f>IFERROR(Table1[[#This Row],[Staff Hours Worked]]/Table1[[#This Row],[Staff Available Hours]],0)</f>
        <v>0.58333333333333337</v>
      </c>
      <c r="X15" t="s">
        <v>31</v>
      </c>
    </row>
    <row r="16" spans="1:24">
      <c r="A16" t="s">
        <v>73</v>
      </c>
      <c r="B16">
        <v>2</v>
      </c>
      <c r="C16" t="str" cm="1">
        <f t="array" ref="C16">_xlfn.IFS(B16&lt;=18,"0-18",B16&lt;=35,"19-35",B16&lt;=50,"36-50",B16&lt;=65,"51-65","True","65+")</f>
        <v>0-18</v>
      </c>
      <c r="D16" t="s">
        <v>45</v>
      </c>
      <c r="E16" s="6">
        <v>45297</v>
      </c>
      <c r="F16" s="6">
        <v>45510</v>
      </c>
      <c r="G16">
        <v>7</v>
      </c>
      <c r="H16" t="s">
        <v>34</v>
      </c>
      <c r="I16">
        <v>5</v>
      </c>
      <c r="J16" t="s">
        <v>66</v>
      </c>
      <c r="K16">
        <v>10660</v>
      </c>
      <c r="L16" t="s">
        <v>60</v>
      </c>
      <c r="M16" t="s">
        <v>26</v>
      </c>
      <c r="N16" t="s">
        <v>27</v>
      </c>
      <c r="O16" s="2">
        <v>45442</v>
      </c>
      <c r="P16" s="2">
        <v>45443.041666666664</v>
      </c>
      <c r="Q16" s="38">
        <f t="shared" si="0"/>
        <v>1.0416666666642413</v>
      </c>
      <c r="R16" t="s">
        <v>55</v>
      </c>
      <c r="S16" t="s">
        <v>29</v>
      </c>
      <c r="T16" t="s">
        <v>30</v>
      </c>
      <c r="U16">
        <v>11</v>
      </c>
      <c r="V16">
        <v>10</v>
      </c>
      <c r="W16" s="18">
        <f>IFERROR(Table1[[#This Row],[Staff Hours Worked]]/Table1[[#This Row],[Staff Available Hours]],0)</f>
        <v>1.1000000000000001</v>
      </c>
      <c r="X16" t="s">
        <v>31</v>
      </c>
    </row>
    <row r="17" spans="1:24">
      <c r="A17" t="s">
        <v>74</v>
      </c>
      <c r="B17">
        <v>88</v>
      </c>
      <c r="C17" t="str" cm="1">
        <f t="array" ref="C17">_xlfn.IFS(B17&lt;=18,"0-18",B17&lt;=35,"19-35",B17&lt;=50,"36-50",B17&lt;=65,"51-65","True","65+")</f>
        <v>65+</v>
      </c>
      <c r="D17" t="s">
        <v>45</v>
      </c>
      <c r="E17" s="6">
        <v>44954</v>
      </c>
      <c r="F17" s="6">
        <v>45048</v>
      </c>
      <c r="G17">
        <v>8</v>
      </c>
      <c r="H17" t="s">
        <v>50</v>
      </c>
      <c r="I17">
        <v>3</v>
      </c>
      <c r="J17" t="s">
        <v>24</v>
      </c>
      <c r="K17">
        <v>34521</v>
      </c>
      <c r="L17" t="s">
        <v>60</v>
      </c>
      <c r="M17" t="s">
        <v>54</v>
      </c>
      <c r="N17" t="s">
        <v>41</v>
      </c>
      <c r="O17" s="2">
        <v>44951</v>
      </c>
      <c r="P17" s="2">
        <v>44952.833333333336</v>
      </c>
      <c r="Q17" s="38">
        <f t="shared" si="0"/>
        <v>1.8333333333357587</v>
      </c>
      <c r="R17" t="s">
        <v>28</v>
      </c>
      <c r="S17" t="s">
        <v>29</v>
      </c>
      <c r="T17" t="s">
        <v>30</v>
      </c>
      <c r="U17">
        <v>5</v>
      </c>
      <c r="V17">
        <v>8</v>
      </c>
      <c r="W17" s="18">
        <f>IFERROR(Table1[[#This Row],[Staff Hours Worked]]/Table1[[#This Row],[Staff Available Hours]],0)</f>
        <v>0.625</v>
      </c>
      <c r="X17" t="s">
        <v>68</v>
      </c>
    </row>
    <row r="18" spans="1:24">
      <c r="A18" t="s">
        <v>75</v>
      </c>
      <c r="B18">
        <v>30</v>
      </c>
      <c r="C18" t="str" cm="1">
        <f t="array" ref="C18">_xlfn.IFS(B18&lt;=18,"0-18",B18&lt;=35,"19-35",B18&lt;=50,"36-50",B18&lt;=65,"51-65","True","65+")</f>
        <v>19-35</v>
      </c>
      <c r="D18" t="s">
        <v>52</v>
      </c>
      <c r="E18" s="6">
        <v>45130</v>
      </c>
      <c r="F18" s="6">
        <v>45136</v>
      </c>
      <c r="G18">
        <v>6</v>
      </c>
      <c r="H18" t="s">
        <v>34</v>
      </c>
      <c r="I18">
        <v>5</v>
      </c>
      <c r="J18" t="s">
        <v>66</v>
      </c>
      <c r="K18">
        <v>43409</v>
      </c>
      <c r="L18" t="s">
        <v>36</v>
      </c>
      <c r="M18" t="s">
        <v>26</v>
      </c>
      <c r="N18" t="s">
        <v>27</v>
      </c>
      <c r="O18" s="2">
        <v>45128</v>
      </c>
      <c r="P18" s="2">
        <v>45129.458333333336</v>
      </c>
      <c r="Q18" s="38">
        <f t="shared" si="0"/>
        <v>1.4583333333357587</v>
      </c>
      <c r="R18" t="s">
        <v>28</v>
      </c>
      <c r="S18" t="s">
        <v>29</v>
      </c>
      <c r="T18" t="s">
        <v>30</v>
      </c>
      <c r="U18">
        <v>11</v>
      </c>
      <c r="V18">
        <v>8</v>
      </c>
      <c r="W18" s="18">
        <f>IFERROR(Table1[[#This Row],[Staff Hours Worked]]/Table1[[#This Row],[Staff Available Hours]],0)</f>
        <v>1.375</v>
      </c>
      <c r="X18" t="s">
        <v>48</v>
      </c>
    </row>
    <row r="19" spans="1:24">
      <c r="A19" t="s">
        <v>76</v>
      </c>
      <c r="B19">
        <v>38</v>
      </c>
      <c r="C19" t="str" cm="1">
        <f t="array" ref="C19">_xlfn.IFS(B19&lt;=18,"0-18",B19&lt;=35,"19-35",B19&lt;=50,"36-50",B19&lt;=65,"51-65","True","65+")</f>
        <v>36-50</v>
      </c>
      <c r="D19" t="s">
        <v>62</v>
      </c>
      <c r="E19" s="6">
        <v>45415</v>
      </c>
      <c r="F19" s="6">
        <v>45367</v>
      </c>
      <c r="G19">
        <v>11</v>
      </c>
      <c r="H19" t="s">
        <v>40</v>
      </c>
      <c r="I19">
        <v>5</v>
      </c>
      <c r="J19" t="s">
        <v>66</v>
      </c>
      <c r="K19">
        <v>39470</v>
      </c>
      <c r="L19" t="s">
        <v>60</v>
      </c>
      <c r="M19" t="s">
        <v>54</v>
      </c>
      <c r="N19" t="s">
        <v>41</v>
      </c>
      <c r="O19" s="2">
        <v>45351</v>
      </c>
      <c r="P19" s="2">
        <v>45351.916666666664</v>
      </c>
      <c r="Q19" s="38">
        <f t="shared" si="0"/>
        <v>0.91666666666424135</v>
      </c>
      <c r="R19" t="s">
        <v>28</v>
      </c>
      <c r="S19" t="s">
        <v>29</v>
      </c>
      <c r="T19" t="s">
        <v>43</v>
      </c>
      <c r="U19">
        <v>5</v>
      </c>
      <c r="V19">
        <v>12</v>
      </c>
      <c r="W19" s="18">
        <f>IFERROR(Table1[[#This Row],[Staff Hours Worked]]/Table1[[#This Row],[Staff Available Hours]],0)</f>
        <v>0.41666666666666669</v>
      </c>
      <c r="X19" t="s">
        <v>31</v>
      </c>
    </row>
    <row r="20" spans="1:24">
      <c r="A20" t="s">
        <v>77</v>
      </c>
      <c r="B20">
        <v>2</v>
      </c>
      <c r="C20" t="str" cm="1">
        <f t="array" ref="C20">_xlfn.IFS(B20&lt;=18,"0-18",B20&lt;=35,"19-35",B20&lt;=50,"36-50",B20&lt;=65,"51-65","True","65+")</f>
        <v>0-18</v>
      </c>
      <c r="D20" t="s">
        <v>33</v>
      </c>
      <c r="E20" s="6">
        <v>45152</v>
      </c>
      <c r="F20" s="6">
        <v>45164</v>
      </c>
      <c r="G20">
        <v>12</v>
      </c>
      <c r="H20" t="s">
        <v>23</v>
      </c>
      <c r="I20">
        <v>1</v>
      </c>
      <c r="J20" t="s">
        <v>35</v>
      </c>
      <c r="K20">
        <v>23385</v>
      </c>
      <c r="L20" t="s">
        <v>53</v>
      </c>
      <c r="M20" t="s">
        <v>26</v>
      </c>
      <c r="N20" t="s">
        <v>27</v>
      </c>
      <c r="O20" s="2">
        <v>45268</v>
      </c>
      <c r="P20" s="2">
        <v>45151.041666666664</v>
      </c>
      <c r="Q20" s="38">
        <f t="shared" si="0"/>
        <v>116.95833333333576</v>
      </c>
      <c r="R20" t="s">
        <v>64</v>
      </c>
      <c r="S20" t="s">
        <v>29</v>
      </c>
      <c r="T20" t="s">
        <v>30</v>
      </c>
      <c r="U20">
        <v>9</v>
      </c>
      <c r="V20">
        <v>12</v>
      </c>
      <c r="W20" s="18">
        <f>IFERROR(Table1[[#This Row],[Staff Hours Worked]]/Table1[[#This Row],[Staff Available Hours]],0)</f>
        <v>0.75</v>
      </c>
      <c r="X20" t="s">
        <v>48</v>
      </c>
    </row>
    <row r="21" spans="1:24">
      <c r="A21" t="s">
        <v>78</v>
      </c>
      <c r="B21">
        <v>64</v>
      </c>
      <c r="C21" t="str" cm="1">
        <f t="array" ref="C21">_xlfn.IFS(B21&lt;=18,"0-18",B21&lt;=35,"19-35",B21&lt;=50,"36-50",B21&lt;=65,"51-65","True","65+")</f>
        <v>51-65</v>
      </c>
      <c r="D21" t="s">
        <v>33</v>
      </c>
      <c r="E21" s="6">
        <v>45386</v>
      </c>
      <c r="F21" s="6">
        <v>45398</v>
      </c>
      <c r="G21">
        <v>12</v>
      </c>
      <c r="H21" t="s">
        <v>50</v>
      </c>
      <c r="I21">
        <v>1</v>
      </c>
      <c r="J21" t="s">
        <v>46</v>
      </c>
      <c r="K21">
        <v>28296</v>
      </c>
      <c r="L21" t="s">
        <v>53</v>
      </c>
      <c r="M21" t="s">
        <v>54</v>
      </c>
      <c r="N21" t="s">
        <v>27</v>
      </c>
      <c r="O21" s="2">
        <v>45355</v>
      </c>
      <c r="P21" s="2">
        <v>45416</v>
      </c>
      <c r="Q21" s="38">
        <f t="shared" si="0"/>
        <v>61</v>
      </c>
      <c r="R21" t="s">
        <v>42</v>
      </c>
      <c r="S21" t="s">
        <v>29</v>
      </c>
      <c r="T21" t="s">
        <v>43</v>
      </c>
      <c r="U21">
        <v>6</v>
      </c>
      <c r="V21">
        <v>10</v>
      </c>
      <c r="W21" s="18">
        <f>IFERROR(Table1[[#This Row],[Staff Hours Worked]]/Table1[[#This Row],[Staff Available Hours]],0)</f>
        <v>0.6</v>
      </c>
      <c r="X21" t="s">
        <v>68</v>
      </c>
    </row>
    <row r="22" spans="1:24">
      <c r="A22" t="s">
        <v>79</v>
      </c>
      <c r="B22">
        <v>60</v>
      </c>
      <c r="C22" t="str" cm="1">
        <f t="array" ref="C22">_xlfn.IFS(B22&lt;=18,"0-18",B22&lt;=35,"19-35",B22&lt;=50,"36-50",B22&lt;=65,"51-65","True","65+")</f>
        <v>51-65</v>
      </c>
      <c r="D22" t="s">
        <v>45</v>
      </c>
      <c r="E22" s="6">
        <v>45270</v>
      </c>
      <c r="F22" s="6">
        <v>45220</v>
      </c>
      <c r="G22">
        <v>9</v>
      </c>
      <c r="H22" t="s">
        <v>40</v>
      </c>
      <c r="I22">
        <v>1</v>
      </c>
      <c r="J22" t="s">
        <v>71</v>
      </c>
      <c r="K22">
        <v>28616</v>
      </c>
      <c r="L22" t="s">
        <v>67</v>
      </c>
      <c r="M22" t="s">
        <v>26</v>
      </c>
      <c r="N22" t="s">
        <v>27</v>
      </c>
      <c r="O22" s="2">
        <v>45270</v>
      </c>
      <c r="P22" s="2">
        <v>45270.375</v>
      </c>
      <c r="Q22" s="38">
        <f t="shared" si="0"/>
        <v>0.375</v>
      </c>
      <c r="R22" t="s">
        <v>64</v>
      </c>
      <c r="S22" t="s">
        <v>29</v>
      </c>
      <c r="T22" t="s">
        <v>30</v>
      </c>
      <c r="U22">
        <v>7</v>
      </c>
      <c r="V22">
        <v>8</v>
      </c>
      <c r="W22" s="18">
        <f>IFERROR(Table1[[#This Row],[Staff Hours Worked]]/Table1[[#This Row],[Staff Available Hours]],0)</f>
        <v>0.875</v>
      </c>
      <c r="X22" t="s">
        <v>48</v>
      </c>
    </row>
    <row r="23" spans="1:24">
      <c r="A23" t="s">
        <v>80</v>
      </c>
      <c r="B23">
        <v>21</v>
      </c>
      <c r="C23" t="str" cm="1">
        <f t="array" ref="C23">_xlfn.IFS(B23&lt;=18,"0-18",B23&lt;=35,"19-35",B23&lt;=50,"36-50",B23&lt;=65,"51-65","True","65+")</f>
        <v>19-35</v>
      </c>
      <c r="D23" t="s">
        <v>33</v>
      </c>
      <c r="E23" s="6">
        <v>45108</v>
      </c>
      <c r="F23" s="6">
        <v>44940</v>
      </c>
      <c r="G23">
        <v>7</v>
      </c>
      <c r="H23" t="s">
        <v>57</v>
      </c>
      <c r="I23">
        <v>5</v>
      </c>
      <c r="J23" t="s">
        <v>24</v>
      </c>
      <c r="K23">
        <v>31382</v>
      </c>
      <c r="L23" t="s">
        <v>36</v>
      </c>
      <c r="M23" t="s">
        <v>54</v>
      </c>
      <c r="N23" t="s">
        <v>27</v>
      </c>
      <c r="O23" s="2">
        <v>45108</v>
      </c>
      <c r="P23" s="2">
        <v>45139.875</v>
      </c>
      <c r="Q23" s="38">
        <f t="shared" si="0"/>
        <v>31.875</v>
      </c>
      <c r="R23" t="s">
        <v>37</v>
      </c>
      <c r="S23" t="s">
        <v>29</v>
      </c>
      <c r="T23" t="s">
        <v>47</v>
      </c>
      <c r="U23">
        <v>7</v>
      </c>
      <c r="V23">
        <v>12</v>
      </c>
      <c r="W23" s="18">
        <f>IFERROR(Table1[[#This Row],[Staff Hours Worked]]/Table1[[#This Row],[Staff Available Hours]],0)</f>
        <v>0.58333333333333337</v>
      </c>
      <c r="X23" t="s">
        <v>31</v>
      </c>
    </row>
    <row r="24" spans="1:24">
      <c r="A24" t="s">
        <v>81</v>
      </c>
      <c r="B24">
        <v>33</v>
      </c>
      <c r="C24" t="str" cm="1">
        <f t="array" ref="C24">_xlfn.IFS(B24&lt;=18,"0-18",B24&lt;=35,"19-35",B24&lt;=50,"36-50",B24&lt;=65,"51-65","True","65+")</f>
        <v>19-35</v>
      </c>
      <c r="D24" t="s">
        <v>52</v>
      </c>
      <c r="E24" s="6">
        <v>45090</v>
      </c>
      <c r="F24" s="6">
        <v>45100</v>
      </c>
      <c r="G24">
        <v>10</v>
      </c>
      <c r="H24" t="s">
        <v>63</v>
      </c>
      <c r="I24">
        <v>2</v>
      </c>
      <c r="J24" t="s">
        <v>71</v>
      </c>
      <c r="K24">
        <v>16139</v>
      </c>
      <c r="L24" t="s">
        <v>25</v>
      </c>
      <c r="M24" t="s">
        <v>54</v>
      </c>
      <c r="N24" t="s">
        <v>27</v>
      </c>
      <c r="O24" s="2">
        <v>45144</v>
      </c>
      <c r="P24" s="2">
        <v>45175.958333333336</v>
      </c>
      <c r="Q24" s="38">
        <f t="shared" si="0"/>
        <v>31.958333333335759</v>
      </c>
      <c r="R24" t="s">
        <v>55</v>
      </c>
      <c r="S24" t="s">
        <v>29</v>
      </c>
      <c r="T24" t="s">
        <v>47</v>
      </c>
      <c r="U24">
        <v>7</v>
      </c>
      <c r="V24">
        <v>12</v>
      </c>
      <c r="W24" s="18">
        <f>IFERROR(Table1[[#This Row],[Staff Hours Worked]]/Table1[[#This Row],[Staff Available Hours]],0)</f>
        <v>0.58333333333333337</v>
      </c>
      <c r="X24" t="s">
        <v>31</v>
      </c>
    </row>
    <row r="25" spans="1:24">
      <c r="A25" t="s">
        <v>82</v>
      </c>
      <c r="B25">
        <v>76</v>
      </c>
      <c r="C25" t="str" cm="1">
        <f t="array" ref="C25">_xlfn.IFS(B25&lt;=18,"0-18",B25&lt;=35,"19-35",B25&lt;=50,"36-50",B25&lt;=65,"51-65","True","65+")</f>
        <v>65+</v>
      </c>
      <c r="D25" t="s">
        <v>52</v>
      </c>
      <c r="E25" s="6">
        <v>45507</v>
      </c>
      <c r="F25" s="6">
        <v>45371</v>
      </c>
      <c r="G25">
        <v>12</v>
      </c>
      <c r="H25" t="s">
        <v>57</v>
      </c>
      <c r="I25">
        <v>3</v>
      </c>
      <c r="J25" t="s">
        <v>71</v>
      </c>
      <c r="K25">
        <v>37060</v>
      </c>
      <c r="L25" t="s">
        <v>25</v>
      </c>
      <c r="M25" t="s">
        <v>54</v>
      </c>
      <c r="N25" t="s">
        <v>27</v>
      </c>
      <c r="O25" s="2">
        <v>45476</v>
      </c>
      <c r="P25" s="2">
        <v>45476.25</v>
      </c>
      <c r="Q25" s="38">
        <f t="shared" si="0"/>
        <v>0.25</v>
      </c>
      <c r="R25" t="s">
        <v>64</v>
      </c>
      <c r="S25" t="s">
        <v>29</v>
      </c>
      <c r="T25" t="s">
        <v>47</v>
      </c>
      <c r="U25">
        <v>9</v>
      </c>
      <c r="V25">
        <v>12</v>
      </c>
      <c r="W25" s="18">
        <f>IFERROR(Table1[[#This Row],[Staff Hours Worked]]/Table1[[#This Row],[Staff Available Hours]],0)</f>
        <v>0.75</v>
      </c>
      <c r="X25" t="s">
        <v>31</v>
      </c>
    </row>
    <row r="26" spans="1:24">
      <c r="A26" t="s">
        <v>83</v>
      </c>
      <c r="B26">
        <v>58</v>
      </c>
      <c r="C26" t="str" cm="1">
        <f t="array" ref="C26">_xlfn.IFS(B26&lt;=18,"0-18",B26&lt;=35,"19-35",B26&lt;=50,"36-50",B26&lt;=65,"51-65","True","65+")</f>
        <v>51-65</v>
      </c>
      <c r="D26" t="s">
        <v>45</v>
      </c>
      <c r="E26" s="6">
        <v>45275</v>
      </c>
      <c r="F26" s="6">
        <v>45287</v>
      </c>
      <c r="G26">
        <v>12</v>
      </c>
      <c r="H26" t="s">
        <v>63</v>
      </c>
      <c r="I26">
        <v>3</v>
      </c>
      <c r="J26" t="s">
        <v>46</v>
      </c>
      <c r="K26">
        <v>27419</v>
      </c>
      <c r="L26" t="s">
        <v>67</v>
      </c>
      <c r="M26" t="s">
        <v>54</v>
      </c>
      <c r="N26" t="s">
        <v>27</v>
      </c>
      <c r="O26" s="2">
        <v>45272</v>
      </c>
      <c r="P26" s="2">
        <v>45273.375</v>
      </c>
      <c r="Q26" s="38">
        <f t="shared" si="0"/>
        <v>1.375</v>
      </c>
      <c r="R26" t="s">
        <v>64</v>
      </c>
      <c r="S26" t="s">
        <v>29</v>
      </c>
      <c r="T26" t="s">
        <v>43</v>
      </c>
      <c r="U26">
        <v>5</v>
      </c>
      <c r="V26">
        <v>10</v>
      </c>
      <c r="W26" s="18">
        <f>IFERROR(Table1[[#This Row],[Staff Hours Worked]]/Table1[[#This Row],[Staff Available Hours]],0)</f>
        <v>0.5</v>
      </c>
      <c r="X26" t="s">
        <v>68</v>
      </c>
    </row>
    <row r="27" spans="1:24">
      <c r="A27" t="s">
        <v>84</v>
      </c>
      <c r="B27">
        <v>22</v>
      </c>
      <c r="C27" t="str" cm="1">
        <f t="array" ref="C27">_xlfn.IFS(B27&lt;=18,"0-18",B27&lt;=35,"19-35",B27&lt;=50,"36-50",B27&lt;=65,"51-65","True","65+")</f>
        <v>19-35</v>
      </c>
      <c r="D27" t="s">
        <v>45</v>
      </c>
      <c r="E27" s="6">
        <v>45270</v>
      </c>
      <c r="F27" s="6">
        <v>45214</v>
      </c>
      <c r="G27">
        <v>3</v>
      </c>
      <c r="H27" t="s">
        <v>57</v>
      </c>
      <c r="I27">
        <v>2</v>
      </c>
      <c r="J27" t="s">
        <v>71</v>
      </c>
      <c r="K27">
        <v>32785</v>
      </c>
      <c r="L27" t="s">
        <v>67</v>
      </c>
      <c r="M27" t="s">
        <v>26</v>
      </c>
      <c r="N27" t="s">
        <v>27</v>
      </c>
      <c r="O27" s="2">
        <v>45148</v>
      </c>
      <c r="P27" s="2">
        <v>45209</v>
      </c>
      <c r="Q27" s="38">
        <f t="shared" si="0"/>
        <v>61</v>
      </c>
      <c r="R27" t="s">
        <v>55</v>
      </c>
      <c r="S27" t="s">
        <v>29</v>
      </c>
      <c r="T27" t="s">
        <v>30</v>
      </c>
      <c r="U27">
        <v>7</v>
      </c>
      <c r="V27">
        <v>12</v>
      </c>
      <c r="W27" s="18">
        <f>IFERROR(Table1[[#This Row],[Staff Hours Worked]]/Table1[[#This Row],[Staff Available Hours]],0)</f>
        <v>0.58333333333333337</v>
      </c>
      <c r="X27" t="s">
        <v>31</v>
      </c>
    </row>
    <row r="28" spans="1:24">
      <c r="A28" t="s">
        <v>85</v>
      </c>
      <c r="B28">
        <v>89</v>
      </c>
      <c r="C28" t="str" cm="1">
        <f t="array" ref="C28">_xlfn.IFS(B28&lt;=18,"0-18",B28&lt;=35,"19-35",B28&lt;=50,"36-50",B28&lt;=65,"51-65","True","65+")</f>
        <v>65+</v>
      </c>
      <c r="D28" t="s">
        <v>41</v>
      </c>
      <c r="E28" s="6">
        <v>45175</v>
      </c>
      <c r="F28" s="6">
        <v>45101</v>
      </c>
      <c r="G28">
        <v>15</v>
      </c>
      <c r="H28" t="s">
        <v>34</v>
      </c>
      <c r="I28">
        <v>2</v>
      </c>
      <c r="J28" t="s">
        <v>71</v>
      </c>
      <c r="K28">
        <v>20702</v>
      </c>
      <c r="L28" t="s">
        <v>60</v>
      </c>
      <c r="M28" t="s">
        <v>26</v>
      </c>
      <c r="N28" t="s">
        <v>27</v>
      </c>
      <c r="O28" s="2">
        <v>45083</v>
      </c>
      <c r="P28" s="2">
        <v>45083.958333333336</v>
      </c>
      <c r="Q28" s="38">
        <f t="shared" si="0"/>
        <v>0.95833333333575865</v>
      </c>
      <c r="R28" t="s">
        <v>28</v>
      </c>
      <c r="S28" t="s">
        <v>29</v>
      </c>
      <c r="T28" t="s">
        <v>30</v>
      </c>
      <c r="U28">
        <v>9</v>
      </c>
      <c r="V28">
        <v>10</v>
      </c>
      <c r="W28" s="18">
        <f>IFERROR(Table1[[#This Row],[Staff Hours Worked]]/Table1[[#This Row],[Staff Available Hours]],0)</f>
        <v>0.9</v>
      </c>
      <c r="X28" t="s">
        <v>68</v>
      </c>
    </row>
    <row r="29" spans="1:24">
      <c r="A29" t="s">
        <v>86</v>
      </c>
      <c r="B29">
        <v>49</v>
      </c>
      <c r="C29" t="str" cm="1">
        <f t="array" ref="C29">_xlfn.IFS(B29&lt;=18,"0-18",B29&lt;=35,"19-35",B29&lt;=50,"36-50",B29&lt;=65,"51-65","True","65+")</f>
        <v>36-50</v>
      </c>
      <c r="D29" t="s">
        <v>45</v>
      </c>
      <c r="E29" s="6">
        <v>45177</v>
      </c>
      <c r="F29" s="6">
        <v>45154</v>
      </c>
      <c r="G29">
        <v>7</v>
      </c>
      <c r="H29" t="s">
        <v>40</v>
      </c>
      <c r="I29">
        <v>3</v>
      </c>
      <c r="J29" t="s">
        <v>66</v>
      </c>
      <c r="K29">
        <v>34217</v>
      </c>
      <c r="L29" t="s">
        <v>67</v>
      </c>
      <c r="M29" t="s">
        <v>54</v>
      </c>
      <c r="N29" t="s">
        <v>27</v>
      </c>
      <c r="O29" s="2">
        <v>45054</v>
      </c>
      <c r="P29" s="2">
        <v>45054.166666666664</v>
      </c>
      <c r="Q29" s="38">
        <f t="shared" si="0"/>
        <v>0.16666666666424135</v>
      </c>
      <c r="R29" t="s">
        <v>55</v>
      </c>
      <c r="S29" t="s">
        <v>29</v>
      </c>
      <c r="T29" t="s">
        <v>43</v>
      </c>
      <c r="U29">
        <v>9</v>
      </c>
      <c r="V29">
        <v>10</v>
      </c>
      <c r="W29" s="18">
        <f>IFERROR(Table1[[#This Row],[Staff Hours Worked]]/Table1[[#This Row],[Staff Available Hours]],0)</f>
        <v>0.9</v>
      </c>
      <c r="X29" t="s">
        <v>48</v>
      </c>
    </row>
    <row r="30" spans="1:24">
      <c r="A30" t="s">
        <v>87</v>
      </c>
      <c r="B30">
        <v>59</v>
      </c>
      <c r="C30" t="str" cm="1">
        <f t="array" ref="C30">_xlfn.IFS(B30&lt;=18,"0-18",B30&lt;=35,"19-35",B30&lt;=50,"36-50",B30&lt;=65,"51-65","True","65+")</f>
        <v>51-65</v>
      </c>
      <c r="D30" t="s">
        <v>62</v>
      </c>
      <c r="E30" s="6">
        <v>45242</v>
      </c>
      <c r="F30" s="6">
        <v>45282</v>
      </c>
      <c r="G30">
        <v>11</v>
      </c>
      <c r="H30" t="s">
        <v>63</v>
      </c>
      <c r="I30">
        <v>4</v>
      </c>
      <c r="J30" t="s">
        <v>46</v>
      </c>
      <c r="K30">
        <v>44291</v>
      </c>
      <c r="L30" t="s">
        <v>67</v>
      </c>
      <c r="M30" t="s">
        <v>54</v>
      </c>
      <c r="N30" t="s">
        <v>27</v>
      </c>
      <c r="O30" s="2">
        <v>45242</v>
      </c>
      <c r="P30" s="2">
        <v>45242.291666666664</v>
      </c>
      <c r="Q30" s="38">
        <f t="shared" si="0"/>
        <v>0.29166666666424135</v>
      </c>
      <c r="R30" t="s">
        <v>42</v>
      </c>
      <c r="S30" t="s">
        <v>29</v>
      </c>
      <c r="T30" t="s">
        <v>43</v>
      </c>
      <c r="U30">
        <v>4</v>
      </c>
      <c r="V30">
        <v>8</v>
      </c>
      <c r="W30" s="18">
        <f>IFERROR(Table1[[#This Row],[Staff Hours Worked]]/Table1[[#This Row],[Staff Available Hours]],0)</f>
        <v>0.5</v>
      </c>
      <c r="X30" t="s">
        <v>31</v>
      </c>
    </row>
    <row r="31" spans="1:24">
      <c r="A31" t="s">
        <v>88</v>
      </c>
      <c r="B31">
        <v>42</v>
      </c>
      <c r="C31" t="str" cm="1">
        <f t="array" ref="C31">_xlfn.IFS(B31&lt;=18,"0-18",B31&lt;=35,"19-35",B31&lt;=50,"36-50",B31&lt;=65,"51-65","True","65+")</f>
        <v>36-50</v>
      </c>
      <c r="D31" t="s">
        <v>33</v>
      </c>
      <c r="E31" s="6">
        <v>45031</v>
      </c>
      <c r="F31" s="6">
        <v>45033</v>
      </c>
      <c r="G31">
        <v>2</v>
      </c>
      <c r="H31" t="s">
        <v>50</v>
      </c>
      <c r="I31">
        <v>1</v>
      </c>
      <c r="J31" t="s">
        <v>35</v>
      </c>
      <c r="K31">
        <v>17397</v>
      </c>
      <c r="L31" t="s">
        <v>25</v>
      </c>
      <c r="M31" t="s">
        <v>54</v>
      </c>
      <c r="N31" t="s">
        <v>27</v>
      </c>
      <c r="O31" s="2">
        <v>45029</v>
      </c>
      <c r="P31" s="2">
        <v>45030.166666666664</v>
      </c>
      <c r="Q31" s="38">
        <f t="shared" si="0"/>
        <v>1.1666666666642413</v>
      </c>
      <c r="R31" t="s">
        <v>55</v>
      </c>
      <c r="S31" t="s">
        <v>29</v>
      </c>
      <c r="T31" t="s">
        <v>43</v>
      </c>
      <c r="U31">
        <v>8</v>
      </c>
      <c r="V31">
        <v>8</v>
      </c>
      <c r="W31" s="18">
        <f>IFERROR(Table1[[#This Row],[Staff Hours Worked]]/Table1[[#This Row],[Staff Available Hours]],0)</f>
        <v>1</v>
      </c>
      <c r="X31" t="s">
        <v>31</v>
      </c>
    </row>
    <row r="32" spans="1:24">
      <c r="A32" t="s">
        <v>89</v>
      </c>
      <c r="B32">
        <v>60</v>
      </c>
      <c r="C32" t="str" cm="1">
        <f t="array" ref="C32">_xlfn.IFS(B32&lt;=18,"0-18",B32&lt;=35,"19-35",B32&lt;=50,"36-50",B32&lt;=65,"51-65","True","65+")</f>
        <v>51-65</v>
      </c>
      <c r="D32" t="s">
        <v>45</v>
      </c>
      <c r="E32" s="6">
        <v>45050</v>
      </c>
      <c r="F32" s="6">
        <v>45035</v>
      </c>
      <c r="G32">
        <v>14</v>
      </c>
      <c r="H32" t="s">
        <v>40</v>
      </c>
      <c r="I32">
        <v>1</v>
      </c>
      <c r="J32" t="s">
        <v>24</v>
      </c>
      <c r="K32">
        <v>45879</v>
      </c>
      <c r="L32" t="s">
        <v>60</v>
      </c>
      <c r="M32" t="s">
        <v>26</v>
      </c>
      <c r="N32" t="s">
        <v>27</v>
      </c>
      <c r="O32" s="2">
        <v>44989</v>
      </c>
      <c r="P32" s="2">
        <v>44989.625</v>
      </c>
      <c r="Q32" s="38">
        <f t="shared" si="0"/>
        <v>0.625</v>
      </c>
      <c r="R32" t="s">
        <v>28</v>
      </c>
      <c r="S32" t="s">
        <v>29</v>
      </c>
      <c r="T32" t="s">
        <v>43</v>
      </c>
      <c r="U32">
        <v>11</v>
      </c>
      <c r="V32">
        <v>10</v>
      </c>
      <c r="W32" s="18">
        <f>IFERROR(Table1[[#This Row],[Staff Hours Worked]]/Table1[[#This Row],[Staff Available Hours]],0)</f>
        <v>1.1000000000000001</v>
      </c>
      <c r="X32" t="s">
        <v>31</v>
      </c>
    </row>
    <row r="33" spans="1:24">
      <c r="A33" t="s">
        <v>90</v>
      </c>
      <c r="B33">
        <v>80</v>
      </c>
      <c r="C33" t="str" cm="1">
        <f t="array" ref="C33">_xlfn.IFS(B33&lt;=18,"0-18",B33&lt;=35,"19-35",B33&lt;=50,"36-50",B33&lt;=65,"51-65","True","65+")</f>
        <v>65+</v>
      </c>
      <c r="D33" t="s">
        <v>22</v>
      </c>
      <c r="E33" s="6">
        <v>45316</v>
      </c>
      <c r="F33" s="6">
        <v>45324</v>
      </c>
      <c r="G33">
        <v>8</v>
      </c>
      <c r="H33" t="s">
        <v>50</v>
      </c>
      <c r="I33">
        <v>3</v>
      </c>
      <c r="J33" t="s">
        <v>71</v>
      </c>
      <c r="K33">
        <v>40169</v>
      </c>
      <c r="L33" t="s">
        <v>67</v>
      </c>
      <c r="M33" t="s">
        <v>26</v>
      </c>
      <c r="N33" t="s">
        <v>27</v>
      </c>
      <c r="O33" s="2">
        <v>45311</v>
      </c>
      <c r="P33" s="2">
        <v>45311.208333333336</v>
      </c>
      <c r="Q33" s="38">
        <f t="shared" si="0"/>
        <v>0.20833333333575865</v>
      </c>
      <c r="R33" t="s">
        <v>55</v>
      </c>
      <c r="S33" t="s">
        <v>29</v>
      </c>
      <c r="T33" t="s">
        <v>43</v>
      </c>
      <c r="U33">
        <v>7</v>
      </c>
      <c r="V33">
        <v>8</v>
      </c>
      <c r="W33" s="18">
        <f>IFERROR(Table1[[#This Row],[Staff Hours Worked]]/Table1[[#This Row],[Staff Available Hours]],0)</f>
        <v>0.875</v>
      </c>
      <c r="X33" t="s">
        <v>48</v>
      </c>
    </row>
    <row r="34" spans="1:24">
      <c r="A34" t="s">
        <v>91</v>
      </c>
      <c r="B34">
        <v>15</v>
      </c>
      <c r="C34" t="str" cm="1">
        <f t="array" ref="C34">_xlfn.IFS(B34&lt;=18,"0-18",B34&lt;=35,"19-35",B34&lt;=50,"36-50",B34&lt;=65,"51-65","True","65+")</f>
        <v>0-18</v>
      </c>
      <c r="D34" t="s">
        <v>41</v>
      </c>
      <c r="E34" s="6">
        <v>45203</v>
      </c>
      <c r="F34" s="6">
        <v>45036</v>
      </c>
      <c r="G34">
        <v>10</v>
      </c>
      <c r="H34" t="s">
        <v>40</v>
      </c>
      <c r="I34">
        <v>2</v>
      </c>
      <c r="J34" t="s">
        <v>24</v>
      </c>
      <c r="K34">
        <v>31940</v>
      </c>
      <c r="L34" t="s">
        <v>67</v>
      </c>
      <c r="M34" t="s">
        <v>54</v>
      </c>
      <c r="N34" t="s">
        <v>41</v>
      </c>
      <c r="O34" s="2">
        <v>45111</v>
      </c>
      <c r="P34" s="2">
        <v>45111.916666666664</v>
      </c>
      <c r="Q34" s="38">
        <f t="shared" si="0"/>
        <v>0.91666666666424135</v>
      </c>
      <c r="R34" t="s">
        <v>64</v>
      </c>
      <c r="S34" t="s">
        <v>38</v>
      </c>
      <c r="T34" t="s">
        <v>47</v>
      </c>
      <c r="U34">
        <v>8</v>
      </c>
      <c r="V34">
        <v>8</v>
      </c>
      <c r="W34" s="18">
        <f>IFERROR(Table1[[#This Row],[Staff Hours Worked]]/Table1[[#This Row],[Staff Available Hours]],0)</f>
        <v>1</v>
      </c>
      <c r="X34" t="s">
        <v>31</v>
      </c>
    </row>
    <row r="35" spans="1:24">
      <c r="A35" t="s">
        <v>92</v>
      </c>
      <c r="B35">
        <v>62</v>
      </c>
      <c r="C35" t="str" cm="1">
        <f t="array" ref="C35">_xlfn.IFS(B35&lt;=18,"0-18",B35&lt;=35,"19-35",B35&lt;=50,"36-50",B35&lt;=65,"51-65","True","65+")</f>
        <v>51-65</v>
      </c>
      <c r="D35" t="s">
        <v>22</v>
      </c>
      <c r="E35" s="6">
        <v>45352</v>
      </c>
      <c r="F35" s="6">
        <v>45566</v>
      </c>
      <c r="G35">
        <v>7</v>
      </c>
      <c r="H35" t="s">
        <v>40</v>
      </c>
      <c r="I35">
        <v>4</v>
      </c>
      <c r="J35" t="s">
        <v>35</v>
      </c>
      <c r="K35">
        <v>47249</v>
      </c>
      <c r="L35" t="s">
        <v>60</v>
      </c>
      <c r="M35" t="s">
        <v>26</v>
      </c>
      <c r="N35" t="s">
        <v>27</v>
      </c>
      <c r="O35" s="2">
        <v>45323</v>
      </c>
      <c r="P35" s="2">
        <v>45352.625</v>
      </c>
      <c r="Q35" s="38">
        <f t="shared" si="0"/>
        <v>29.625</v>
      </c>
      <c r="R35" t="s">
        <v>37</v>
      </c>
      <c r="S35" t="s">
        <v>29</v>
      </c>
      <c r="T35" t="s">
        <v>30</v>
      </c>
      <c r="U35">
        <v>5</v>
      </c>
      <c r="V35">
        <v>12</v>
      </c>
      <c r="W35" s="18">
        <f>IFERROR(Table1[[#This Row],[Staff Hours Worked]]/Table1[[#This Row],[Staff Available Hours]],0)</f>
        <v>0.41666666666666669</v>
      </c>
      <c r="X35" t="s">
        <v>68</v>
      </c>
    </row>
    <row r="36" spans="1:24">
      <c r="A36" t="s">
        <v>93</v>
      </c>
      <c r="B36">
        <v>62</v>
      </c>
      <c r="C36" t="str" cm="1">
        <f t="array" ref="C36">_xlfn.IFS(B36&lt;=18,"0-18",B36&lt;=35,"19-35",B36&lt;=50,"36-50",B36&lt;=65,"51-65","True","65+")</f>
        <v>51-65</v>
      </c>
      <c r="D36" t="s">
        <v>52</v>
      </c>
      <c r="E36" s="6">
        <v>45279</v>
      </c>
      <c r="F36" s="6">
        <v>45284</v>
      </c>
      <c r="G36">
        <v>5</v>
      </c>
      <c r="H36" t="s">
        <v>57</v>
      </c>
      <c r="I36">
        <v>3</v>
      </c>
      <c r="J36" t="s">
        <v>24</v>
      </c>
      <c r="K36">
        <v>33341</v>
      </c>
      <c r="L36" t="s">
        <v>36</v>
      </c>
      <c r="M36" t="s">
        <v>26</v>
      </c>
      <c r="N36" t="s">
        <v>27</v>
      </c>
      <c r="O36" s="2">
        <v>45275</v>
      </c>
      <c r="P36" s="2">
        <v>45276.666666666664</v>
      </c>
      <c r="Q36" s="38">
        <f t="shared" si="0"/>
        <v>1.6666666666642413</v>
      </c>
      <c r="R36" t="s">
        <v>64</v>
      </c>
      <c r="S36" t="s">
        <v>29</v>
      </c>
      <c r="T36" t="s">
        <v>43</v>
      </c>
      <c r="U36">
        <v>9</v>
      </c>
      <c r="V36">
        <v>8</v>
      </c>
      <c r="W36" s="18">
        <f>IFERROR(Table1[[#This Row],[Staff Hours Worked]]/Table1[[#This Row],[Staff Available Hours]],0)</f>
        <v>1.125</v>
      </c>
      <c r="X36" t="s">
        <v>48</v>
      </c>
    </row>
    <row r="37" spans="1:24">
      <c r="A37" t="s">
        <v>94</v>
      </c>
      <c r="B37">
        <v>47</v>
      </c>
      <c r="C37" t="str" cm="1">
        <f t="array" ref="C37">_xlfn.IFS(B37&lt;=18,"0-18",B37&lt;=35,"19-35",B37&lt;=50,"36-50",B37&lt;=65,"51-65","True","65+")</f>
        <v>36-50</v>
      </c>
      <c r="D37" t="s">
        <v>33</v>
      </c>
      <c r="E37" s="6">
        <v>45197</v>
      </c>
      <c r="F37" s="6">
        <v>45198</v>
      </c>
      <c r="G37">
        <v>1</v>
      </c>
      <c r="H37" t="s">
        <v>63</v>
      </c>
      <c r="I37">
        <v>1</v>
      </c>
      <c r="J37" t="s">
        <v>35</v>
      </c>
      <c r="K37">
        <v>15067</v>
      </c>
      <c r="L37" t="s">
        <v>60</v>
      </c>
      <c r="M37" t="s">
        <v>26</v>
      </c>
      <c r="N37" t="s">
        <v>41</v>
      </c>
      <c r="O37" s="2">
        <v>45195</v>
      </c>
      <c r="P37" s="2">
        <v>45196.625</v>
      </c>
      <c r="Q37" s="38">
        <f t="shared" si="0"/>
        <v>1.625</v>
      </c>
      <c r="R37" t="s">
        <v>37</v>
      </c>
      <c r="S37" t="s">
        <v>29</v>
      </c>
      <c r="T37" t="s">
        <v>47</v>
      </c>
      <c r="U37">
        <v>10</v>
      </c>
      <c r="V37">
        <v>10</v>
      </c>
      <c r="W37" s="18">
        <f>IFERROR(Table1[[#This Row],[Staff Hours Worked]]/Table1[[#This Row],[Staff Available Hours]],0)</f>
        <v>1</v>
      </c>
      <c r="X37" t="s">
        <v>48</v>
      </c>
    </row>
    <row r="38" spans="1:24">
      <c r="A38" t="s">
        <v>95</v>
      </c>
      <c r="B38">
        <v>62</v>
      </c>
      <c r="C38" t="str" cm="1">
        <f t="array" ref="C38">_xlfn.IFS(B38&lt;=18,"0-18",B38&lt;=35,"19-35",B38&lt;=50,"36-50",B38&lt;=65,"51-65","True","65+")</f>
        <v>51-65</v>
      </c>
      <c r="D38" t="s">
        <v>45</v>
      </c>
      <c r="E38" s="6">
        <v>44971</v>
      </c>
      <c r="F38" s="6">
        <v>44983</v>
      </c>
      <c r="G38">
        <v>12</v>
      </c>
      <c r="H38" t="s">
        <v>63</v>
      </c>
      <c r="I38">
        <v>5</v>
      </c>
      <c r="J38" t="s">
        <v>66</v>
      </c>
      <c r="K38">
        <v>18824</v>
      </c>
      <c r="L38" t="s">
        <v>25</v>
      </c>
      <c r="M38" t="s">
        <v>26</v>
      </c>
      <c r="N38" t="s">
        <v>41</v>
      </c>
      <c r="O38" s="2">
        <v>45171</v>
      </c>
      <c r="P38" s="2">
        <v>45201.083333333336</v>
      </c>
      <c r="Q38" s="38">
        <f t="shared" si="0"/>
        <v>30.083333333335759</v>
      </c>
      <c r="R38" t="s">
        <v>55</v>
      </c>
      <c r="S38" t="s">
        <v>29</v>
      </c>
      <c r="T38" t="s">
        <v>43</v>
      </c>
      <c r="U38">
        <v>11</v>
      </c>
      <c r="V38">
        <v>8</v>
      </c>
      <c r="W38" s="18">
        <f>IFERROR(Table1[[#This Row],[Staff Hours Worked]]/Table1[[#This Row],[Staff Available Hours]],0)</f>
        <v>1.375</v>
      </c>
      <c r="X38" t="s">
        <v>48</v>
      </c>
    </row>
    <row r="39" spans="1:24">
      <c r="A39" t="s">
        <v>96</v>
      </c>
      <c r="B39">
        <v>51</v>
      </c>
      <c r="C39" t="str" cm="1">
        <f t="array" ref="C39">_xlfn.IFS(B39&lt;=18,"0-18",B39&lt;=35,"19-35",B39&lt;=50,"36-50",B39&lt;=65,"51-65","True","65+")</f>
        <v>51-65</v>
      </c>
      <c r="D39" t="s">
        <v>22</v>
      </c>
      <c r="E39" s="6">
        <v>45397</v>
      </c>
      <c r="F39" s="6">
        <v>45403</v>
      </c>
      <c r="G39">
        <v>6</v>
      </c>
      <c r="H39" t="s">
        <v>40</v>
      </c>
      <c r="I39">
        <v>2</v>
      </c>
      <c r="J39" t="s">
        <v>71</v>
      </c>
      <c r="K39">
        <v>18444</v>
      </c>
      <c r="L39" t="s">
        <v>36</v>
      </c>
      <c r="M39" t="s">
        <v>26</v>
      </c>
      <c r="N39" t="s">
        <v>27</v>
      </c>
      <c r="O39" s="2">
        <v>45630</v>
      </c>
      <c r="P39" s="2">
        <v>45630.875</v>
      </c>
      <c r="Q39" s="38">
        <f t="shared" si="0"/>
        <v>0.875</v>
      </c>
      <c r="R39" t="s">
        <v>42</v>
      </c>
      <c r="S39" t="s">
        <v>29</v>
      </c>
      <c r="T39" t="s">
        <v>47</v>
      </c>
      <c r="U39">
        <v>11</v>
      </c>
      <c r="V39">
        <v>12</v>
      </c>
      <c r="W39" s="18">
        <f>IFERROR(Table1[[#This Row],[Staff Hours Worked]]/Table1[[#This Row],[Staff Available Hours]],0)</f>
        <v>0.91666666666666663</v>
      </c>
      <c r="X39" t="s">
        <v>48</v>
      </c>
    </row>
    <row r="40" spans="1:24">
      <c r="A40" t="s">
        <v>97</v>
      </c>
      <c r="B40">
        <v>55</v>
      </c>
      <c r="C40" t="str" cm="1">
        <f t="array" ref="C40">_xlfn.IFS(B40&lt;=18,"0-18",B40&lt;=35,"19-35",B40&lt;=50,"36-50",B40&lt;=65,"51-65","True","65+")</f>
        <v>51-65</v>
      </c>
      <c r="D40" t="s">
        <v>33</v>
      </c>
      <c r="E40" s="6">
        <v>45143</v>
      </c>
      <c r="F40" s="6">
        <v>45265</v>
      </c>
      <c r="G40">
        <v>4</v>
      </c>
      <c r="H40" t="s">
        <v>34</v>
      </c>
      <c r="I40">
        <v>5</v>
      </c>
      <c r="J40" t="s">
        <v>35</v>
      </c>
      <c r="K40">
        <v>38307</v>
      </c>
      <c r="L40" t="s">
        <v>53</v>
      </c>
      <c r="M40" t="s">
        <v>26</v>
      </c>
      <c r="N40" t="s">
        <v>27</v>
      </c>
      <c r="O40" s="2">
        <v>45112</v>
      </c>
      <c r="P40" s="2">
        <v>45112.083333333336</v>
      </c>
      <c r="Q40" s="38">
        <f t="shared" si="0"/>
        <v>8.3333333335758653E-2</v>
      </c>
      <c r="R40" t="s">
        <v>55</v>
      </c>
      <c r="S40" t="s">
        <v>29</v>
      </c>
      <c r="T40" t="s">
        <v>43</v>
      </c>
      <c r="U40">
        <v>7</v>
      </c>
      <c r="V40">
        <v>10</v>
      </c>
      <c r="W40" s="18">
        <f>IFERROR(Table1[[#This Row],[Staff Hours Worked]]/Table1[[#This Row],[Staff Available Hours]],0)</f>
        <v>0.7</v>
      </c>
      <c r="X40" t="s">
        <v>48</v>
      </c>
    </row>
    <row r="41" spans="1:24">
      <c r="A41" t="s">
        <v>98</v>
      </c>
      <c r="B41">
        <v>64</v>
      </c>
      <c r="C41" t="str" cm="1">
        <f t="array" ref="C41">_xlfn.IFS(B41&lt;=18,"0-18",B41&lt;=35,"19-35",B41&lt;=50,"36-50",B41&lt;=65,"51-65","True","65+")</f>
        <v>51-65</v>
      </c>
      <c r="D41" t="s">
        <v>52</v>
      </c>
      <c r="E41" s="6">
        <v>45314</v>
      </c>
      <c r="F41" s="6">
        <v>45322</v>
      </c>
      <c r="G41">
        <v>8</v>
      </c>
      <c r="H41" t="s">
        <v>34</v>
      </c>
      <c r="I41">
        <v>3</v>
      </c>
      <c r="J41" t="s">
        <v>24</v>
      </c>
      <c r="K41">
        <v>15974</v>
      </c>
      <c r="L41" t="s">
        <v>60</v>
      </c>
      <c r="M41" t="s">
        <v>54</v>
      </c>
      <c r="N41" t="s">
        <v>27</v>
      </c>
      <c r="O41" s="2">
        <v>45314</v>
      </c>
      <c r="P41" s="2">
        <v>45315.708333333336</v>
      </c>
      <c r="Q41" s="38">
        <f t="shared" si="0"/>
        <v>1.7083333333357587</v>
      </c>
      <c r="R41" t="s">
        <v>28</v>
      </c>
      <c r="S41" t="s">
        <v>29</v>
      </c>
      <c r="T41" t="s">
        <v>30</v>
      </c>
      <c r="U41">
        <v>10</v>
      </c>
      <c r="V41">
        <v>8</v>
      </c>
      <c r="W41" s="18">
        <f>IFERROR(Table1[[#This Row],[Staff Hours Worked]]/Table1[[#This Row],[Staff Available Hours]],0)</f>
        <v>1.25</v>
      </c>
      <c r="X41" t="s">
        <v>68</v>
      </c>
    </row>
    <row r="42" spans="1:24">
      <c r="A42" t="s">
        <v>99</v>
      </c>
      <c r="B42">
        <v>3</v>
      </c>
      <c r="C42" t="str" cm="1">
        <f t="array" ref="C42">_xlfn.IFS(B42&lt;=18,"0-18",B42&lt;=35,"19-35",B42&lt;=50,"36-50",B42&lt;=65,"51-65","True","65+")</f>
        <v>0-18</v>
      </c>
      <c r="D42" t="s">
        <v>62</v>
      </c>
      <c r="E42" s="6">
        <v>45007</v>
      </c>
      <c r="F42" s="6">
        <v>45015</v>
      </c>
      <c r="G42">
        <v>8</v>
      </c>
      <c r="H42" t="s">
        <v>50</v>
      </c>
      <c r="I42">
        <v>1</v>
      </c>
      <c r="J42" t="s">
        <v>71</v>
      </c>
      <c r="K42">
        <v>43383</v>
      </c>
      <c r="L42" t="s">
        <v>25</v>
      </c>
      <c r="M42" t="s">
        <v>26</v>
      </c>
      <c r="N42" t="s">
        <v>41</v>
      </c>
      <c r="O42" s="2">
        <v>45006</v>
      </c>
      <c r="P42" s="2">
        <v>45006.75</v>
      </c>
      <c r="Q42" s="38">
        <f t="shared" si="0"/>
        <v>0.75</v>
      </c>
      <c r="R42" t="s">
        <v>55</v>
      </c>
      <c r="S42" t="s">
        <v>29</v>
      </c>
      <c r="T42" t="s">
        <v>43</v>
      </c>
      <c r="U42">
        <v>6</v>
      </c>
      <c r="V42">
        <v>10</v>
      </c>
      <c r="W42" s="18">
        <f>IFERROR(Table1[[#This Row],[Staff Hours Worked]]/Table1[[#This Row],[Staff Available Hours]],0)</f>
        <v>0.6</v>
      </c>
      <c r="X42" t="s">
        <v>48</v>
      </c>
    </row>
    <row r="43" spans="1:24">
      <c r="A43" t="s">
        <v>100</v>
      </c>
      <c r="B43">
        <v>51</v>
      </c>
      <c r="C43" t="str" cm="1">
        <f t="array" ref="C43">_xlfn.IFS(B43&lt;=18,"0-18",B43&lt;=35,"19-35",B43&lt;=50,"36-50",B43&lt;=65,"51-65","True","65+")</f>
        <v>51-65</v>
      </c>
      <c r="D43" t="s">
        <v>41</v>
      </c>
      <c r="E43" s="6">
        <v>45227</v>
      </c>
      <c r="F43" s="6">
        <v>44937</v>
      </c>
      <c r="G43">
        <v>4</v>
      </c>
      <c r="H43" t="s">
        <v>50</v>
      </c>
      <c r="I43">
        <v>4</v>
      </c>
      <c r="J43" t="s">
        <v>66</v>
      </c>
      <c r="K43">
        <v>34290</v>
      </c>
      <c r="L43" t="s">
        <v>36</v>
      </c>
      <c r="M43" t="s">
        <v>54</v>
      </c>
      <c r="N43" t="s">
        <v>27</v>
      </c>
      <c r="O43" s="2">
        <v>45227</v>
      </c>
      <c r="P43" s="2">
        <v>45228.208333333336</v>
      </c>
      <c r="Q43" s="38">
        <f t="shared" si="0"/>
        <v>1.2083333333357587</v>
      </c>
      <c r="R43" t="s">
        <v>37</v>
      </c>
      <c r="S43" t="s">
        <v>29</v>
      </c>
      <c r="T43" t="s">
        <v>43</v>
      </c>
      <c r="U43">
        <v>5</v>
      </c>
      <c r="V43">
        <v>8</v>
      </c>
      <c r="W43" s="18">
        <f>IFERROR(Table1[[#This Row],[Staff Hours Worked]]/Table1[[#This Row],[Staff Available Hours]],0)</f>
        <v>0.625</v>
      </c>
      <c r="X43" t="s">
        <v>31</v>
      </c>
    </row>
    <row r="44" spans="1:24">
      <c r="A44" t="s">
        <v>101</v>
      </c>
      <c r="B44">
        <v>7</v>
      </c>
      <c r="C44" t="str" cm="1">
        <f t="array" ref="C44">_xlfn.IFS(B44&lt;=18,"0-18",B44&lt;=35,"19-35",B44&lt;=50,"36-50",B44&lt;=65,"51-65","True","65+")</f>
        <v>0-18</v>
      </c>
      <c r="D44" t="s">
        <v>33</v>
      </c>
      <c r="E44" s="6">
        <v>45444</v>
      </c>
      <c r="F44" s="6">
        <v>45311</v>
      </c>
      <c r="G44">
        <v>14</v>
      </c>
      <c r="H44" t="s">
        <v>57</v>
      </c>
      <c r="I44">
        <v>5</v>
      </c>
      <c r="J44" t="s">
        <v>71</v>
      </c>
      <c r="K44">
        <v>21016</v>
      </c>
      <c r="L44" t="s">
        <v>60</v>
      </c>
      <c r="M44" t="s">
        <v>54</v>
      </c>
      <c r="N44" t="s">
        <v>41</v>
      </c>
      <c r="O44" s="2">
        <v>45352</v>
      </c>
      <c r="P44" s="2">
        <v>45383.333333333336</v>
      </c>
      <c r="Q44" s="38">
        <f t="shared" si="0"/>
        <v>31.333333333335759</v>
      </c>
      <c r="R44" t="s">
        <v>64</v>
      </c>
      <c r="S44" t="s">
        <v>29</v>
      </c>
      <c r="T44" t="s">
        <v>30</v>
      </c>
      <c r="U44">
        <v>4</v>
      </c>
      <c r="V44">
        <v>12</v>
      </c>
      <c r="W44" s="18">
        <f>IFERROR(Table1[[#This Row],[Staff Hours Worked]]/Table1[[#This Row],[Staff Available Hours]],0)</f>
        <v>0.33333333333333331</v>
      </c>
      <c r="X44" t="s">
        <v>48</v>
      </c>
    </row>
    <row r="45" spans="1:24">
      <c r="A45" t="s">
        <v>102</v>
      </c>
      <c r="B45">
        <v>21</v>
      </c>
      <c r="C45" t="str" cm="1">
        <f t="array" ref="C45">_xlfn.IFS(B45&lt;=18,"0-18",B45&lt;=35,"19-35",B45&lt;=50,"36-50",B45&lt;=65,"51-65","True","65+")</f>
        <v>19-35</v>
      </c>
      <c r="D45" t="s">
        <v>33</v>
      </c>
      <c r="E45" s="6">
        <v>45123</v>
      </c>
      <c r="F45" s="6">
        <v>45129</v>
      </c>
      <c r="G45">
        <v>6</v>
      </c>
      <c r="H45" t="s">
        <v>40</v>
      </c>
      <c r="I45">
        <v>4</v>
      </c>
      <c r="J45" t="s">
        <v>35</v>
      </c>
      <c r="K45">
        <v>37112</v>
      </c>
      <c r="L45" t="s">
        <v>67</v>
      </c>
      <c r="M45" t="s">
        <v>54</v>
      </c>
      <c r="N45" t="s">
        <v>27</v>
      </c>
      <c r="O45" s="2">
        <v>45122</v>
      </c>
      <c r="P45" s="2">
        <v>45122.625</v>
      </c>
      <c r="Q45" s="38">
        <f t="shared" si="0"/>
        <v>0.625</v>
      </c>
      <c r="R45" t="s">
        <v>42</v>
      </c>
      <c r="S45" t="s">
        <v>29</v>
      </c>
      <c r="T45" t="s">
        <v>30</v>
      </c>
      <c r="U45">
        <v>4</v>
      </c>
      <c r="V45">
        <v>8</v>
      </c>
      <c r="W45" s="18">
        <f>IFERROR(Table1[[#This Row],[Staff Hours Worked]]/Table1[[#This Row],[Staff Available Hours]],0)</f>
        <v>0.5</v>
      </c>
      <c r="X45" t="s">
        <v>48</v>
      </c>
    </row>
    <row r="46" spans="1:24">
      <c r="A46" t="s">
        <v>103</v>
      </c>
      <c r="B46">
        <v>73</v>
      </c>
      <c r="C46" t="str" cm="1">
        <f t="array" ref="C46">_xlfn.IFS(B46&lt;=18,"0-18",B46&lt;=35,"19-35",B46&lt;=50,"36-50",B46&lt;=65,"51-65","True","65+")</f>
        <v>65+</v>
      </c>
      <c r="D46" t="s">
        <v>62</v>
      </c>
      <c r="E46" s="6">
        <v>44998</v>
      </c>
      <c r="F46" s="6">
        <v>45000</v>
      </c>
      <c r="G46">
        <v>2</v>
      </c>
      <c r="H46" t="s">
        <v>50</v>
      </c>
      <c r="I46">
        <v>1</v>
      </c>
      <c r="J46" t="s">
        <v>66</v>
      </c>
      <c r="K46">
        <v>33513</v>
      </c>
      <c r="L46" t="s">
        <v>60</v>
      </c>
      <c r="M46" t="s">
        <v>26</v>
      </c>
      <c r="N46" t="s">
        <v>41</v>
      </c>
      <c r="O46" s="2">
        <v>45141</v>
      </c>
      <c r="P46" s="2">
        <v>45141.958333333336</v>
      </c>
      <c r="Q46" s="38">
        <f t="shared" si="0"/>
        <v>0.95833333333575865</v>
      </c>
      <c r="R46" t="s">
        <v>55</v>
      </c>
      <c r="S46" t="s">
        <v>38</v>
      </c>
      <c r="T46" t="s">
        <v>43</v>
      </c>
      <c r="U46">
        <v>8</v>
      </c>
      <c r="V46">
        <v>10</v>
      </c>
      <c r="W46" s="18">
        <f>IFERROR(Table1[[#This Row],[Staff Hours Worked]]/Table1[[#This Row],[Staff Available Hours]],0)</f>
        <v>0.8</v>
      </c>
      <c r="X46" t="s">
        <v>48</v>
      </c>
    </row>
    <row r="47" spans="1:24">
      <c r="A47" t="s">
        <v>104</v>
      </c>
      <c r="B47">
        <v>39</v>
      </c>
      <c r="C47" t="str" cm="1">
        <f t="array" ref="C47">_xlfn.IFS(B47&lt;=18,"0-18",B47&lt;=35,"19-35",B47&lt;=50,"36-50",B47&lt;=65,"51-65","True","65+")</f>
        <v>36-50</v>
      </c>
      <c r="D47" t="s">
        <v>33</v>
      </c>
      <c r="E47" s="6">
        <v>44973</v>
      </c>
      <c r="F47" s="6">
        <v>44984</v>
      </c>
      <c r="G47">
        <v>11</v>
      </c>
      <c r="H47" t="s">
        <v>50</v>
      </c>
      <c r="I47">
        <v>5</v>
      </c>
      <c r="J47" t="s">
        <v>24</v>
      </c>
      <c r="K47">
        <v>7956</v>
      </c>
      <c r="L47" t="s">
        <v>53</v>
      </c>
      <c r="M47" t="s">
        <v>54</v>
      </c>
      <c r="N47" t="s">
        <v>41</v>
      </c>
      <c r="O47" s="2">
        <v>44970</v>
      </c>
      <c r="P47" s="2">
        <v>44971.5</v>
      </c>
      <c r="Q47" s="38">
        <f t="shared" si="0"/>
        <v>1.5</v>
      </c>
      <c r="R47" t="s">
        <v>55</v>
      </c>
      <c r="S47" t="s">
        <v>29</v>
      </c>
      <c r="T47" t="s">
        <v>30</v>
      </c>
      <c r="U47">
        <v>9</v>
      </c>
      <c r="V47">
        <v>10</v>
      </c>
      <c r="W47" s="18">
        <f>IFERROR(Table1[[#This Row],[Staff Hours Worked]]/Table1[[#This Row],[Staff Available Hours]],0)</f>
        <v>0.9</v>
      </c>
      <c r="X47" t="s">
        <v>48</v>
      </c>
    </row>
    <row r="48" spans="1:24">
      <c r="A48" t="s">
        <v>105</v>
      </c>
      <c r="B48">
        <v>18</v>
      </c>
      <c r="C48" t="str" cm="1">
        <f t="array" ref="C48">_xlfn.IFS(B48&lt;=18,"0-18",B48&lt;=35,"19-35",B48&lt;=50,"36-50",B48&lt;=65,"51-65","True","65+")</f>
        <v>0-18</v>
      </c>
      <c r="D48" t="s">
        <v>52</v>
      </c>
      <c r="E48" s="6">
        <v>45160</v>
      </c>
      <c r="F48" s="6">
        <v>45166</v>
      </c>
      <c r="G48">
        <v>6</v>
      </c>
      <c r="H48" t="s">
        <v>23</v>
      </c>
      <c r="I48">
        <v>4</v>
      </c>
      <c r="J48" t="s">
        <v>66</v>
      </c>
      <c r="K48">
        <v>13077</v>
      </c>
      <c r="L48" t="s">
        <v>60</v>
      </c>
      <c r="M48" t="s">
        <v>54</v>
      </c>
      <c r="N48" t="s">
        <v>41</v>
      </c>
      <c r="O48" s="2">
        <v>45160</v>
      </c>
      <c r="P48" s="2">
        <v>45161.041666666664</v>
      </c>
      <c r="Q48" s="38">
        <f t="shared" si="0"/>
        <v>1.0416666666642413</v>
      </c>
      <c r="R48" t="s">
        <v>64</v>
      </c>
      <c r="S48" t="s">
        <v>29</v>
      </c>
      <c r="T48" t="s">
        <v>30</v>
      </c>
      <c r="U48">
        <v>8</v>
      </c>
      <c r="V48">
        <v>10</v>
      </c>
      <c r="W48" s="18">
        <f>IFERROR(Table1[[#This Row],[Staff Hours Worked]]/Table1[[#This Row],[Staff Available Hours]],0)</f>
        <v>0.8</v>
      </c>
      <c r="X48" t="s">
        <v>48</v>
      </c>
    </row>
    <row r="49" spans="1:24">
      <c r="A49" t="s">
        <v>106</v>
      </c>
      <c r="B49">
        <v>4</v>
      </c>
      <c r="C49" t="str" cm="1">
        <f t="array" ref="C49">_xlfn.IFS(B49&lt;=18,"0-18",B49&lt;=35,"19-35",B49&lt;=50,"36-50",B49&lt;=65,"51-65","True","65+")</f>
        <v>0-18</v>
      </c>
      <c r="D49" t="s">
        <v>52</v>
      </c>
      <c r="E49" s="6">
        <v>45223</v>
      </c>
      <c r="F49" s="6">
        <v>44968</v>
      </c>
      <c r="G49">
        <v>9</v>
      </c>
      <c r="H49" t="s">
        <v>40</v>
      </c>
      <c r="I49">
        <v>4</v>
      </c>
      <c r="J49" t="s">
        <v>66</v>
      </c>
      <c r="K49">
        <v>41490</v>
      </c>
      <c r="L49" t="s">
        <v>36</v>
      </c>
      <c r="M49" t="s">
        <v>54</v>
      </c>
      <c r="N49" t="s">
        <v>27</v>
      </c>
      <c r="O49" s="2">
        <v>45218</v>
      </c>
      <c r="P49" s="2">
        <v>45219.166666666664</v>
      </c>
      <c r="Q49" s="38">
        <f t="shared" si="0"/>
        <v>1.1666666666642413</v>
      </c>
      <c r="R49" t="s">
        <v>42</v>
      </c>
      <c r="S49" t="s">
        <v>29</v>
      </c>
      <c r="T49" t="s">
        <v>47</v>
      </c>
      <c r="U49">
        <v>6</v>
      </c>
      <c r="V49">
        <v>8</v>
      </c>
      <c r="W49" s="18">
        <f>IFERROR(Table1[[#This Row],[Staff Hours Worked]]/Table1[[#This Row],[Staff Available Hours]],0)</f>
        <v>0.75</v>
      </c>
      <c r="X49" t="s">
        <v>68</v>
      </c>
    </row>
    <row r="50" spans="1:24">
      <c r="A50" t="s">
        <v>107</v>
      </c>
      <c r="B50">
        <v>89</v>
      </c>
      <c r="C50" t="str" cm="1">
        <f t="array" ref="C50">_xlfn.IFS(B50&lt;=18,"0-18",B50&lt;=35,"19-35",B50&lt;=50,"36-50",B50&lt;=65,"51-65","True","65+")</f>
        <v>65+</v>
      </c>
      <c r="D50" t="s">
        <v>62</v>
      </c>
      <c r="E50" s="6">
        <v>45008</v>
      </c>
      <c r="F50" s="6">
        <v>45111</v>
      </c>
      <c r="G50">
        <v>15</v>
      </c>
      <c r="H50" t="s">
        <v>57</v>
      </c>
      <c r="I50">
        <v>5</v>
      </c>
      <c r="J50" t="s">
        <v>46</v>
      </c>
      <c r="K50">
        <v>49827</v>
      </c>
      <c r="L50" t="s">
        <v>36</v>
      </c>
      <c r="M50" t="s">
        <v>54</v>
      </c>
      <c r="N50" t="s">
        <v>41</v>
      </c>
      <c r="O50" s="2">
        <v>45006</v>
      </c>
      <c r="P50" s="2">
        <v>45006.5</v>
      </c>
      <c r="Q50" s="38">
        <f t="shared" si="0"/>
        <v>0.5</v>
      </c>
      <c r="R50" t="s">
        <v>55</v>
      </c>
      <c r="S50" t="s">
        <v>29</v>
      </c>
      <c r="T50" t="s">
        <v>30</v>
      </c>
      <c r="U50">
        <v>6</v>
      </c>
      <c r="V50">
        <v>8</v>
      </c>
      <c r="W50" s="18">
        <f>IFERROR(Table1[[#This Row],[Staff Hours Worked]]/Table1[[#This Row],[Staff Available Hours]],0)</f>
        <v>0.75</v>
      </c>
      <c r="X50" t="s">
        <v>68</v>
      </c>
    </row>
    <row r="51" spans="1:24">
      <c r="A51" t="s">
        <v>108</v>
      </c>
      <c r="B51">
        <v>60</v>
      </c>
      <c r="C51" t="str" cm="1">
        <f t="array" ref="C51">_xlfn.IFS(B51&lt;=18,"0-18",B51&lt;=35,"19-35",B51&lt;=50,"36-50",B51&lt;=65,"51-65","True","65+")</f>
        <v>51-65</v>
      </c>
      <c r="D51" t="s">
        <v>41</v>
      </c>
      <c r="E51" s="6">
        <v>45165</v>
      </c>
      <c r="F51" s="6">
        <v>45116</v>
      </c>
      <c r="G51">
        <v>11</v>
      </c>
      <c r="H51" t="s">
        <v>50</v>
      </c>
      <c r="I51">
        <v>1</v>
      </c>
      <c r="J51" t="s">
        <v>66</v>
      </c>
      <c r="K51">
        <v>42855</v>
      </c>
      <c r="L51" t="s">
        <v>60</v>
      </c>
      <c r="M51" t="s">
        <v>54</v>
      </c>
      <c r="N51" t="s">
        <v>27</v>
      </c>
      <c r="O51" s="2">
        <v>45160</v>
      </c>
      <c r="P51" s="2">
        <v>45161.833333333336</v>
      </c>
      <c r="Q51" s="38">
        <f t="shared" si="0"/>
        <v>1.8333333333357587</v>
      </c>
      <c r="R51" t="s">
        <v>55</v>
      </c>
      <c r="S51" t="s">
        <v>29</v>
      </c>
      <c r="T51" t="s">
        <v>30</v>
      </c>
      <c r="U51">
        <v>11</v>
      </c>
      <c r="V51">
        <v>8</v>
      </c>
      <c r="W51" s="18">
        <f>IFERROR(Table1[[#This Row],[Staff Hours Worked]]/Table1[[#This Row],[Staff Available Hours]],0)</f>
        <v>1.375</v>
      </c>
      <c r="X51" t="s">
        <v>48</v>
      </c>
    </row>
    <row r="52" spans="1:24">
      <c r="A52" t="s">
        <v>109</v>
      </c>
      <c r="B52">
        <v>14</v>
      </c>
      <c r="C52" t="str" cm="1">
        <f t="array" ref="C52">_xlfn.IFS(B52&lt;=18,"0-18",B52&lt;=35,"19-35",B52&lt;=50,"36-50",B52&lt;=65,"51-65","True","65+")</f>
        <v>0-18</v>
      </c>
      <c r="D52" t="s">
        <v>45</v>
      </c>
      <c r="E52" s="6">
        <v>45030</v>
      </c>
      <c r="F52" s="6">
        <v>45036</v>
      </c>
      <c r="G52">
        <v>6</v>
      </c>
      <c r="H52" t="s">
        <v>57</v>
      </c>
      <c r="I52">
        <v>4</v>
      </c>
      <c r="J52" t="s">
        <v>66</v>
      </c>
      <c r="K52">
        <v>48106</v>
      </c>
      <c r="L52" t="s">
        <v>36</v>
      </c>
      <c r="M52" t="s">
        <v>26</v>
      </c>
      <c r="N52" t="s">
        <v>27</v>
      </c>
      <c r="O52" s="2">
        <v>45264</v>
      </c>
      <c r="P52" s="2">
        <v>45029.583333333336</v>
      </c>
      <c r="Q52" s="38">
        <f t="shared" si="0"/>
        <v>234.41666666666424</v>
      </c>
      <c r="R52" t="s">
        <v>37</v>
      </c>
      <c r="S52" t="s">
        <v>29</v>
      </c>
      <c r="T52" t="s">
        <v>43</v>
      </c>
      <c r="U52">
        <v>4</v>
      </c>
      <c r="V52">
        <v>12</v>
      </c>
      <c r="W52" s="18">
        <f>IFERROR(Table1[[#This Row],[Staff Hours Worked]]/Table1[[#This Row],[Staff Available Hours]],0)</f>
        <v>0.33333333333333331</v>
      </c>
      <c r="X52" t="s">
        <v>68</v>
      </c>
    </row>
    <row r="53" spans="1:24">
      <c r="A53" t="s">
        <v>110</v>
      </c>
      <c r="B53">
        <v>9</v>
      </c>
      <c r="C53" t="str" cm="1">
        <f t="array" ref="C53">_xlfn.IFS(B53&lt;=18,"0-18",B53&lt;=35,"19-35",B53&lt;=50,"36-50",B53&lt;=65,"51-65","True","65+")</f>
        <v>0-18</v>
      </c>
      <c r="D53" t="s">
        <v>22</v>
      </c>
      <c r="E53" s="6">
        <v>45316</v>
      </c>
      <c r="F53" s="6">
        <v>45317</v>
      </c>
      <c r="G53">
        <v>1</v>
      </c>
      <c r="H53" t="s">
        <v>63</v>
      </c>
      <c r="I53">
        <v>3</v>
      </c>
      <c r="J53" t="s">
        <v>71</v>
      </c>
      <c r="K53">
        <v>39938</v>
      </c>
      <c r="L53" t="s">
        <v>67</v>
      </c>
      <c r="M53" t="s">
        <v>26</v>
      </c>
      <c r="N53" t="s">
        <v>27</v>
      </c>
      <c r="O53" s="2">
        <v>45311</v>
      </c>
      <c r="P53" s="2">
        <v>45312.791666666664</v>
      </c>
      <c r="Q53" s="38">
        <f t="shared" si="0"/>
        <v>1.7916666666642413</v>
      </c>
      <c r="R53" t="s">
        <v>37</v>
      </c>
      <c r="S53" t="s">
        <v>29</v>
      </c>
      <c r="T53" t="s">
        <v>43</v>
      </c>
      <c r="U53">
        <v>10</v>
      </c>
      <c r="V53">
        <v>12</v>
      </c>
      <c r="W53" s="18">
        <f>IFERROR(Table1[[#This Row],[Staff Hours Worked]]/Table1[[#This Row],[Staff Available Hours]],0)</f>
        <v>0.83333333333333337</v>
      </c>
      <c r="X53" t="s">
        <v>31</v>
      </c>
    </row>
    <row r="54" spans="1:24">
      <c r="A54" t="s">
        <v>111</v>
      </c>
      <c r="B54">
        <v>53</v>
      </c>
      <c r="C54" t="str" cm="1">
        <f t="array" ref="C54">_xlfn.IFS(B54&lt;=18,"0-18",B54&lt;=35,"19-35",B54&lt;=50,"36-50",B54&lt;=65,"51-65","True","65+")</f>
        <v>51-65</v>
      </c>
      <c r="D54" t="s">
        <v>45</v>
      </c>
      <c r="E54" s="6">
        <v>45270</v>
      </c>
      <c r="F54" s="6">
        <v>45218</v>
      </c>
      <c r="G54">
        <v>7</v>
      </c>
      <c r="H54" t="s">
        <v>57</v>
      </c>
      <c r="I54">
        <v>5</v>
      </c>
      <c r="J54" t="s">
        <v>24</v>
      </c>
      <c r="K54">
        <v>41159</v>
      </c>
      <c r="L54" t="s">
        <v>60</v>
      </c>
      <c r="M54" t="s">
        <v>54</v>
      </c>
      <c r="N54" t="s">
        <v>27</v>
      </c>
      <c r="O54" s="2">
        <v>45270</v>
      </c>
      <c r="P54" s="2">
        <v>45212.041666666664</v>
      </c>
      <c r="Q54" s="38">
        <f t="shared" si="0"/>
        <v>57.958333333335759</v>
      </c>
      <c r="R54" t="s">
        <v>28</v>
      </c>
      <c r="S54" t="s">
        <v>38</v>
      </c>
      <c r="T54" t="s">
        <v>47</v>
      </c>
      <c r="U54">
        <v>7</v>
      </c>
      <c r="V54">
        <v>12</v>
      </c>
      <c r="W54" s="18">
        <f>IFERROR(Table1[[#This Row],[Staff Hours Worked]]/Table1[[#This Row],[Staff Available Hours]],0)</f>
        <v>0.58333333333333337</v>
      </c>
      <c r="X54" t="s">
        <v>48</v>
      </c>
    </row>
    <row r="55" spans="1:24">
      <c r="A55" t="s">
        <v>112</v>
      </c>
      <c r="B55">
        <v>2</v>
      </c>
      <c r="C55" t="str" cm="1">
        <f t="array" ref="C55">_xlfn.IFS(B55&lt;=18,"0-18",B55&lt;=35,"19-35",B55&lt;=50,"36-50",B55&lt;=65,"51-65","True","65+")</f>
        <v>0-18</v>
      </c>
      <c r="D55" t="s">
        <v>33</v>
      </c>
      <c r="E55" s="6">
        <v>45539</v>
      </c>
      <c r="F55" s="6">
        <v>45396</v>
      </c>
      <c r="G55">
        <v>5</v>
      </c>
      <c r="H55" t="s">
        <v>34</v>
      </c>
      <c r="I55">
        <v>2</v>
      </c>
      <c r="J55" t="s">
        <v>71</v>
      </c>
      <c r="K55">
        <v>44710</v>
      </c>
      <c r="L55" t="s">
        <v>67</v>
      </c>
      <c r="M55" t="s">
        <v>26</v>
      </c>
      <c r="N55" t="s">
        <v>27</v>
      </c>
      <c r="O55" s="2">
        <v>45416</v>
      </c>
      <c r="P55" s="2">
        <v>45416.25</v>
      </c>
      <c r="Q55" s="38">
        <f t="shared" si="0"/>
        <v>0.25</v>
      </c>
      <c r="R55" t="s">
        <v>64</v>
      </c>
      <c r="S55" t="s">
        <v>29</v>
      </c>
      <c r="T55" t="s">
        <v>43</v>
      </c>
      <c r="U55">
        <v>4</v>
      </c>
      <c r="V55">
        <v>10</v>
      </c>
      <c r="W55" s="18">
        <f>IFERROR(Table1[[#This Row],[Staff Hours Worked]]/Table1[[#This Row],[Staff Available Hours]],0)</f>
        <v>0.4</v>
      </c>
      <c r="X55" t="s">
        <v>31</v>
      </c>
    </row>
    <row r="56" spans="1:24">
      <c r="A56" t="s">
        <v>113</v>
      </c>
      <c r="B56">
        <v>84</v>
      </c>
      <c r="C56" t="str" cm="1">
        <f t="array" ref="C56">_xlfn.IFS(B56&lt;=18,"0-18",B56&lt;=35,"19-35",B56&lt;=50,"36-50",B56&lt;=65,"51-65","True","65+")</f>
        <v>65+</v>
      </c>
      <c r="D56" t="s">
        <v>22</v>
      </c>
      <c r="E56" s="6">
        <v>45536</v>
      </c>
      <c r="F56" s="6">
        <v>45304</v>
      </c>
      <c r="G56">
        <v>4</v>
      </c>
      <c r="H56" t="s">
        <v>34</v>
      </c>
      <c r="I56">
        <v>2</v>
      </c>
      <c r="J56" t="s">
        <v>71</v>
      </c>
      <c r="K56">
        <v>23000</v>
      </c>
      <c r="L56" t="s">
        <v>67</v>
      </c>
      <c r="M56" t="s">
        <v>26</v>
      </c>
      <c r="N56" t="s">
        <v>41</v>
      </c>
      <c r="O56" s="2">
        <v>45413</v>
      </c>
      <c r="P56" s="2">
        <v>45444.666666666664</v>
      </c>
      <c r="Q56" s="38">
        <f t="shared" si="0"/>
        <v>31.666666666664241</v>
      </c>
      <c r="R56" t="s">
        <v>42</v>
      </c>
      <c r="S56" t="s">
        <v>29</v>
      </c>
      <c r="T56" t="s">
        <v>30</v>
      </c>
      <c r="U56">
        <v>4</v>
      </c>
      <c r="V56">
        <v>10</v>
      </c>
      <c r="W56" s="18">
        <f>IFERROR(Table1[[#This Row],[Staff Hours Worked]]/Table1[[#This Row],[Staff Available Hours]],0)</f>
        <v>0.4</v>
      </c>
      <c r="X56" t="s">
        <v>31</v>
      </c>
    </row>
    <row r="57" spans="1:24">
      <c r="A57" t="s">
        <v>114</v>
      </c>
      <c r="B57">
        <v>60</v>
      </c>
      <c r="C57" t="str" cm="1">
        <f t="array" ref="C57">_xlfn.IFS(B57&lt;=18,"0-18",B57&lt;=35,"19-35",B57&lt;=50,"36-50",B57&lt;=65,"51-65","True","65+")</f>
        <v>51-65</v>
      </c>
      <c r="D57" t="s">
        <v>62</v>
      </c>
      <c r="E57" s="6">
        <v>45093</v>
      </c>
      <c r="F57" s="6">
        <v>45095</v>
      </c>
      <c r="G57">
        <v>2</v>
      </c>
      <c r="H57" t="s">
        <v>57</v>
      </c>
      <c r="I57">
        <v>1</v>
      </c>
      <c r="J57" t="s">
        <v>35</v>
      </c>
      <c r="K57">
        <v>18806</v>
      </c>
      <c r="L57" t="s">
        <v>25</v>
      </c>
      <c r="M57" t="s">
        <v>54</v>
      </c>
      <c r="N57" t="s">
        <v>27</v>
      </c>
      <c r="O57" s="2">
        <v>45091</v>
      </c>
      <c r="P57" s="2">
        <v>45091.791666666664</v>
      </c>
      <c r="Q57" s="38">
        <f t="shared" si="0"/>
        <v>0.79166666666424135</v>
      </c>
      <c r="R57" t="s">
        <v>55</v>
      </c>
      <c r="S57" t="s">
        <v>29</v>
      </c>
      <c r="T57" t="s">
        <v>30</v>
      </c>
      <c r="U57">
        <v>10</v>
      </c>
      <c r="V57">
        <v>10</v>
      </c>
      <c r="W57" s="18">
        <f>IFERROR(Table1[[#This Row],[Staff Hours Worked]]/Table1[[#This Row],[Staff Available Hours]],0)</f>
        <v>1</v>
      </c>
      <c r="X57" t="s">
        <v>48</v>
      </c>
    </row>
    <row r="58" spans="1:24">
      <c r="A58" t="s">
        <v>115</v>
      </c>
      <c r="B58">
        <v>71</v>
      </c>
      <c r="C58" t="str" cm="1">
        <f t="array" ref="C58">_xlfn.IFS(B58&lt;=18,"0-18",B58&lt;=35,"19-35",B58&lt;=50,"36-50",B58&lt;=65,"51-65","True","65+")</f>
        <v>65+</v>
      </c>
      <c r="D58" t="s">
        <v>62</v>
      </c>
      <c r="E58" s="6">
        <v>45306</v>
      </c>
      <c r="F58" s="6">
        <v>45320</v>
      </c>
      <c r="G58">
        <v>14</v>
      </c>
      <c r="H58" t="s">
        <v>34</v>
      </c>
      <c r="I58">
        <v>3</v>
      </c>
      <c r="J58" t="s">
        <v>71</v>
      </c>
      <c r="K58">
        <v>17809</v>
      </c>
      <c r="L58" t="s">
        <v>60</v>
      </c>
      <c r="M58" t="s">
        <v>26</v>
      </c>
      <c r="N58" t="s">
        <v>41</v>
      </c>
      <c r="O58" s="2">
        <v>45304</v>
      </c>
      <c r="P58" s="2">
        <v>45304.666666666664</v>
      </c>
      <c r="Q58" s="38">
        <f t="shared" si="0"/>
        <v>0.66666666666424135</v>
      </c>
      <c r="R58" t="s">
        <v>55</v>
      </c>
      <c r="S58" t="s">
        <v>29</v>
      </c>
      <c r="T58" t="s">
        <v>30</v>
      </c>
      <c r="U58">
        <v>11</v>
      </c>
      <c r="V58">
        <v>10</v>
      </c>
      <c r="W58" s="18">
        <f>IFERROR(Table1[[#This Row],[Staff Hours Worked]]/Table1[[#This Row],[Staff Available Hours]],0)</f>
        <v>1.1000000000000001</v>
      </c>
      <c r="X58" t="s">
        <v>31</v>
      </c>
    </row>
    <row r="59" spans="1:24">
      <c r="A59" t="s">
        <v>116</v>
      </c>
      <c r="B59">
        <v>44</v>
      </c>
      <c r="C59" t="str" cm="1">
        <f t="array" ref="C59">_xlfn.IFS(B59&lt;=18,"0-18",B59&lt;=35,"19-35",B59&lt;=50,"36-50",B59&lt;=65,"51-65","True","65+")</f>
        <v>36-50</v>
      </c>
      <c r="D59" t="s">
        <v>41</v>
      </c>
      <c r="E59" s="6">
        <v>45290</v>
      </c>
      <c r="F59" s="6">
        <v>45304</v>
      </c>
      <c r="G59">
        <v>14</v>
      </c>
      <c r="H59" t="s">
        <v>63</v>
      </c>
      <c r="I59">
        <v>4</v>
      </c>
      <c r="J59" t="s">
        <v>46</v>
      </c>
      <c r="K59">
        <v>19855</v>
      </c>
      <c r="L59" t="s">
        <v>36</v>
      </c>
      <c r="M59" t="s">
        <v>26</v>
      </c>
      <c r="N59" t="s">
        <v>41</v>
      </c>
      <c r="O59" s="2">
        <v>45289</v>
      </c>
      <c r="P59" s="2">
        <v>45290.916666666664</v>
      </c>
      <c r="Q59" s="38">
        <f t="shared" si="0"/>
        <v>1.9166666666642413</v>
      </c>
      <c r="R59" t="s">
        <v>28</v>
      </c>
      <c r="S59" t="s">
        <v>29</v>
      </c>
      <c r="T59" t="s">
        <v>43</v>
      </c>
      <c r="U59">
        <v>11</v>
      </c>
      <c r="V59">
        <v>10</v>
      </c>
      <c r="W59" s="18">
        <f>IFERROR(Table1[[#This Row],[Staff Hours Worked]]/Table1[[#This Row],[Staff Available Hours]],0)</f>
        <v>1.1000000000000001</v>
      </c>
      <c r="X59" t="s">
        <v>31</v>
      </c>
    </row>
    <row r="60" spans="1:24">
      <c r="A60" t="s">
        <v>117</v>
      </c>
      <c r="B60">
        <v>8</v>
      </c>
      <c r="C60" t="str" cm="1">
        <f t="array" ref="C60">_xlfn.IFS(B60&lt;=18,"0-18",B60&lt;=35,"19-35",B60&lt;=50,"36-50",B60&lt;=65,"51-65","True","65+")</f>
        <v>0-18</v>
      </c>
      <c r="D60" t="s">
        <v>22</v>
      </c>
      <c r="E60" s="6">
        <v>44993</v>
      </c>
      <c r="F60" s="6">
        <v>45238</v>
      </c>
      <c r="G60">
        <v>8</v>
      </c>
      <c r="H60" t="s">
        <v>40</v>
      </c>
      <c r="I60">
        <v>2</v>
      </c>
      <c r="J60" t="s">
        <v>46</v>
      </c>
      <c r="K60">
        <v>46876</v>
      </c>
      <c r="L60" t="s">
        <v>67</v>
      </c>
      <c r="M60" t="s">
        <v>54</v>
      </c>
      <c r="N60" t="s">
        <v>27</v>
      </c>
      <c r="O60" s="2">
        <v>45136</v>
      </c>
      <c r="P60" s="2">
        <v>45136.208333333336</v>
      </c>
      <c r="Q60" s="38">
        <f t="shared" si="0"/>
        <v>0.20833333333575865</v>
      </c>
      <c r="R60" t="s">
        <v>55</v>
      </c>
      <c r="S60" t="s">
        <v>29</v>
      </c>
      <c r="T60" t="s">
        <v>30</v>
      </c>
      <c r="U60">
        <v>10</v>
      </c>
      <c r="V60">
        <v>8</v>
      </c>
      <c r="W60" s="18">
        <f>IFERROR(Table1[[#This Row],[Staff Hours Worked]]/Table1[[#This Row],[Staff Available Hours]],0)</f>
        <v>1.25</v>
      </c>
      <c r="X60" t="s">
        <v>31</v>
      </c>
    </row>
    <row r="61" spans="1:24">
      <c r="A61" t="s">
        <v>118</v>
      </c>
      <c r="B61">
        <v>47</v>
      </c>
      <c r="C61" t="str" cm="1">
        <f t="array" ref="C61">_xlfn.IFS(B61&lt;=18,"0-18",B61&lt;=35,"19-35",B61&lt;=50,"36-50",B61&lt;=65,"51-65","True","65+")</f>
        <v>36-50</v>
      </c>
      <c r="D61" t="s">
        <v>52</v>
      </c>
      <c r="E61" s="6">
        <v>44936</v>
      </c>
      <c r="F61" s="6">
        <v>44995</v>
      </c>
      <c r="G61">
        <v>2</v>
      </c>
      <c r="H61" t="s">
        <v>34</v>
      </c>
      <c r="I61">
        <v>1</v>
      </c>
      <c r="J61" t="s">
        <v>35</v>
      </c>
      <c r="K61">
        <v>34388</v>
      </c>
      <c r="L61" t="s">
        <v>25</v>
      </c>
      <c r="M61" t="s">
        <v>54</v>
      </c>
      <c r="N61" t="s">
        <v>27</v>
      </c>
      <c r="O61" s="2">
        <v>45195</v>
      </c>
      <c r="P61" s="2">
        <v>45195.25</v>
      </c>
      <c r="Q61" s="38">
        <f t="shared" si="0"/>
        <v>0.25</v>
      </c>
      <c r="R61" t="s">
        <v>64</v>
      </c>
      <c r="S61" t="s">
        <v>29</v>
      </c>
      <c r="T61" t="s">
        <v>30</v>
      </c>
      <c r="U61">
        <v>6</v>
      </c>
      <c r="V61">
        <v>10</v>
      </c>
      <c r="W61" s="18">
        <f>IFERROR(Table1[[#This Row],[Staff Hours Worked]]/Table1[[#This Row],[Staff Available Hours]],0)</f>
        <v>0.6</v>
      </c>
      <c r="X61" t="s">
        <v>48</v>
      </c>
    </row>
    <row r="62" spans="1:24">
      <c r="A62" t="s">
        <v>119</v>
      </c>
      <c r="B62">
        <v>35</v>
      </c>
      <c r="C62" t="str" cm="1">
        <f t="array" ref="C62">_xlfn.IFS(B62&lt;=18,"0-18",B62&lt;=35,"19-35",B62&lt;=50,"36-50",B62&lt;=65,"51-65","True","65+")</f>
        <v>19-35</v>
      </c>
      <c r="D62" t="s">
        <v>22</v>
      </c>
      <c r="E62" s="6">
        <v>45000</v>
      </c>
      <c r="F62" s="6">
        <v>45011</v>
      </c>
      <c r="G62">
        <v>11</v>
      </c>
      <c r="H62" t="s">
        <v>34</v>
      </c>
      <c r="I62">
        <v>3</v>
      </c>
      <c r="J62" t="s">
        <v>24</v>
      </c>
      <c r="K62">
        <v>11458</v>
      </c>
      <c r="L62" t="s">
        <v>60</v>
      </c>
      <c r="M62" t="s">
        <v>26</v>
      </c>
      <c r="N62" t="s">
        <v>27</v>
      </c>
      <c r="O62" s="2">
        <v>45202</v>
      </c>
      <c r="P62" s="2">
        <v>45202.75</v>
      </c>
      <c r="Q62" s="38">
        <f t="shared" si="0"/>
        <v>0.75</v>
      </c>
      <c r="R62" t="s">
        <v>28</v>
      </c>
      <c r="S62" t="s">
        <v>29</v>
      </c>
      <c r="T62" t="s">
        <v>47</v>
      </c>
      <c r="U62">
        <v>10</v>
      </c>
      <c r="V62">
        <v>8</v>
      </c>
      <c r="W62" s="18">
        <f>IFERROR(Table1[[#This Row],[Staff Hours Worked]]/Table1[[#This Row],[Staff Available Hours]],0)</f>
        <v>1.25</v>
      </c>
      <c r="X62" t="s">
        <v>48</v>
      </c>
    </row>
    <row r="63" spans="1:24">
      <c r="A63" t="s">
        <v>120</v>
      </c>
      <c r="B63">
        <v>78</v>
      </c>
      <c r="C63" t="str" cm="1">
        <f t="array" ref="C63">_xlfn.IFS(B63&lt;=18,"0-18",B63&lt;=35,"19-35",B63&lt;=50,"36-50",B63&lt;=65,"51-65","True","65+")</f>
        <v>65+</v>
      </c>
      <c r="D63" t="s">
        <v>33</v>
      </c>
      <c r="E63" s="6">
        <v>45102</v>
      </c>
      <c r="F63" s="6">
        <v>45106</v>
      </c>
      <c r="G63">
        <v>4</v>
      </c>
      <c r="H63" t="s">
        <v>57</v>
      </c>
      <c r="I63">
        <v>3</v>
      </c>
      <c r="J63" t="s">
        <v>24</v>
      </c>
      <c r="K63">
        <v>40524</v>
      </c>
      <c r="L63" t="s">
        <v>60</v>
      </c>
      <c r="M63" t="s">
        <v>54</v>
      </c>
      <c r="N63" t="s">
        <v>27</v>
      </c>
      <c r="O63" s="2">
        <v>45097</v>
      </c>
      <c r="P63" s="2">
        <v>45097.416666666664</v>
      </c>
      <c r="Q63" s="38">
        <f t="shared" si="0"/>
        <v>0.41666666666424135</v>
      </c>
      <c r="R63" t="s">
        <v>64</v>
      </c>
      <c r="S63" t="s">
        <v>29</v>
      </c>
      <c r="T63" t="s">
        <v>47</v>
      </c>
      <c r="U63">
        <v>8</v>
      </c>
      <c r="V63">
        <v>12</v>
      </c>
      <c r="W63" s="18">
        <f>IFERROR(Table1[[#This Row],[Staff Hours Worked]]/Table1[[#This Row],[Staff Available Hours]],0)</f>
        <v>0.66666666666666663</v>
      </c>
      <c r="X63" t="s">
        <v>31</v>
      </c>
    </row>
    <row r="64" spans="1:24">
      <c r="A64" t="s">
        <v>121</v>
      </c>
      <c r="B64">
        <v>81</v>
      </c>
      <c r="C64" t="str" cm="1">
        <f t="array" ref="C64">_xlfn.IFS(B64&lt;=18,"0-18",B64&lt;=35,"19-35",B64&lt;=50,"36-50",B64&lt;=65,"51-65","True","65+")</f>
        <v>65+</v>
      </c>
      <c r="D64" t="s">
        <v>52</v>
      </c>
      <c r="E64" s="6">
        <v>45147</v>
      </c>
      <c r="F64" s="6">
        <v>45188</v>
      </c>
      <c r="G64">
        <v>11</v>
      </c>
      <c r="H64" t="s">
        <v>63</v>
      </c>
      <c r="I64">
        <v>1</v>
      </c>
      <c r="J64" t="s">
        <v>71</v>
      </c>
      <c r="K64">
        <v>11853</v>
      </c>
      <c r="L64" t="s">
        <v>53</v>
      </c>
      <c r="M64" t="s">
        <v>54</v>
      </c>
      <c r="N64" t="s">
        <v>27</v>
      </c>
      <c r="O64" s="2">
        <v>45116</v>
      </c>
      <c r="P64" s="2">
        <v>45147.041666666664</v>
      </c>
      <c r="Q64" s="38">
        <f t="shared" si="0"/>
        <v>31.041666666664241</v>
      </c>
      <c r="R64" t="s">
        <v>28</v>
      </c>
      <c r="S64" t="s">
        <v>29</v>
      </c>
      <c r="T64" t="s">
        <v>47</v>
      </c>
      <c r="U64">
        <v>6</v>
      </c>
      <c r="V64">
        <v>12</v>
      </c>
      <c r="W64" s="18">
        <f>IFERROR(Table1[[#This Row],[Staff Hours Worked]]/Table1[[#This Row],[Staff Available Hours]],0)</f>
        <v>0.5</v>
      </c>
      <c r="X64" t="s">
        <v>48</v>
      </c>
    </row>
    <row r="65" spans="1:24">
      <c r="A65" t="s">
        <v>122</v>
      </c>
      <c r="B65">
        <v>36</v>
      </c>
      <c r="C65" t="str" cm="1">
        <f t="array" ref="C65">_xlfn.IFS(B65&lt;=18,"0-18",B65&lt;=35,"19-35",B65&lt;=50,"36-50",B65&lt;=65,"51-65","True","65+")</f>
        <v>36-50</v>
      </c>
      <c r="D65" t="s">
        <v>62</v>
      </c>
      <c r="E65" s="6">
        <v>45094</v>
      </c>
      <c r="F65" s="6">
        <v>45105</v>
      </c>
      <c r="G65">
        <v>11</v>
      </c>
      <c r="H65" t="s">
        <v>40</v>
      </c>
      <c r="I65">
        <v>1</v>
      </c>
      <c r="J65" t="s">
        <v>71</v>
      </c>
      <c r="K65">
        <v>45477</v>
      </c>
      <c r="L65" t="s">
        <v>53</v>
      </c>
      <c r="M65" t="s">
        <v>54</v>
      </c>
      <c r="N65" t="s">
        <v>41</v>
      </c>
      <c r="O65" s="2">
        <v>45092</v>
      </c>
      <c r="P65" s="2">
        <v>45093.916666666664</v>
      </c>
      <c r="Q65" s="38">
        <f t="shared" si="0"/>
        <v>1.9166666666642413</v>
      </c>
      <c r="R65" t="s">
        <v>55</v>
      </c>
      <c r="S65" t="s">
        <v>29</v>
      </c>
      <c r="T65" t="s">
        <v>43</v>
      </c>
      <c r="U65">
        <v>10</v>
      </c>
      <c r="V65">
        <v>12</v>
      </c>
      <c r="W65" s="18">
        <f>IFERROR(Table1[[#This Row],[Staff Hours Worked]]/Table1[[#This Row],[Staff Available Hours]],0)</f>
        <v>0.83333333333333337</v>
      </c>
      <c r="X65" t="s">
        <v>48</v>
      </c>
    </row>
    <row r="66" spans="1:24">
      <c r="A66" t="s">
        <v>123</v>
      </c>
      <c r="B66">
        <v>50</v>
      </c>
      <c r="C66" t="str" cm="1">
        <f t="array" ref="C66">_xlfn.IFS(B66&lt;=18,"0-18",B66&lt;=35,"19-35",B66&lt;=50,"36-50",B66&lt;=65,"51-65","True","65+")</f>
        <v>36-50</v>
      </c>
      <c r="D66" t="s">
        <v>22</v>
      </c>
      <c r="E66" s="6">
        <v>45400</v>
      </c>
      <c r="F66" s="6">
        <v>45410</v>
      </c>
      <c r="G66">
        <v>10</v>
      </c>
      <c r="H66" t="s">
        <v>57</v>
      </c>
      <c r="I66">
        <v>4</v>
      </c>
      <c r="J66" t="s">
        <v>71</v>
      </c>
      <c r="K66">
        <v>37222</v>
      </c>
      <c r="L66" t="s">
        <v>67</v>
      </c>
      <c r="M66" t="s">
        <v>54</v>
      </c>
      <c r="N66" t="s">
        <v>41</v>
      </c>
      <c r="O66" s="2">
        <v>45396</v>
      </c>
      <c r="P66" s="2">
        <v>45397.708333333336</v>
      </c>
      <c r="Q66" s="38">
        <f t="shared" ref="Q66:Q129" si="1">IF(OR(O66="",P66=""),"",ABS(P66-O66))</f>
        <v>1.7083333333357587</v>
      </c>
      <c r="R66" t="s">
        <v>28</v>
      </c>
      <c r="S66" t="s">
        <v>29</v>
      </c>
      <c r="T66" t="s">
        <v>30</v>
      </c>
      <c r="U66">
        <v>9</v>
      </c>
      <c r="V66">
        <v>12</v>
      </c>
      <c r="W66" s="18">
        <f>IFERROR(Table1[[#This Row],[Staff Hours Worked]]/Table1[[#This Row],[Staff Available Hours]],0)</f>
        <v>0.75</v>
      </c>
      <c r="X66" t="s">
        <v>31</v>
      </c>
    </row>
    <row r="67" spans="1:24">
      <c r="A67" t="s">
        <v>124</v>
      </c>
      <c r="B67">
        <v>4</v>
      </c>
      <c r="C67" t="str" cm="1">
        <f t="array" ref="C67">_xlfn.IFS(B67&lt;=18,"0-18",B67&lt;=35,"19-35",B67&lt;=50,"36-50",B67&lt;=65,"51-65","True","65+")</f>
        <v>0-18</v>
      </c>
      <c r="D67" t="s">
        <v>45</v>
      </c>
      <c r="E67" s="6">
        <v>45315</v>
      </c>
      <c r="F67" s="6">
        <v>45316</v>
      </c>
      <c r="G67">
        <v>1</v>
      </c>
      <c r="H67" t="s">
        <v>57</v>
      </c>
      <c r="I67">
        <v>1</v>
      </c>
      <c r="J67" t="s">
        <v>24</v>
      </c>
      <c r="K67">
        <v>23320</v>
      </c>
      <c r="L67" t="s">
        <v>53</v>
      </c>
      <c r="M67" t="s">
        <v>26</v>
      </c>
      <c r="N67" t="s">
        <v>41</v>
      </c>
      <c r="O67" s="2">
        <v>45314</v>
      </c>
      <c r="P67" s="2">
        <v>45314.416666666664</v>
      </c>
      <c r="Q67" s="38">
        <f t="shared" si="1"/>
        <v>0.41666666666424135</v>
      </c>
      <c r="R67" t="s">
        <v>37</v>
      </c>
      <c r="S67" t="s">
        <v>29</v>
      </c>
      <c r="T67" t="s">
        <v>30</v>
      </c>
      <c r="U67">
        <v>6</v>
      </c>
      <c r="V67">
        <v>12</v>
      </c>
      <c r="W67" s="18">
        <f>IFERROR(Table1[[#This Row],[Staff Hours Worked]]/Table1[[#This Row],[Staff Available Hours]],0)</f>
        <v>0.5</v>
      </c>
      <c r="X67" t="s">
        <v>48</v>
      </c>
    </row>
    <row r="68" spans="1:24">
      <c r="A68" t="s">
        <v>125</v>
      </c>
      <c r="B68">
        <v>2</v>
      </c>
      <c r="C68" t="str" cm="1">
        <f t="array" ref="C68">_xlfn.IFS(B68&lt;=18,"0-18",B68&lt;=35,"19-35",B68&lt;=50,"36-50",B68&lt;=65,"51-65","True","65+")</f>
        <v>0-18</v>
      </c>
      <c r="D68" t="s">
        <v>41</v>
      </c>
      <c r="E68" s="6">
        <v>45026</v>
      </c>
      <c r="F68" s="6">
        <v>45056</v>
      </c>
      <c r="G68">
        <v>1</v>
      </c>
      <c r="H68" t="s">
        <v>23</v>
      </c>
      <c r="I68">
        <v>4</v>
      </c>
      <c r="J68" t="s">
        <v>66</v>
      </c>
      <c r="K68">
        <v>33618</v>
      </c>
      <c r="L68" t="s">
        <v>67</v>
      </c>
      <c r="M68" t="s">
        <v>54</v>
      </c>
      <c r="N68" t="s">
        <v>41</v>
      </c>
      <c r="O68" s="2">
        <v>45026</v>
      </c>
      <c r="P68" s="2">
        <v>45087</v>
      </c>
      <c r="Q68" s="38">
        <f t="shared" si="1"/>
        <v>61</v>
      </c>
      <c r="R68" t="s">
        <v>42</v>
      </c>
      <c r="S68" t="s">
        <v>29</v>
      </c>
      <c r="T68" t="s">
        <v>30</v>
      </c>
      <c r="U68">
        <v>6</v>
      </c>
      <c r="V68">
        <v>10</v>
      </c>
      <c r="W68" s="18">
        <f>IFERROR(Table1[[#This Row],[Staff Hours Worked]]/Table1[[#This Row],[Staff Available Hours]],0)</f>
        <v>0.6</v>
      </c>
      <c r="X68" t="s">
        <v>68</v>
      </c>
    </row>
    <row r="69" spans="1:24">
      <c r="A69" t="s">
        <v>126</v>
      </c>
      <c r="B69">
        <v>6</v>
      </c>
      <c r="C69" t="str" cm="1">
        <f t="array" ref="C69">_xlfn.IFS(B69&lt;=18,"0-18",B69&lt;=35,"19-35",B69&lt;=50,"36-50",B69&lt;=65,"51-65","True","65+")</f>
        <v>0-18</v>
      </c>
      <c r="D69" t="s">
        <v>45</v>
      </c>
      <c r="E69" s="6">
        <v>45151</v>
      </c>
      <c r="F69" s="6">
        <v>45164</v>
      </c>
      <c r="G69">
        <v>13</v>
      </c>
      <c r="H69" t="s">
        <v>63</v>
      </c>
      <c r="I69">
        <v>4</v>
      </c>
      <c r="J69" t="s">
        <v>46</v>
      </c>
      <c r="K69">
        <v>22352</v>
      </c>
      <c r="L69" t="s">
        <v>36</v>
      </c>
      <c r="M69" t="s">
        <v>54</v>
      </c>
      <c r="N69" t="s">
        <v>27</v>
      </c>
      <c r="O69" s="2">
        <v>45268</v>
      </c>
      <c r="P69" s="2">
        <v>45151.041666666664</v>
      </c>
      <c r="Q69" s="38">
        <f t="shared" si="1"/>
        <v>116.95833333333576</v>
      </c>
      <c r="R69" t="s">
        <v>55</v>
      </c>
      <c r="S69" t="s">
        <v>29</v>
      </c>
      <c r="T69" t="s">
        <v>47</v>
      </c>
      <c r="U69">
        <v>4</v>
      </c>
      <c r="V69">
        <v>10</v>
      </c>
      <c r="W69" s="18">
        <f>IFERROR(Table1[[#This Row],[Staff Hours Worked]]/Table1[[#This Row],[Staff Available Hours]],0)</f>
        <v>0.4</v>
      </c>
      <c r="X69" t="s">
        <v>48</v>
      </c>
    </row>
    <row r="70" spans="1:24">
      <c r="A70" t="s">
        <v>127</v>
      </c>
      <c r="B70">
        <v>54</v>
      </c>
      <c r="C70" t="str" cm="1">
        <f t="array" ref="C70">_xlfn.IFS(B70&lt;=18,"0-18",B70&lt;=35,"19-35",B70&lt;=50,"36-50",B70&lt;=65,"51-65","True","65+")</f>
        <v>51-65</v>
      </c>
      <c r="D70" t="s">
        <v>41</v>
      </c>
      <c r="E70" s="6">
        <v>45259</v>
      </c>
      <c r="F70" s="6">
        <v>45058</v>
      </c>
      <c r="G70">
        <v>6</v>
      </c>
      <c r="H70" t="s">
        <v>40</v>
      </c>
      <c r="I70">
        <v>5</v>
      </c>
      <c r="J70" t="s">
        <v>66</v>
      </c>
      <c r="K70">
        <v>12297</v>
      </c>
      <c r="L70" t="s">
        <v>67</v>
      </c>
      <c r="M70" t="s">
        <v>26</v>
      </c>
      <c r="N70" t="s">
        <v>27</v>
      </c>
      <c r="O70" s="2">
        <v>45258</v>
      </c>
      <c r="P70" s="2">
        <v>45258.875</v>
      </c>
      <c r="Q70" s="38">
        <f t="shared" si="1"/>
        <v>0.875</v>
      </c>
      <c r="R70" t="s">
        <v>42</v>
      </c>
      <c r="S70" t="s">
        <v>29</v>
      </c>
      <c r="T70" t="s">
        <v>30</v>
      </c>
      <c r="U70">
        <v>7</v>
      </c>
      <c r="V70">
        <v>10</v>
      </c>
      <c r="W70" s="18">
        <f>IFERROR(Table1[[#This Row],[Staff Hours Worked]]/Table1[[#This Row],[Staff Available Hours]],0)</f>
        <v>0.7</v>
      </c>
      <c r="X70" t="s">
        <v>68</v>
      </c>
    </row>
    <row r="71" spans="1:24">
      <c r="A71" t="s">
        <v>128</v>
      </c>
      <c r="B71">
        <v>4</v>
      </c>
      <c r="C71" t="str" cm="1">
        <f t="array" ref="C71">_xlfn.IFS(B71&lt;=18,"0-18",B71&lt;=35,"19-35",B71&lt;=50,"36-50",B71&lt;=65,"51-65","True","65+")</f>
        <v>0-18</v>
      </c>
      <c r="D71" t="s">
        <v>33</v>
      </c>
      <c r="E71" s="6">
        <v>44984</v>
      </c>
      <c r="F71" s="6">
        <v>44988</v>
      </c>
      <c r="G71">
        <v>4</v>
      </c>
      <c r="H71" t="s">
        <v>63</v>
      </c>
      <c r="I71">
        <v>3</v>
      </c>
      <c r="J71" t="s">
        <v>66</v>
      </c>
      <c r="K71">
        <v>32940</v>
      </c>
      <c r="L71" t="s">
        <v>53</v>
      </c>
      <c r="M71" t="s">
        <v>54</v>
      </c>
      <c r="N71" t="s">
        <v>41</v>
      </c>
      <c r="O71" s="2">
        <v>44983</v>
      </c>
      <c r="P71" s="2">
        <v>44984</v>
      </c>
      <c r="Q71" s="38">
        <f t="shared" si="1"/>
        <v>1</v>
      </c>
      <c r="R71" t="s">
        <v>55</v>
      </c>
      <c r="S71" t="s">
        <v>29</v>
      </c>
      <c r="T71" t="s">
        <v>30</v>
      </c>
      <c r="U71">
        <v>4</v>
      </c>
      <c r="V71">
        <v>12</v>
      </c>
      <c r="W71" s="18">
        <f>IFERROR(Table1[[#This Row],[Staff Hours Worked]]/Table1[[#This Row],[Staff Available Hours]],0)</f>
        <v>0.33333333333333331</v>
      </c>
      <c r="X71" t="s">
        <v>31</v>
      </c>
    </row>
    <row r="72" spans="1:24">
      <c r="A72" t="s">
        <v>129</v>
      </c>
      <c r="B72">
        <v>54</v>
      </c>
      <c r="C72" t="str" cm="1">
        <f t="array" ref="C72">_xlfn.IFS(B72&lt;=18,"0-18",B72&lt;=35,"19-35",B72&lt;=50,"36-50",B72&lt;=65,"51-65","True","65+")</f>
        <v>51-65</v>
      </c>
      <c r="D72" t="s">
        <v>45</v>
      </c>
      <c r="E72" s="6">
        <v>45161</v>
      </c>
      <c r="F72" s="6">
        <v>45164</v>
      </c>
      <c r="G72">
        <v>3</v>
      </c>
      <c r="H72" t="s">
        <v>40</v>
      </c>
      <c r="I72">
        <v>3</v>
      </c>
      <c r="J72" t="s">
        <v>24</v>
      </c>
      <c r="K72">
        <v>8203</v>
      </c>
      <c r="L72" t="s">
        <v>36</v>
      </c>
      <c r="M72" t="s">
        <v>54</v>
      </c>
      <c r="N72" t="s">
        <v>27</v>
      </c>
      <c r="O72" s="2">
        <v>45158</v>
      </c>
      <c r="P72" s="2">
        <v>45158.291666666664</v>
      </c>
      <c r="Q72" s="38">
        <f t="shared" si="1"/>
        <v>0.29166666666424135</v>
      </c>
      <c r="R72" t="s">
        <v>42</v>
      </c>
      <c r="S72" t="s">
        <v>29</v>
      </c>
      <c r="T72" t="s">
        <v>30</v>
      </c>
      <c r="U72">
        <v>5</v>
      </c>
      <c r="V72">
        <v>12</v>
      </c>
      <c r="W72" s="18">
        <f>IFERROR(Table1[[#This Row],[Staff Hours Worked]]/Table1[[#This Row],[Staff Available Hours]],0)</f>
        <v>0.41666666666666669</v>
      </c>
      <c r="X72" t="s">
        <v>48</v>
      </c>
    </row>
    <row r="73" spans="1:24">
      <c r="A73" t="s">
        <v>130</v>
      </c>
      <c r="B73">
        <v>63</v>
      </c>
      <c r="C73" t="str" cm="1">
        <f t="array" ref="C73">_xlfn.IFS(B73&lt;=18,"0-18",B73&lt;=35,"19-35",B73&lt;=50,"36-50",B73&lt;=65,"51-65","True","65+")</f>
        <v>51-65</v>
      </c>
      <c r="D73" t="s">
        <v>22</v>
      </c>
      <c r="E73" s="6">
        <v>44959</v>
      </c>
      <c r="F73" s="6">
        <v>44972</v>
      </c>
      <c r="G73">
        <v>13</v>
      </c>
      <c r="H73" t="s">
        <v>63</v>
      </c>
      <c r="I73">
        <v>3</v>
      </c>
      <c r="J73" t="s">
        <v>66</v>
      </c>
      <c r="K73">
        <v>44267</v>
      </c>
      <c r="L73" t="s">
        <v>53</v>
      </c>
      <c r="M73" t="s">
        <v>54</v>
      </c>
      <c r="N73" t="s">
        <v>27</v>
      </c>
      <c r="O73" s="2">
        <v>44959</v>
      </c>
      <c r="P73" s="2">
        <v>44959.25</v>
      </c>
      <c r="Q73" s="38">
        <f t="shared" si="1"/>
        <v>0.25</v>
      </c>
      <c r="R73" t="s">
        <v>37</v>
      </c>
      <c r="S73" t="s">
        <v>29</v>
      </c>
      <c r="T73" t="s">
        <v>30</v>
      </c>
      <c r="U73">
        <v>6</v>
      </c>
      <c r="V73">
        <v>8</v>
      </c>
      <c r="W73" s="18">
        <f>IFERROR(Table1[[#This Row],[Staff Hours Worked]]/Table1[[#This Row],[Staff Available Hours]],0)</f>
        <v>0.75</v>
      </c>
      <c r="X73" t="s">
        <v>31</v>
      </c>
    </row>
    <row r="74" spans="1:24">
      <c r="A74" t="s">
        <v>131</v>
      </c>
      <c r="B74">
        <v>18</v>
      </c>
      <c r="C74" t="str" cm="1">
        <f t="array" ref="C74">_xlfn.IFS(B74&lt;=18,"0-18",B74&lt;=35,"19-35",B74&lt;=50,"36-50",B74&lt;=65,"51-65","True","65+")</f>
        <v>0-18</v>
      </c>
      <c r="D74" t="s">
        <v>22</v>
      </c>
      <c r="E74" s="6">
        <v>45250</v>
      </c>
      <c r="F74" s="6">
        <v>45260</v>
      </c>
      <c r="G74">
        <v>10</v>
      </c>
      <c r="H74" t="s">
        <v>57</v>
      </c>
      <c r="I74">
        <v>5</v>
      </c>
      <c r="J74" t="s">
        <v>35</v>
      </c>
      <c r="K74">
        <v>42941</v>
      </c>
      <c r="L74" t="s">
        <v>67</v>
      </c>
      <c r="M74" t="s">
        <v>26</v>
      </c>
      <c r="N74" t="s">
        <v>41</v>
      </c>
      <c r="O74" s="2">
        <v>45248</v>
      </c>
      <c r="P74" s="2">
        <v>45248.041666666664</v>
      </c>
      <c r="Q74" s="38">
        <f t="shared" si="1"/>
        <v>4.1666666664241347E-2</v>
      </c>
      <c r="R74" t="s">
        <v>42</v>
      </c>
      <c r="S74" t="s">
        <v>29</v>
      </c>
      <c r="T74" t="s">
        <v>30</v>
      </c>
      <c r="U74">
        <v>10</v>
      </c>
      <c r="V74">
        <v>10</v>
      </c>
      <c r="W74" s="18">
        <f>IFERROR(Table1[[#This Row],[Staff Hours Worked]]/Table1[[#This Row],[Staff Available Hours]],0)</f>
        <v>1</v>
      </c>
      <c r="X74" t="s">
        <v>31</v>
      </c>
    </row>
    <row r="75" spans="1:24">
      <c r="A75" t="s">
        <v>132</v>
      </c>
      <c r="B75">
        <v>44</v>
      </c>
      <c r="C75" t="str" cm="1">
        <f t="array" ref="C75">_xlfn.IFS(B75&lt;=18,"0-18",B75&lt;=35,"19-35",B75&lt;=50,"36-50",B75&lt;=65,"51-65","True","65+")</f>
        <v>36-50</v>
      </c>
      <c r="D75" t="s">
        <v>45</v>
      </c>
      <c r="E75" s="6">
        <v>45337</v>
      </c>
      <c r="F75" s="6">
        <v>45341</v>
      </c>
      <c r="G75">
        <v>4</v>
      </c>
      <c r="H75" t="s">
        <v>57</v>
      </c>
      <c r="I75">
        <v>4</v>
      </c>
      <c r="J75" t="s">
        <v>71</v>
      </c>
      <c r="K75">
        <v>22273</v>
      </c>
      <c r="L75" t="s">
        <v>25</v>
      </c>
      <c r="M75" t="s">
        <v>54</v>
      </c>
      <c r="N75" t="s">
        <v>41</v>
      </c>
      <c r="O75" s="2">
        <v>45598</v>
      </c>
      <c r="P75" s="2">
        <v>45598.833333333336</v>
      </c>
      <c r="Q75" s="38">
        <f t="shared" si="1"/>
        <v>0.83333333333575865</v>
      </c>
      <c r="R75" t="s">
        <v>28</v>
      </c>
      <c r="S75" t="s">
        <v>29</v>
      </c>
      <c r="T75" t="s">
        <v>43</v>
      </c>
      <c r="U75">
        <v>10</v>
      </c>
      <c r="V75">
        <v>12</v>
      </c>
      <c r="W75" s="18">
        <f>IFERROR(Table1[[#This Row],[Staff Hours Worked]]/Table1[[#This Row],[Staff Available Hours]],0)</f>
        <v>0.83333333333333337</v>
      </c>
      <c r="X75" t="s">
        <v>31</v>
      </c>
    </row>
    <row r="76" spans="1:24">
      <c r="A76" t="s">
        <v>133</v>
      </c>
      <c r="B76">
        <v>34</v>
      </c>
      <c r="C76" t="str" cm="1">
        <f t="array" ref="C76">_xlfn.IFS(B76&lt;=18,"0-18",B76&lt;=35,"19-35",B76&lt;=50,"36-50",B76&lt;=65,"51-65","True","65+")</f>
        <v>19-35</v>
      </c>
      <c r="D76" t="s">
        <v>22</v>
      </c>
      <c r="E76" s="6">
        <v>44967</v>
      </c>
      <c r="F76" s="6">
        <v>45026</v>
      </c>
      <c r="G76">
        <v>2</v>
      </c>
      <c r="H76" t="s">
        <v>50</v>
      </c>
      <c r="I76">
        <v>4</v>
      </c>
      <c r="J76" t="s">
        <v>35</v>
      </c>
      <c r="K76">
        <v>30368</v>
      </c>
      <c r="L76" t="s">
        <v>60</v>
      </c>
      <c r="M76" t="s">
        <v>54</v>
      </c>
      <c r="N76" t="s">
        <v>41</v>
      </c>
      <c r="O76" s="2">
        <v>45197</v>
      </c>
      <c r="P76" s="2">
        <v>45198.208333333336</v>
      </c>
      <c r="Q76" s="38">
        <f t="shared" si="1"/>
        <v>1.2083333333357587</v>
      </c>
      <c r="R76" t="s">
        <v>42</v>
      </c>
      <c r="S76" t="s">
        <v>29</v>
      </c>
      <c r="T76" t="s">
        <v>30</v>
      </c>
      <c r="U76">
        <v>10</v>
      </c>
      <c r="V76">
        <v>12</v>
      </c>
      <c r="W76" s="18">
        <f>IFERROR(Table1[[#This Row],[Staff Hours Worked]]/Table1[[#This Row],[Staff Available Hours]],0)</f>
        <v>0.83333333333333337</v>
      </c>
      <c r="X76" t="s">
        <v>31</v>
      </c>
    </row>
    <row r="77" spans="1:24">
      <c r="A77" t="s">
        <v>134</v>
      </c>
      <c r="B77">
        <v>74</v>
      </c>
      <c r="C77" t="str" cm="1">
        <f t="array" ref="C77">_xlfn.IFS(B77&lt;=18,"0-18",B77&lt;=35,"19-35",B77&lt;=50,"36-50",B77&lt;=65,"51-65","True","65+")</f>
        <v>65+</v>
      </c>
      <c r="D77" t="s">
        <v>33</v>
      </c>
      <c r="E77" s="6">
        <v>45172</v>
      </c>
      <c r="F77" s="6">
        <v>45008</v>
      </c>
      <c r="G77">
        <v>14</v>
      </c>
      <c r="H77" t="s">
        <v>34</v>
      </c>
      <c r="I77">
        <v>1</v>
      </c>
      <c r="J77" t="s">
        <v>46</v>
      </c>
      <c r="K77">
        <v>16650</v>
      </c>
      <c r="L77" t="s">
        <v>53</v>
      </c>
      <c r="M77" t="s">
        <v>54</v>
      </c>
      <c r="N77" t="s">
        <v>41</v>
      </c>
      <c r="O77" s="2">
        <v>45110</v>
      </c>
      <c r="P77" s="2">
        <v>45141</v>
      </c>
      <c r="Q77" s="38">
        <f t="shared" si="1"/>
        <v>31</v>
      </c>
      <c r="R77" t="s">
        <v>55</v>
      </c>
      <c r="S77" t="s">
        <v>29</v>
      </c>
      <c r="T77" t="s">
        <v>43</v>
      </c>
      <c r="U77">
        <v>6</v>
      </c>
      <c r="V77">
        <v>12</v>
      </c>
      <c r="W77" s="18">
        <f>IFERROR(Table1[[#This Row],[Staff Hours Worked]]/Table1[[#This Row],[Staff Available Hours]],0)</f>
        <v>0.5</v>
      </c>
      <c r="X77" t="s">
        <v>31</v>
      </c>
    </row>
    <row r="78" spans="1:24">
      <c r="A78" t="s">
        <v>135</v>
      </c>
      <c r="B78">
        <v>62</v>
      </c>
      <c r="C78" t="str" cm="1">
        <f t="array" ref="C78">_xlfn.IFS(B78&lt;=18,"0-18",B78&lt;=35,"19-35",B78&lt;=50,"36-50",B78&lt;=65,"51-65","True","65+")</f>
        <v>51-65</v>
      </c>
      <c r="D78" t="s">
        <v>52</v>
      </c>
      <c r="E78" s="6">
        <v>45054</v>
      </c>
      <c r="F78" s="6">
        <v>45156</v>
      </c>
      <c r="G78">
        <v>13</v>
      </c>
      <c r="H78" t="s">
        <v>23</v>
      </c>
      <c r="I78">
        <v>5</v>
      </c>
      <c r="J78" t="s">
        <v>71</v>
      </c>
      <c r="K78">
        <v>35984</v>
      </c>
      <c r="L78" t="s">
        <v>67</v>
      </c>
      <c r="M78" t="s">
        <v>54</v>
      </c>
      <c r="N78" t="s">
        <v>41</v>
      </c>
      <c r="O78" s="2">
        <v>44965</v>
      </c>
      <c r="P78" s="2">
        <v>44965.75</v>
      </c>
      <c r="Q78" s="38">
        <f t="shared" si="1"/>
        <v>0.75</v>
      </c>
      <c r="R78" t="s">
        <v>64</v>
      </c>
      <c r="S78" t="s">
        <v>29</v>
      </c>
      <c r="T78" t="s">
        <v>30</v>
      </c>
      <c r="U78">
        <v>10</v>
      </c>
      <c r="V78">
        <v>8</v>
      </c>
      <c r="W78" s="18">
        <f>IFERROR(Table1[[#This Row],[Staff Hours Worked]]/Table1[[#This Row],[Staff Available Hours]],0)</f>
        <v>1.25</v>
      </c>
      <c r="X78" t="s">
        <v>48</v>
      </c>
    </row>
    <row r="79" spans="1:24">
      <c r="A79" t="s">
        <v>136</v>
      </c>
      <c r="B79">
        <v>14</v>
      </c>
      <c r="C79" t="str" cm="1">
        <f t="array" ref="C79">_xlfn.IFS(B79&lt;=18,"0-18",B79&lt;=35,"19-35",B79&lt;=50,"36-50",B79&lt;=65,"51-65","True","65+")</f>
        <v>0-18</v>
      </c>
      <c r="D79" t="s">
        <v>33</v>
      </c>
      <c r="E79" s="6">
        <v>45249</v>
      </c>
      <c r="F79" s="6">
        <v>45258</v>
      </c>
      <c r="G79">
        <v>9</v>
      </c>
      <c r="H79" t="s">
        <v>63</v>
      </c>
      <c r="I79">
        <v>1</v>
      </c>
      <c r="J79" t="s">
        <v>66</v>
      </c>
      <c r="K79">
        <v>46941</v>
      </c>
      <c r="L79" t="s">
        <v>36</v>
      </c>
      <c r="M79" t="s">
        <v>54</v>
      </c>
      <c r="N79" t="s">
        <v>27</v>
      </c>
      <c r="O79" s="2">
        <v>45245</v>
      </c>
      <c r="P79" s="2">
        <v>45245.291666666664</v>
      </c>
      <c r="Q79" s="38">
        <f t="shared" si="1"/>
        <v>0.29166666666424135</v>
      </c>
      <c r="R79" t="s">
        <v>42</v>
      </c>
      <c r="S79" t="s">
        <v>29</v>
      </c>
      <c r="T79" t="s">
        <v>43</v>
      </c>
      <c r="U79">
        <v>5</v>
      </c>
      <c r="V79">
        <v>12</v>
      </c>
      <c r="W79" s="18">
        <f>IFERROR(Table1[[#This Row],[Staff Hours Worked]]/Table1[[#This Row],[Staff Available Hours]],0)</f>
        <v>0.41666666666666669</v>
      </c>
      <c r="X79" t="s">
        <v>68</v>
      </c>
    </row>
    <row r="80" spans="1:24">
      <c r="A80" t="s">
        <v>137</v>
      </c>
      <c r="B80">
        <v>48</v>
      </c>
      <c r="C80" t="str" cm="1">
        <f t="array" ref="C80">_xlfn.IFS(B80&lt;=18,"0-18",B80&lt;=35,"19-35",B80&lt;=50,"36-50",B80&lt;=65,"51-65","True","65+")</f>
        <v>36-50</v>
      </c>
      <c r="D80" t="s">
        <v>41</v>
      </c>
      <c r="E80" s="6">
        <v>45085</v>
      </c>
      <c r="F80" s="6">
        <v>45207</v>
      </c>
      <c r="G80">
        <v>4</v>
      </c>
      <c r="H80" t="s">
        <v>23</v>
      </c>
      <c r="I80">
        <v>5</v>
      </c>
      <c r="J80" t="s">
        <v>46</v>
      </c>
      <c r="K80">
        <v>12382</v>
      </c>
      <c r="L80" t="s">
        <v>53</v>
      </c>
      <c r="M80" t="s">
        <v>54</v>
      </c>
      <c r="N80" t="s">
        <v>41</v>
      </c>
      <c r="O80" s="2">
        <v>45054</v>
      </c>
      <c r="P80" s="2">
        <v>45054.375</v>
      </c>
      <c r="Q80" s="38">
        <f t="shared" si="1"/>
        <v>0.375</v>
      </c>
      <c r="R80" t="s">
        <v>42</v>
      </c>
      <c r="S80" t="s">
        <v>29</v>
      </c>
      <c r="T80" t="s">
        <v>30</v>
      </c>
      <c r="U80">
        <v>6</v>
      </c>
      <c r="V80">
        <v>8</v>
      </c>
      <c r="W80" s="18">
        <f>IFERROR(Table1[[#This Row],[Staff Hours Worked]]/Table1[[#This Row],[Staff Available Hours]],0)</f>
        <v>0.75</v>
      </c>
      <c r="X80" t="s">
        <v>48</v>
      </c>
    </row>
    <row r="81" spans="1:24">
      <c r="A81" t="s">
        <v>138</v>
      </c>
      <c r="B81">
        <v>15</v>
      </c>
      <c r="C81" t="str" cm="1">
        <f t="array" ref="C81">_xlfn.IFS(B81&lt;=18,"0-18",B81&lt;=35,"19-35",B81&lt;=50,"36-50",B81&lt;=65,"51-65","True","65+")</f>
        <v>0-18</v>
      </c>
      <c r="D81" t="s">
        <v>33</v>
      </c>
      <c r="E81" s="6">
        <v>45438</v>
      </c>
      <c r="F81" s="6">
        <v>45418</v>
      </c>
      <c r="G81">
        <v>10</v>
      </c>
      <c r="H81" t="s">
        <v>50</v>
      </c>
      <c r="I81">
        <v>1</v>
      </c>
      <c r="J81" t="s">
        <v>71</v>
      </c>
      <c r="K81">
        <v>5801</v>
      </c>
      <c r="L81" t="s">
        <v>53</v>
      </c>
      <c r="M81" t="s">
        <v>26</v>
      </c>
      <c r="N81" t="s">
        <v>27</v>
      </c>
      <c r="O81" s="2">
        <v>45434</v>
      </c>
      <c r="P81" s="2">
        <v>45434.25</v>
      </c>
      <c r="Q81" s="38">
        <f t="shared" si="1"/>
        <v>0.25</v>
      </c>
      <c r="R81" t="s">
        <v>42</v>
      </c>
      <c r="S81" t="s">
        <v>29</v>
      </c>
      <c r="T81" t="s">
        <v>30</v>
      </c>
      <c r="U81">
        <v>10</v>
      </c>
      <c r="V81">
        <v>8</v>
      </c>
      <c r="W81" s="18">
        <f>IFERROR(Table1[[#This Row],[Staff Hours Worked]]/Table1[[#This Row],[Staff Available Hours]],0)</f>
        <v>1.25</v>
      </c>
      <c r="X81" t="s">
        <v>48</v>
      </c>
    </row>
    <row r="82" spans="1:24">
      <c r="A82" t="s">
        <v>139</v>
      </c>
      <c r="B82">
        <v>72</v>
      </c>
      <c r="C82" t="str" cm="1">
        <f t="array" ref="C82">_xlfn.IFS(B82&lt;=18,"0-18",B82&lt;=35,"19-35",B82&lt;=50,"36-50",B82&lt;=65,"51-65","True","65+")</f>
        <v>65+</v>
      </c>
      <c r="D82" t="s">
        <v>41</v>
      </c>
      <c r="E82" s="6">
        <v>45567</v>
      </c>
      <c r="F82" s="6">
        <v>45336</v>
      </c>
      <c r="G82">
        <v>4</v>
      </c>
      <c r="H82" t="s">
        <v>34</v>
      </c>
      <c r="I82">
        <v>2</v>
      </c>
      <c r="J82" t="s">
        <v>66</v>
      </c>
      <c r="K82">
        <v>46002</v>
      </c>
      <c r="L82" t="s">
        <v>60</v>
      </c>
      <c r="M82" t="s">
        <v>54</v>
      </c>
      <c r="N82" t="s">
        <v>27</v>
      </c>
      <c r="O82" s="2">
        <v>45567</v>
      </c>
      <c r="P82" s="2">
        <v>45567.5</v>
      </c>
      <c r="Q82" s="38">
        <f t="shared" si="1"/>
        <v>0.5</v>
      </c>
      <c r="R82" t="s">
        <v>55</v>
      </c>
      <c r="S82" t="s">
        <v>29</v>
      </c>
      <c r="T82" t="s">
        <v>30</v>
      </c>
      <c r="U82">
        <v>6</v>
      </c>
      <c r="V82">
        <v>10</v>
      </c>
      <c r="W82" s="18">
        <f>IFERROR(Table1[[#This Row],[Staff Hours Worked]]/Table1[[#This Row],[Staff Available Hours]],0)</f>
        <v>0.6</v>
      </c>
      <c r="X82" t="s">
        <v>48</v>
      </c>
    </row>
    <row r="83" spans="1:24">
      <c r="A83" t="s">
        <v>140</v>
      </c>
      <c r="B83">
        <v>78</v>
      </c>
      <c r="C83" t="str" cm="1">
        <f t="array" ref="C83">_xlfn.IFS(B83&lt;=18,"0-18",B83&lt;=35,"19-35",B83&lt;=50,"36-50",B83&lt;=65,"51-65","True","65+")</f>
        <v>65+</v>
      </c>
      <c r="D83" t="s">
        <v>22</v>
      </c>
      <c r="E83" s="6">
        <v>45396</v>
      </c>
      <c r="F83" s="6">
        <v>45410</v>
      </c>
      <c r="G83">
        <v>14</v>
      </c>
      <c r="H83" t="s">
        <v>63</v>
      </c>
      <c r="I83">
        <v>3</v>
      </c>
      <c r="J83" t="s">
        <v>35</v>
      </c>
      <c r="K83">
        <v>24733</v>
      </c>
      <c r="L83" t="s">
        <v>67</v>
      </c>
      <c r="M83" t="s">
        <v>26</v>
      </c>
      <c r="N83" t="s">
        <v>27</v>
      </c>
      <c r="O83" s="2">
        <v>45396</v>
      </c>
      <c r="P83" s="2">
        <v>45397.166666666664</v>
      </c>
      <c r="Q83" s="38">
        <f t="shared" si="1"/>
        <v>1.1666666666642413</v>
      </c>
      <c r="R83" t="s">
        <v>42</v>
      </c>
      <c r="S83" t="s">
        <v>29</v>
      </c>
      <c r="T83" t="s">
        <v>30</v>
      </c>
      <c r="U83">
        <v>9</v>
      </c>
      <c r="V83">
        <v>12</v>
      </c>
      <c r="W83" s="18">
        <f>IFERROR(Table1[[#This Row],[Staff Hours Worked]]/Table1[[#This Row],[Staff Available Hours]],0)</f>
        <v>0.75</v>
      </c>
      <c r="X83" t="s">
        <v>48</v>
      </c>
    </row>
    <row r="84" spans="1:24">
      <c r="A84" t="s">
        <v>141</v>
      </c>
      <c r="B84">
        <v>87</v>
      </c>
      <c r="C84" t="str" cm="1">
        <f t="array" ref="C84">_xlfn.IFS(B84&lt;=18,"0-18",B84&lt;=35,"19-35",B84&lt;=50,"36-50",B84&lt;=65,"51-65","True","65+")</f>
        <v>65+</v>
      </c>
      <c r="D84" t="s">
        <v>52</v>
      </c>
      <c r="E84" s="6">
        <v>45073</v>
      </c>
      <c r="F84" s="6">
        <v>45205</v>
      </c>
      <c r="G84">
        <v>14</v>
      </c>
      <c r="H84" t="s">
        <v>40</v>
      </c>
      <c r="I84">
        <v>3</v>
      </c>
      <c r="J84" t="s">
        <v>71</v>
      </c>
      <c r="K84">
        <v>14969</v>
      </c>
      <c r="L84" t="s">
        <v>25</v>
      </c>
      <c r="M84" t="s">
        <v>54</v>
      </c>
      <c r="N84" t="s">
        <v>27</v>
      </c>
      <c r="O84" s="2">
        <v>45071</v>
      </c>
      <c r="P84" s="2">
        <v>45072.208333333336</v>
      </c>
      <c r="Q84" s="38">
        <f t="shared" si="1"/>
        <v>1.2083333333357587</v>
      </c>
      <c r="R84" t="s">
        <v>55</v>
      </c>
      <c r="S84" t="s">
        <v>29</v>
      </c>
      <c r="T84" t="s">
        <v>47</v>
      </c>
      <c r="U84">
        <v>6</v>
      </c>
      <c r="V84">
        <v>8</v>
      </c>
      <c r="W84" s="18">
        <f>IFERROR(Table1[[#This Row],[Staff Hours Worked]]/Table1[[#This Row],[Staff Available Hours]],0)</f>
        <v>0.75</v>
      </c>
      <c r="X84" t="s">
        <v>68</v>
      </c>
    </row>
    <row r="85" spans="1:24">
      <c r="A85" t="s">
        <v>142</v>
      </c>
      <c r="B85">
        <v>62</v>
      </c>
      <c r="C85" t="str" cm="1">
        <f t="array" ref="C85">_xlfn.IFS(B85&lt;=18,"0-18",B85&lt;=35,"19-35",B85&lt;=50,"36-50",B85&lt;=65,"51-65","True","65+")</f>
        <v>51-65</v>
      </c>
      <c r="D85" t="s">
        <v>22</v>
      </c>
      <c r="E85" s="6">
        <v>45198</v>
      </c>
      <c r="F85" s="6">
        <v>44995</v>
      </c>
      <c r="G85">
        <v>4</v>
      </c>
      <c r="H85" t="s">
        <v>34</v>
      </c>
      <c r="I85">
        <v>4</v>
      </c>
      <c r="J85" t="s">
        <v>66</v>
      </c>
      <c r="K85">
        <v>40969</v>
      </c>
      <c r="L85" t="s">
        <v>36</v>
      </c>
      <c r="M85" t="s">
        <v>26</v>
      </c>
      <c r="N85" t="s">
        <v>41</v>
      </c>
      <c r="O85" s="2">
        <v>45195</v>
      </c>
      <c r="P85" s="2">
        <v>45196.5</v>
      </c>
      <c r="Q85" s="38">
        <f t="shared" si="1"/>
        <v>1.5</v>
      </c>
      <c r="R85" t="s">
        <v>55</v>
      </c>
      <c r="S85" t="s">
        <v>29</v>
      </c>
      <c r="T85" t="s">
        <v>30</v>
      </c>
      <c r="U85">
        <v>5</v>
      </c>
      <c r="V85">
        <v>12</v>
      </c>
      <c r="W85" s="18">
        <f>IFERROR(Table1[[#This Row],[Staff Hours Worked]]/Table1[[#This Row],[Staff Available Hours]],0)</f>
        <v>0.41666666666666669</v>
      </c>
      <c r="X85" t="s">
        <v>48</v>
      </c>
    </row>
    <row r="86" spans="1:24">
      <c r="A86" t="s">
        <v>143</v>
      </c>
      <c r="B86">
        <v>40</v>
      </c>
      <c r="C86" t="str" cm="1">
        <f t="array" ref="C86">_xlfn.IFS(B86&lt;=18,"0-18",B86&lt;=35,"19-35",B86&lt;=50,"36-50",B86&lt;=65,"51-65","True","65+")</f>
        <v>36-50</v>
      </c>
      <c r="D86" t="s">
        <v>62</v>
      </c>
      <c r="E86" s="6">
        <v>45069</v>
      </c>
      <c r="F86" s="6">
        <v>45075</v>
      </c>
      <c r="G86">
        <v>6</v>
      </c>
      <c r="H86" t="s">
        <v>57</v>
      </c>
      <c r="I86">
        <v>2</v>
      </c>
      <c r="J86" t="s">
        <v>35</v>
      </c>
      <c r="K86">
        <v>21733</v>
      </c>
      <c r="L86" t="s">
        <v>67</v>
      </c>
      <c r="M86" t="s">
        <v>54</v>
      </c>
      <c r="N86" t="s">
        <v>27</v>
      </c>
      <c r="O86" s="2">
        <v>45064</v>
      </c>
      <c r="P86" s="2">
        <v>45065.5</v>
      </c>
      <c r="Q86" s="38">
        <f t="shared" si="1"/>
        <v>1.5</v>
      </c>
      <c r="R86" t="s">
        <v>64</v>
      </c>
      <c r="S86" t="s">
        <v>29</v>
      </c>
      <c r="T86" t="s">
        <v>43</v>
      </c>
      <c r="U86">
        <v>4</v>
      </c>
      <c r="V86">
        <v>10</v>
      </c>
      <c r="W86" s="18">
        <f>IFERROR(Table1[[#This Row],[Staff Hours Worked]]/Table1[[#This Row],[Staff Available Hours]],0)</f>
        <v>0.4</v>
      </c>
      <c r="X86" t="s">
        <v>31</v>
      </c>
    </row>
    <row r="87" spans="1:24">
      <c r="A87" t="s">
        <v>144</v>
      </c>
      <c r="B87">
        <v>85</v>
      </c>
      <c r="C87" t="str" cm="1">
        <f t="array" ref="C87">_xlfn.IFS(B87&lt;=18,"0-18",B87&lt;=35,"19-35",B87&lt;=50,"36-50",B87&lt;=65,"51-65","True","65+")</f>
        <v>65+</v>
      </c>
      <c r="D87" t="s">
        <v>22</v>
      </c>
      <c r="E87" s="6">
        <v>45208</v>
      </c>
      <c r="F87" s="6">
        <v>45192</v>
      </c>
      <c r="G87">
        <v>13</v>
      </c>
      <c r="H87" t="s">
        <v>50</v>
      </c>
      <c r="I87">
        <v>3</v>
      </c>
      <c r="J87" t="s">
        <v>46</v>
      </c>
      <c r="K87">
        <v>37449</v>
      </c>
      <c r="L87" t="s">
        <v>36</v>
      </c>
      <c r="M87" t="s">
        <v>26</v>
      </c>
      <c r="N87" t="s">
        <v>27</v>
      </c>
      <c r="O87" s="2">
        <v>45055</v>
      </c>
      <c r="P87" s="2">
        <v>45086.375</v>
      </c>
      <c r="Q87" s="38">
        <f t="shared" si="1"/>
        <v>31.375</v>
      </c>
      <c r="R87" t="s">
        <v>28</v>
      </c>
      <c r="S87" t="s">
        <v>29</v>
      </c>
      <c r="T87" t="s">
        <v>47</v>
      </c>
      <c r="U87">
        <v>6</v>
      </c>
      <c r="V87">
        <v>10</v>
      </c>
      <c r="W87" s="18">
        <f>IFERROR(Table1[[#This Row],[Staff Hours Worked]]/Table1[[#This Row],[Staff Available Hours]],0)</f>
        <v>0.6</v>
      </c>
      <c r="X87" t="s">
        <v>48</v>
      </c>
    </row>
    <row r="88" spans="1:24">
      <c r="A88" t="s">
        <v>145</v>
      </c>
      <c r="B88">
        <v>80</v>
      </c>
      <c r="C88" t="str" cm="1">
        <f t="array" ref="C88">_xlfn.IFS(B88&lt;=18,"0-18",B88&lt;=35,"19-35",B88&lt;=50,"36-50",B88&lt;=65,"51-65","True","65+")</f>
        <v>65+</v>
      </c>
      <c r="D88" t="s">
        <v>41</v>
      </c>
      <c r="E88" s="6">
        <v>45196</v>
      </c>
      <c r="F88" s="6">
        <v>45199</v>
      </c>
      <c r="G88">
        <v>3</v>
      </c>
      <c r="H88" t="s">
        <v>34</v>
      </c>
      <c r="I88">
        <v>4</v>
      </c>
      <c r="J88" t="s">
        <v>46</v>
      </c>
      <c r="K88">
        <v>31143</v>
      </c>
      <c r="L88" t="s">
        <v>53</v>
      </c>
      <c r="M88" t="s">
        <v>54</v>
      </c>
      <c r="N88" t="s">
        <v>41</v>
      </c>
      <c r="O88" s="2">
        <v>45193</v>
      </c>
      <c r="P88" s="2">
        <v>45194.125</v>
      </c>
      <c r="Q88" s="38">
        <f t="shared" si="1"/>
        <v>1.125</v>
      </c>
      <c r="R88" t="s">
        <v>55</v>
      </c>
      <c r="S88" t="s">
        <v>29</v>
      </c>
      <c r="T88" t="s">
        <v>47</v>
      </c>
      <c r="U88">
        <v>7</v>
      </c>
      <c r="V88">
        <v>8</v>
      </c>
      <c r="W88" s="18">
        <f>IFERROR(Table1[[#This Row],[Staff Hours Worked]]/Table1[[#This Row],[Staff Available Hours]],0)</f>
        <v>0.875</v>
      </c>
      <c r="X88" t="s">
        <v>48</v>
      </c>
    </row>
    <row r="89" spans="1:24">
      <c r="A89" t="s">
        <v>146</v>
      </c>
      <c r="B89">
        <v>82</v>
      </c>
      <c r="C89" t="str" cm="1">
        <f t="array" ref="C89">_xlfn.IFS(B89&lt;=18,"0-18",B89&lt;=35,"19-35",B89&lt;=50,"36-50",B89&lt;=65,"51-65","True","65+")</f>
        <v>65+</v>
      </c>
      <c r="D89" t="s">
        <v>22</v>
      </c>
      <c r="E89" s="6">
        <v>45365</v>
      </c>
      <c r="F89" s="6">
        <v>45378</v>
      </c>
      <c r="G89">
        <v>13</v>
      </c>
      <c r="H89" t="s">
        <v>34</v>
      </c>
      <c r="I89">
        <v>2</v>
      </c>
      <c r="J89" t="s">
        <v>46</v>
      </c>
      <c r="K89">
        <v>30705</v>
      </c>
      <c r="L89" t="s">
        <v>60</v>
      </c>
      <c r="M89" t="s">
        <v>54</v>
      </c>
      <c r="N89" t="s">
        <v>41</v>
      </c>
      <c r="O89" s="2">
        <v>45568</v>
      </c>
      <c r="P89" s="2">
        <v>45568.291666666664</v>
      </c>
      <c r="Q89" s="38">
        <f t="shared" si="1"/>
        <v>0.29166666666424135</v>
      </c>
      <c r="R89" t="s">
        <v>37</v>
      </c>
      <c r="S89" t="s">
        <v>29</v>
      </c>
      <c r="T89" t="s">
        <v>30</v>
      </c>
      <c r="U89">
        <v>5</v>
      </c>
      <c r="V89">
        <v>10</v>
      </c>
      <c r="W89" s="18">
        <f>IFERROR(Table1[[#This Row],[Staff Hours Worked]]/Table1[[#This Row],[Staff Available Hours]],0)</f>
        <v>0.5</v>
      </c>
      <c r="X89" t="s">
        <v>68</v>
      </c>
    </row>
    <row r="90" spans="1:24">
      <c r="A90" t="s">
        <v>147</v>
      </c>
      <c r="B90">
        <v>53</v>
      </c>
      <c r="C90" t="str" cm="1">
        <f t="array" ref="C90">_xlfn.IFS(B90&lt;=18,"0-18",B90&lt;=35,"19-35",B90&lt;=50,"36-50",B90&lt;=65,"51-65","True","65+")</f>
        <v>51-65</v>
      </c>
      <c r="D90" t="s">
        <v>22</v>
      </c>
      <c r="E90" s="6">
        <v>45335</v>
      </c>
      <c r="F90" s="6">
        <v>45350</v>
      </c>
      <c r="G90">
        <v>15</v>
      </c>
      <c r="H90" t="s">
        <v>57</v>
      </c>
      <c r="I90">
        <v>3</v>
      </c>
      <c r="J90" t="s">
        <v>46</v>
      </c>
      <c r="K90">
        <v>33363</v>
      </c>
      <c r="L90" t="s">
        <v>60</v>
      </c>
      <c r="M90" t="s">
        <v>54</v>
      </c>
      <c r="N90" t="s">
        <v>27</v>
      </c>
      <c r="O90" s="2">
        <v>45567</v>
      </c>
      <c r="P90" s="2">
        <v>45567.083333333336</v>
      </c>
      <c r="Q90" s="38">
        <f t="shared" si="1"/>
        <v>8.3333333335758653E-2</v>
      </c>
      <c r="R90" t="s">
        <v>42</v>
      </c>
      <c r="S90" t="s">
        <v>29</v>
      </c>
      <c r="T90" t="s">
        <v>43</v>
      </c>
      <c r="U90">
        <v>8</v>
      </c>
      <c r="V90">
        <v>10</v>
      </c>
      <c r="W90" s="18">
        <f>IFERROR(Table1[[#This Row],[Staff Hours Worked]]/Table1[[#This Row],[Staff Available Hours]],0)</f>
        <v>0.8</v>
      </c>
      <c r="X90" t="s">
        <v>68</v>
      </c>
    </row>
    <row r="91" spans="1:24">
      <c r="A91" t="s">
        <v>148</v>
      </c>
      <c r="B91">
        <v>24</v>
      </c>
      <c r="C91" t="str" cm="1">
        <f t="array" ref="C91">_xlfn.IFS(B91&lt;=18,"0-18",B91&lt;=35,"19-35",B91&lt;=50,"36-50",B91&lt;=65,"51-65","True","65+")</f>
        <v>19-35</v>
      </c>
      <c r="D91" t="s">
        <v>52</v>
      </c>
      <c r="E91" s="6">
        <v>45444</v>
      </c>
      <c r="F91" s="6">
        <v>45307</v>
      </c>
      <c r="G91">
        <v>10</v>
      </c>
      <c r="H91" t="s">
        <v>63</v>
      </c>
      <c r="I91">
        <v>1</v>
      </c>
      <c r="J91" t="s">
        <v>24</v>
      </c>
      <c r="K91">
        <v>35720</v>
      </c>
      <c r="L91" t="s">
        <v>25</v>
      </c>
      <c r="M91" t="s">
        <v>26</v>
      </c>
      <c r="N91" t="s">
        <v>27</v>
      </c>
      <c r="O91" s="2">
        <v>45352</v>
      </c>
      <c r="P91" s="2">
        <v>45352.25</v>
      </c>
      <c r="Q91" s="38">
        <f t="shared" si="1"/>
        <v>0.25</v>
      </c>
      <c r="R91" t="s">
        <v>37</v>
      </c>
      <c r="S91" t="s">
        <v>29</v>
      </c>
      <c r="T91" t="s">
        <v>43</v>
      </c>
      <c r="U91">
        <v>9</v>
      </c>
      <c r="V91">
        <v>10</v>
      </c>
      <c r="W91" s="18">
        <f>IFERROR(Table1[[#This Row],[Staff Hours Worked]]/Table1[[#This Row],[Staff Available Hours]],0)</f>
        <v>0.9</v>
      </c>
      <c r="X91" t="s">
        <v>31</v>
      </c>
    </row>
    <row r="92" spans="1:24">
      <c r="A92" t="s">
        <v>149</v>
      </c>
      <c r="B92">
        <v>26</v>
      </c>
      <c r="C92" t="str" cm="1">
        <f t="array" ref="C92">_xlfn.IFS(B92&lt;=18,"0-18",B92&lt;=35,"19-35",B92&lt;=50,"36-50",B92&lt;=65,"51-65","True","65+")</f>
        <v>19-35</v>
      </c>
      <c r="D92" t="s">
        <v>22</v>
      </c>
      <c r="E92" s="6">
        <v>45151</v>
      </c>
      <c r="F92" s="6">
        <v>45152</v>
      </c>
      <c r="G92">
        <v>1</v>
      </c>
      <c r="H92" t="s">
        <v>40</v>
      </c>
      <c r="I92">
        <v>5</v>
      </c>
      <c r="J92" t="s">
        <v>71</v>
      </c>
      <c r="K92">
        <v>14972</v>
      </c>
      <c r="L92" t="s">
        <v>60</v>
      </c>
      <c r="M92" t="s">
        <v>54</v>
      </c>
      <c r="N92" t="s">
        <v>27</v>
      </c>
      <c r="O92" s="2">
        <v>45177</v>
      </c>
      <c r="P92" s="2">
        <v>45177.958333333336</v>
      </c>
      <c r="Q92" s="38">
        <f t="shared" si="1"/>
        <v>0.95833333333575865</v>
      </c>
      <c r="R92" t="s">
        <v>42</v>
      </c>
      <c r="S92" t="s">
        <v>29</v>
      </c>
      <c r="T92" t="s">
        <v>47</v>
      </c>
      <c r="U92">
        <v>5</v>
      </c>
      <c r="V92">
        <v>12</v>
      </c>
      <c r="W92" s="18">
        <f>IFERROR(Table1[[#This Row],[Staff Hours Worked]]/Table1[[#This Row],[Staff Available Hours]],0)</f>
        <v>0.41666666666666669</v>
      </c>
      <c r="X92" t="s">
        <v>48</v>
      </c>
    </row>
    <row r="93" spans="1:24">
      <c r="A93" t="s">
        <v>150</v>
      </c>
      <c r="B93">
        <v>89</v>
      </c>
      <c r="C93" t="str" cm="1">
        <f t="array" ref="C93">_xlfn.IFS(B93&lt;=18,"0-18",B93&lt;=35,"19-35",B93&lt;=50,"36-50",B93&lt;=65,"51-65","True","65+")</f>
        <v>65+</v>
      </c>
      <c r="D93" t="s">
        <v>52</v>
      </c>
      <c r="E93" s="6">
        <v>45068</v>
      </c>
      <c r="F93" s="6">
        <v>45073</v>
      </c>
      <c r="G93">
        <v>5</v>
      </c>
      <c r="H93" t="s">
        <v>57</v>
      </c>
      <c r="I93">
        <v>2</v>
      </c>
      <c r="J93" t="s">
        <v>71</v>
      </c>
      <c r="K93">
        <v>38351</v>
      </c>
      <c r="L93" t="s">
        <v>53</v>
      </c>
      <c r="M93" t="s">
        <v>54</v>
      </c>
      <c r="N93" t="s">
        <v>27</v>
      </c>
      <c r="O93" s="2">
        <v>45068</v>
      </c>
      <c r="P93" s="2">
        <v>45069.5</v>
      </c>
      <c r="Q93" s="38">
        <f t="shared" si="1"/>
        <v>1.5</v>
      </c>
      <c r="R93" t="s">
        <v>64</v>
      </c>
      <c r="S93" t="s">
        <v>29</v>
      </c>
      <c r="T93" t="s">
        <v>43</v>
      </c>
      <c r="U93">
        <v>4</v>
      </c>
      <c r="V93">
        <v>12</v>
      </c>
      <c r="W93" s="18">
        <f>IFERROR(Table1[[#This Row],[Staff Hours Worked]]/Table1[[#This Row],[Staff Available Hours]],0)</f>
        <v>0.33333333333333331</v>
      </c>
      <c r="X93" t="s">
        <v>48</v>
      </c>
    </row>
    <row r="94" spans="1:24">
      <c r="A94" t="s">
        <v>151</v>
      </c>
      <c r="B94">
        <v>60</v>
      </c>
      <c r="C94" t="str" cm="1">
        <f t="array" ref="C94">_xlfn.IFS(B94&lt;=18,"0-18",B94&lt;=35,"19-35",B94&lt;=50,"36-50",B94&lt;=65,"51-65","True","65+")</f>
        <v>51-65</v>
      </c>
      <c r="D94" t="s">
        <v>45</v>
      </c>
      <c r="E94" s="6">
        <v>45418</v>
      </c>
      <c r="F94" s="6">
        <v>45462</v>
      </c>
      <c r="G94">
        <v>14</v>
      </c>
      <c r="H94" t="s">
        <v>40</v>
      </c>
      <c r="I94">
        <v>4</v>
      </c>
      <c r="J94" t="s">
        <v>24</v>
      </c>
      <c r="K94">
        <v>41145</v>
      </c>
      <c r="L94" t="s">
        <v>25</v>
      </c>
      <c r="M94" t="s">
        <v>26</v>
      </c>
      <c r="N94" t="s">
        <v>27</v>
      </c>
      <c r="O94" s="2">
        <v>45388</v>
      </c>
      <c r="P94" s="2">
        <v>45388.25</v>
      </c>
      <c r="Q94" s="38">
        <f t="shared" si="1"/>
        <v>0.25</v>
      </c>
      <c r="R94" t="s">
        <v>55</v>
      </c>
      <c r="S94" t="s">
        <v>29</v>
      </c>
      <c r="T94" t="s">
        <v>30</v>
      </c>
      <c r="U94">
        <v>10</v>
      </c>
      <c r="V94">
        <v>8</v>
      </c>
      <c r="W94" s="18">
        <f>IFERROR(Table1[[#This Row],[Staff Hours Worked]]/Table1[[#This Row],[Staff Available Hours]],0)</f>
        <v>1.25</v>
      </c>
      <c r="X94" t="s">
        <v>48</v>
      </c>
    </row>
    <row r="95" spans="1:24">
      <c r="A95" t="s">
        <v>152</v>
      </c>
      <c r="B95">
        <v>41</v>
      </c>
      <c r="C95" t="str" cm="1">
        <f t="array" ref="C95">_xlfn.IFS(B95&lt;=18,"0-18",B95&lt;=35,"19-35",B95&lt;=50,"36-50",B95&lt;=65,"51-65","True","65+")</f>
        <v>36-50</v>
      </c>
      <c r="D95" t="s">
        <v>62</v>
      </c>
      <c r="E95" s="6">
        <v>45432</v>
      </c>
      <c r="F95" s="6">
        <v>45435</v>
      </c>
      <c r="G95">
        <v>3</v>
      </c>
      <c r="H95" t="s">
        <v>63</v>
      </c>
      <c r="I95">
        <v>2</v>
      </c>
      <c r="J95" t="s">
        <v>66</v>
      </c>
      <c r="K95">
        <v>27412</v>
      </c>
      <c r="L95" t="s">
        <v>67</v>
      </c>
      <c r="M95" t="s">
        <v>54</v>
      </c>
      <c r="N95" t="s">
        <v>41</v>
      </c>
      <c r="O95" s="2">
        <v>45430</v>
      </c>
      <c r="P95" s="2">
        <v>45431.625</v>
      </c>
      <c r="Q95" s="38">
        <f t="shared" si="1"/>
        <v>1.625</v>
      </c>
      <c r="R95" t="s">
        <v>28</v>
      </c>
      <c r="S95" t="s">
        <v>38</v>
      </c>
      <c r="T95" t="s">
        <v>30</v>
      </c>
      <c r="U95">
        <v>10</v>
      </c>
      <c r="V95">
        <v>8</v>
      </c>
      <c r="W95" s="18">
        <f>IFERROR(Table1[[#This Row],[Staff Hours Worked]]/Table1[[#This Row],[Staff Available Hours]],0)</f>
        <v>1.25</v>
      </c>
      <c r="X95" t="s">
        <v>31</v>
      </c>
    </row>
    <row r="96" spans="1:24">
      <c r="A96" t="s">
        <v>153</v>
      </c>
      <c r="B96">
        <v>29</v>
      </c>
      <c r="C96" t="str" cm="1">
        <f t="array" ref="C96">_xlfn.IFS(B96&lt;=18,"0-18",B96&lt;=35,"19-35",B96&lt;=50,"36-50",B96&lt;=65,"51-65","True","65+")</f>
        <v>19-35</v>
      </c>
      <c r="D96" t="s">
        <v>52</v>
      </c>
      <c r="E96" s="6">
        <v>45020</v>
      </c>
      <c r="F96" s="6">
        <v>45111</v>
      </c>
      <c r="G96">
        <v>3</v>
      </c>
      <c r="H96" t="s">
        <v>34</v>
      </c>
      <c r="I96">
        <v>4</v>
      </c>
      <c r="J96" t="s">
        <v>66</v>
      </c>
      <c r="K96">
        <v>29078</v>
      </c>
      <c r="L96" t="s">
        <v>60</v>
      </c>
      <c r="M96" t="s">
        <v>26</v>
      </c>
      <c r="N96" t="s">
        <v>27</v>
      </c>
      <c r="O96" s="2">
        <v>45015</v>
      </c>
      <c r="P96" s="2">
        <v>45016.625</v>
      </c>
      <c r="Q96" s="38">
        <f t="shared" si="1"/>
        <v>1.625</v>
      </c>
      <c r="R96" t="s">
        <v>55</v>
      </c>
      <c r="S96" t="s">
        <v>29</v>
      </c>
      <c r="T96" t="s">
        <v>30</v>
      </c>
      <c r="U96">
        <v>5</v>
      </c>
      <c r="V96">
        <v>10</v>
      </c>
      <c r="W96" s="18">
        <f>IFERROR(Table1[[#This Row],[Staff Hours Worked]]/Table1[[#This Row],[Staff Available Hours]],0)</f>
        <v>0.5</v>
      </c>
      <c r="X96" t="s">
        <v>68</v>
      </c>
    </row>
    <row r="97" spans="1:24">
      <c r="A97" t="s">
        <v>154</v>
      </c>
      <c r="B97">
        <v>15</v>
      </c>
      <c r="C97" t="str" cm="1">
        <f t="array" ref="C97">_xlfn.IFS(B97&lt;=18,"0-18",B97&lt;=35,"19-35",B97&lt;=50,"36-50",B97&lt;=65,"51-65","True","65+")</f>
        <v>0-18</v>
      </c>
      <c r="D97" t="s">
        <v>41</v>
      </c>
      <c r="E97" s="6">
        <v>44975</v>
      </c>
      <c r="F97" s="6">
        <v>44984</v>
      </c>
      <c r="G97">
        <v>9</v>
      </c>
      <c r="H97" t="s">
        <v>40</v>
      </c>
      <c r="I97">
        <v>2</v>
      </c>
      <c r="J97" t="s">
        <v>46</v>
      </c>
      <c r="K97">
        <v>27580</v>
      </c>
      <c r="L97" t="s">
        <v>25</v>
      </c>
      <c r="M97" t="s">
        <v>26</v>
      </c>
      <c r="N97" t="s">
        <v>41</v>
      </c>
      <c r="O97" s="2">
        <v>44975</v>
      </c>
      <c r="P97" s="2">
        <v>44975.875</v>
      </c>
      <c r="Q97" s="38">
        <f t="shared" si="1"/>
        <v>0.875</v>
      </c>
      <c r="R97" t="s">
        <v>42</v>
      </c>
      <c r="S97" t="s">
        <v>29</v>
      </c>
      <c r="T97" t="s">
        <v>30</v>
      </c>
      <c r="U97">
        <v>8</v>
      </c>
      <c r="V97">
        <v>10</v>
      </c>
      <c r="W97" s="18">
        <f>IFERROR(Table1[[#This Row],[Staff Hours Worked]]/Table1[[#This Row],[Staff Available Hours]],0)</f>
        <v>0.8</v>
      </c>
      <c r="X97" t="s">
        <v>31</v>
      </c>
    </row>
    <row r="98" spans="1:24">
      <c r="A98" t="s">
        <v>155</v>
      </c>
      <c r="B98">
        <v>45</v>
      </c>
      <c r="C98" t="str" cm="1">
        <f t="array" ref="C98">_xlfn.IFS(B98&lt;=18,"0-18",B98&lt;=35,"19-35",B98&lt;=50,"36-50",B98&lt;=65,"51-65","True","65+")</f>
        <v>36-50</v>
      </c>
      <c r="D98" t="s">
        <v>45</v>
      </c>
      <c r="E98" s="6">
        <v>45039</v>
      </c>
      <c r="F98" s="6">
        <v>45044</v>
      </c>
      <c r="G98">
        <v>5</v>
      </c>
      <c r="H98" t="s">
        <v>50</v>
      </c>
      <c r="I98">
        <v>4</v>
      </c>
      <c r="J98" t="s">
        <v>35</v>
      </c>
      <c r="K98">
        <v>19855</v>
      </c>
      <c r="L98" t="s">
        <v>53</v>
      </c>
      <c r="M98" t="s">
        <v>26</v>
      </c>
      <c r="N98" t="s">
        <v>41</v>
      </c>
      <c r="O98" s="2">
        <v>45036</v>
      </c>
      <c r="P98" s="2">
        <v>45037.041666666664</v>
      </c>
      <c r="Q98" s="38">
        <f t="shared" si="1"/>
        <v>1.0416666666642413</v>
      </c>
      <c r="R98" t="s">
        <v>28</v>
      </c>
      <c r="S98" t="s">
        <v>29</v>
      </c>
      <c r="T98" t="s">
        <v>30</v>
      </c>
      <c r="U98">
        <v>10</v>
      </c>
      <c r="V98">
        <v>8</v>
      </c>
      <c r="W98" s="18">
        <f>IFERROR(Table1[[#This Row],[Staff Hours Worked]]/Table1[[#This Row],[Staff Available Hours]],0)</f>
        <v>1.25</v>
      </c>
      <c r="X98" t="s">
        <v>48</v>
      </c>
    </row>
    <row r="99" spans="1:24">
      <c r="A99" t="s">
        <v>156</v>
      </c>
      <c r="B99">
        <v>65</v>
      </c>
      <c r="C99" t="str" cm="1">
        <f t="array" ref="C99">_xlfn.IFS(B99&lt;=18,"0-18",B99&lt;=35,"19-35",B99&lt;=50,"36-50",B99&lt;=65,"51-65","True","65+")</f>
        <v>51-65</v>
      </c>
      <c r="D99" t="s">
        <v>52</v>
      </c>
      <c r="E99" s="6">
        <v>45083</v>
      </c>
      <c r="F99" s="6">
        <v>45096</v>
      </c>
      <c r="G99">
        <v>13</v>
      </c>
      <c r="H99" t="s">
        <v>50</v>
      </c>
      <c r="I99">
        <v>3</v>
      </c>
      <c r="J99" t="s">
        <v>66</v>
      </c>
      <c r="K99">
        <v>41169</v>
      </c>
      <c r="L99" t="s">
        <v>36</v>
      </c>
      <c r="M99" t="s">
        <v>54</v>
      </c>
      <c r="N99" t="s">
        <v>27</v>
      </c>
      <c r="O99" s="2">
        <v>44991</v>
      </c>
      <c r="P99" s="2">
        <v>44991.041666666664</v>
      </c>
      <c r="Q99" s="38">
        <f t="shared" si="1"/>
        <v>4.1666666664241347E-2</v>
      </c>
      <c r="R99" t="s">
        <v>55</v>
      </c>
      <c r="S99" t="s">
        <v>38</v>
      </c>
      <c r="T99" t="s">
        <v>47</v>
      </c>
      <c r="U99">
        <v>9</v>
      </c>
      <c r="V99">
        <v>10</v>
      </c>
      <c r="W99" s="18">
        <f>IFERROR(Table1[[#This Row],[Staff Hours Worked]]/Table1[[#This Row],[Staff Available Hours]],0)</f>
        <v>0.9</v>
      </c>
      <c r="X99" t="s">
        <v>68</v>
      </c>
    </row>
    <row r="100" spans="1:24">
      <c r="A100" t="s">
        <v>157</v>
      </c>
      <c r="B100">
        <v>89</v>
      </c>
      <c r="C100" t="str" cm="1">
        <f t="array" ref="C100">_xlfn.IFS(B100&lt;=18,"0-18",B100&lt;=35,"19-35",B100&lt;=50,"36-50",B100&lt;=65,"51-65","True","65+")</f>
        <v>65+</v>
      </c>
      <c r="D100" t="s">
        <v>52</v>
      </c>
      <c r="E100" s="6">
        <v>45090</v>
      </c>
      <c r="F100" s="6">
        <v>45093</v>
      </c>
      <c r="G100">
        <v>3</v>
      </c>
      <c r="H100" t="s">
        <v>57</v>
      </c>
      <c r="I100">
        <v>1</v>
      </c>
      <c r="J100" t="s">
        <v>35</v>
      </c>
      <c r="K100">
        <v>24569</v>
      </c>
      <c r="L100" t="s">
        <v>36</v>
      </c>
      <c r="M100" t="s">
        <v>54</v>
      </c>
      <c r="N100" t="s">
        <v>27</v>
      </c>
      <c r="O100" s="2">
        <v>45144</v>
      </c>
      <c r="P100" s="2">
        <v>45144.791666666664</v>
      </c>
      <c r="Q100" s="38">
        <f t="shared" si="1"/>
        <v>0.79166666666424135</v>
      </c>
      <c r="R100" t="s">
        <v>28</v>
      </c>
      <c r="S100" t="s">
        <v>38</v>
      </c>
      <c r="T100" t="s">
        <v>30</v>
      </c>
      <c r="U100">
        <v>7</v>
      </c>
      <c r="V100">
        <v>8</v>
      </c>
      <c r="W100" s="18">
        <f>IFERROR(Table1[[#This Row],[Staff Hours Worked]]/Table1[[#This Row],[Staff Available Hours]],0)</f>
        <v>0.875</v>
      </c>
      <c r="X100" t="s">
        <v>68</v>
      </c>
    </row>
    <row r="101" spans="1:24">
      <c r="A101" t="s">
        <v>158</v>
      </c>
      <c r="B101">
        <v>71</v>
      </c>
      <c r="C101" t="str" cm="1">
        <f t="array" ref="C101">_xlfn.IFS(B101&lt;=18,"0-18",B101&lt;=35,"19-35",B101&lt;=50,"36-50",B101&lt;=65,"51-65","True","65+")</f>
        <v>65+</v>
      </c>
      <c r="D101" t="s">
        <v>62</v>
      </c>
      <c r="E101" s="6">
        <v>45507</v>
      </c>
      <c r="F101" s="6">
        <v>45568</v>
      </c>
      <c r="G101">
        <v>2</v>
      </c>
      <c r="H101" t="s">
        <v>63</v>
      </c>
      <c r="I101">
        <v>3</v>
      </c>
      <c r="J101" t="s">
        <v>71</v>
      </c>
      <c r="K101">
        <v>30738</v>
      </c>
      <c r="L101" t="s">
        <v>53</v>
      </c>
      <c r="M101" t="s">
        <v>54</v>
      </c>
      <c r="N101" t="s">
        <v>27</v>
      </c>
      <c r="O101" s="2">
        <v>45385</v>
      </c>
      <c r="P101" s="2">
        <v>45415.125</v>
      </c>
      <c r="Q101" s="38">
        <f t="shared" si="1"/>
        <v>30.125</v>
      </c>
      <c r="R101" t="s">
        <v>42</v>
      </c>
      <c r="S101" t="s">
        <v>29</v>
      </c>
      <c r="T101" t="s">
        <v>30</v>
      </c>
      <c r="U101">
        <v>8</v>
      </c>
      <c r="V101">
        <v>12</v>
      </c>
      <c r="W101" s="18">
        <f>IFERROR(Table1[[#This Row],[Staff Hours Worked]]/Table1[[#This Row],[Staff Available Hours]],0)</f>
        <v>0.66666666666666663</v>
      </c>
      <c r="X101" t="s">
        <v>31</v>
      </c>
    </row>
    <row r="102" spans="1:24">
      <c r="A102" t="s">
        <v>159</v>
      </c>
      <c r="B102">
        <v>9</v>
      </c>
      <c r="C102" t="str" cm="1">
        <f t="array" ref="C102">_xlfn.IFS(B102&lt;=18,"0-18",B102&lt;=35,"19-35",B102&lt;=50,"36-50",B102&lt;=65,"51-65","True","65+")</f>
        <v>0-18</v>
      </c>
      <c r="D102" t="s">
        <v>41</v>
      </c>
      <c r="E102" s="6">
        <v>45110</v>
      </c>
      <c r="F102" s="6">
        <v>45003</v>
      </c>
      <c r="G102">
        <v>11</v>
      </c>
      <c r="H102" t="s">
        <v>57</v>
      </c>
      <c r="I102">
        <v>1</v>
      </c>
      <c r="J102" t="s">
        <v>35</v>
      </c>
      <c r="K102">
        <v>11772</v>
      </c>
      <c r="L102" t="s">
        <v>53</v>
      </c>
      <c r="M102" t="s">
        <v>26</v>
      </c>
      <c r="N102" t="s">
        <v>27</v>
      </c>
      <c r="O102" s="2">
        <v>45049</v>
      </c>
      <c r="P102" s="2">
        <v>45080.041666666664</v>
      </c>
      <c r="Q102" s="38">
        <f t="shared" si="1"/>
        <v>31.041666666664241</v>
      </c>
      <c r="R102" t="s">
        <v>64</v>
      </c>
      <c r="S102" t="s">
        <v>29</v>
      </c>
      <c r="T102" t="s">
        <v>47</v>
      </c>
      <c r="U102">
        <v>11</v>
      </c>
      <c r="V102">
        <v>10</v>
      </c>
      <c r="W102" s="18">
        <f>IFERROR(Table1[[#This Row],[Staff Hours Worked]]/Table1[[#This Row],[Staff Available Hours]],0)</f>
        <v>1.1000000000000001</v>
      </c>
      <c r="X102" t="s">
        <v>68</v>
      </c>
    </row>
    <row r="103" spans="1:24">
      <c r="A103" t="s">
        <v>160</v>
      </c>
      <c r="B103">
        <v>88</v>
      </c>
      <c r="C103" t="str" cm="1">
        <f t="array" ref="C103">_xlfn.IFS(B103&lt;=18,"0-18",B103&lt;=35,"19-35",B103&lt;=50,"36-50",B103&lt;=65,"51-65","True","65+")</f>
        <v>65+</v>
      </c>
      <c r="D103" t="s">
        <v>33</v>
      </c>
      <c r="E103" s="6">
        <v>45321</v>
      </c>
      <c r="F103" s="6">
        <v>45335</v>
      </c>
      <c r="G103">
        <v>14</v>
      </c>
      <c r="H103" t="s">
        <v>57</v>
      </c>
      <c r="I103">
        <v>3</v>
      </c>
      <c r="J103" t="s">
        <v>71</v>
      </c>
      <c r="K103">
        <v>29874</v>
      </c>
      <c r="L103" t="s">
        <v>36</v>
      </c>
      <c r="M103" t="s">
        <v>54</v>
      </c>
      <c r="N103" t="s">
        <v>27</v>
      </c>
      <c r="O103" s="2">
        <v>45320</v>
      </c>
      <c r="P103" s="2">
        <v>45320.25</v>
      </c>
      <c r="Q103" s="38">
        <f t="shared" si="1"/>
        <v>0.25</v>
      </c>
      <c r="R103" t="s">
        <v>64</v>
      </c>
      <c r="S103" t="s">
        <v>29</v>
      </c>
      <c r="T103" t="s">
        <v>47</v>
      </c>
      <c r="U103">
        <v>11</v>
      </c>
      <c r="V103">
        <v>10</v>
      </c>
      <c r="W103" s="18">
        <f>IFERROR(Table1[[#This Row],[Staff Hours Worked]]/Table1[[#This Row],[Staff Available Hours]],0)</f>
        <v>1.1000000000000001</v>
      </c>
      <c r="X103" t="s">
        <v>68</v>
      </c>
    </row>
    <row r="104" spans="1:24">
      <c r="A104" t="s">
        <v>161</v>
      </c>
      <c r="B104">
        <v>1</v>
      </c>
      <c r="C104" t="str" cm="1">
        <f t="array" ref="C104">_xlfn.IFS(B104&lt;=18,"0-18",B104&lt;=35,"19-35",B104&lt;=50,"36-50",B104&lt;=65,"51-65","True","65+")</f>
        <v>0-18</v>
      </c>
      <c r="D104" t="s">
        <v>33</v>
      </c>
      <c r="E104" s="6">
        <v>45317</v>
      </c>
      <c r="F104" s="6">
        <v>45318</v>
      </c>
      <c r="G104">
        <v>1</v>
      </c>
      <c r="H104" t="s">
        <v>23</v>
      </c>
      <c r="I104">
        <v>3</v>
      </c>
      <c r="J104" t="s">
        <v>24</v>
      </c>
      <c r="K104">
        <v>24731</v>
      </c>
      <c r="L104" t="s">
        <v>25</v>
      </c>
      <c r="M104" t="s">
        <v>54</v>
      </c>
      <c r="N104" t="s">
        <v>41</v>
      </c>
      <c r="O104" s="2">
        <v>45313</v>
      </c>
      <c r="P104" s="2">
        <v>45314.958333333336</v>
      </c>
      <c r="Q104" s="38">
        <f t="shared" si="1"/>
        <v>1.9583333333357587</v>
      </c>
      <c r="R104" t="s">
        <v>55</v>
      </c>
      <c r="S104" t="s">
        <v>29</v>
      </c>
      <c r="T104" t="s">
        <v>47</v>
      </c>
      <c r="U104">
        <v>5</v>
      </c>
      <c r="V104">
        <v>10</v>
      </c>
      <c r="W104" s="18">
        <f>IFERROR(Table1[[#This Row],[Staff Hours Worked]]/Table1[[#This Row],[Staff Available Hours]],0)</f>
        <v>0.5</v>
      </c>
      <c r="X104" t="s">
        <v>48</v>
      </c>
    </row>
    <row r="105" spans="1:24">
      <c r="A105" t="s">
        <v>162</v>
      </c>
      <c r="B105">
        <v>8</v>
      </c>
      <c r="C105" t="str" cm="1">
        <f t="array" ref="C105">_xlfn.IFS(B105&lt;=18,"0-18",B105&lt;=35,"19-35",B105&lt;=50,"36-50",B105&lt;=65,"51-65","True","65+")</f>
        <v>0-18</v>
      </c>
      <c r="D105" t="s">
        <v>52</v>
      </c>
      <c r="E105" s="6">
        <v>45406</v>
      </c>
      <c r="F105" s="6">
        <v>45409</v>
      </c>
      <c r="G105">
        <v>3</v>
      </c>
      <c r="H105" t="s">
        <v>57</v>
      </c>
      <c r="I105">
        <v>2</v>
      </c>
      <c r="J105" t="s">
        <v>24</v>
      </c>
      <c r="K105">
        <v>15131</v>
      </c>
      <c r="L105" t="s">
        <v>36</v>
      </c>
      <c r="M105" t="s">
        <v>26</v>
      </c>
      <c r="N105" t="s">
        <v>41</v>
      </c>
      <c r="O105" s="2">
        <v>45401</v>
      </c>
      <c r="P105" s="2">
        <v>45402.5</v>
      </c>
      <c r="Q105" s="38">
        <f t="shared" si="1"/>
        <v>1.5</v>
      </c>
      <c r="R105" t="s">
        <v>37</v>
      </c>
      <c r="S105" t="s">
        <v>29</v>
      </c>
      <c r="T105" t="s">
        <v>43</v>
      </c>
      <c r="U105">
        <v>8</v>
      </c>
      <c r="V105">
        <v>12</v>
      </c>
      <c r="W105" s="18">
        <f>IFERROR(Table1[[#This Row],[Staff Hours Worked]]/Table1[[#This Row],[Staff Available Hours]],0)</f>
        <v>0.66666666666666663</v>
      </c>
      <c r="X105" t="s">
        <v>48</v>
      </c>
    </row>
    <row r="106" spans="1:24">
      <c r="A106" t="s">
        <v>163</v>
      </c>
      <c r="B106">
        <v>88</v>
      </c>
      <c r="C106" t="str" cm="1">
        <f t="array" ref="C106">_xlfn.IFS(B106&lt;=18,"0-18",B106&lt;=35,"19-35",B106&lt;=50,"36-50",B106&lt;=65,"51-65","True","65+")</f>
        <v>65+</v>
      </c>
      <c r="D106" t="s">
        <v>22</v>
      </c>
      <c r="E106" s="6">
        <v>45184</v>
      </c>
      <c r="F106" s="6">
        <v>45185</v>
      </c>
      <c r="G106">
        <v>1</v>
      </c>
      <c r="H106" t="s">
        <v>23</v>
      </c>
      <c r="I106">
        <v>5</v>
      </c>
      <c r="J106" t="s">
        <v>46</v>
      </c>
      <c r="K106">
        <v>5788</v>
      </c>
      <c r="L106" t="s">
        <v>53</v>
      </c>
      <c r="M106" t="s">
        <v>54</v>
      </c>
      <c r="N106" t="s">
        <v>41</v>
      </c>
      <c r="O106" s="2">
        <v>45239</v>
      </c>
      <c r="P106" s="2">
        <v>45239.666666666664</v>
      </c>
      <c r="Q106" s="38">
        <f t="shared" si="1"/>
        <v>0.66666666666424135</v>
      </c>
      <c r="R106" t="s">
        <v>42</v>
      </c>
      <c r="S106" t="s">
        <v>29</v>
      </c>
      <c r="T106" t="s">
        <v>43</v>
      </c>
      <c r="U106">
        <v>10</v>
      </c>
      <c r="V106">
        <v>12</v>
      </c>
      <c r="W106" s="18">
        <f>IFERROR(Table1[[#This Row],[Staff Hours Worked]]/Table1[[#This Row],[Staff Available Hours]],0)</f>
        <v>0.83333333333333337</v>
      </c>
      <c r="X106" t="s">
        <v>68</v>
      </c>
    </row>
    <row r="107" spans="1:24">
      <c r="A107" t="s">
        <v>164</v>
      </c>
      <c r="B107">
        <v>63</v>
      </c>
      <c r="C107" t="str" cm="1">
        <f t="array" ref="C107">_xlfn.IFS(B107&lt;=18,"0-18",B107&lt;=35,"19-35",B107&lt;=50,"36-50",B107&lt;=65,"51-65","True","65+")</f>
        <v>51-65</v>
      </c>
      <c r="D107" t="s">
        <v>41</v>
      </c>
      <c r="E107" s="6">
        <v>45261</v>
      </c>
      <c r="F107" s="6">
        <v>44944</v>
      </c>
      <c r="G107">
        <v>6</v>
      </c>
      <c r="H107" t="s">
        <v>50</v>
      </c>
      <c r="I107">
        <v>4</v>
      </c>
      <c r="J107" t="s">
        <v>66</v>
      </c>
      <c r="K107">
        <v>21184</v>
      </c>
      <c r="L107" t="s">
        <v>60</v>
      </c>
      <c r="M107" t="s">
        <v>26</v>
      </c>
      <c r="N107" t="s">
        <v>27</v>
      </c>
      <c r="O107" s="2">
        <v>45231</v>
      </c>
      <c r="P107" s="2">
        <v>45261.541666666664</v>
      </c>
      <c r="Q107" s="38">
        <f t="shared" si="1"/>
        <v>30.541666666664241</v>
      </c>
      <c r="R107" t="s">
        <v>55</v>
      </c>
      <c r="S107" t="s">
        <v>29</v>
      </c>
      <c r="T107" t="s">
        <v>30</v>
      </c>
      <c r="U107">
        <v>10</v>
      </c>
      <c r="V107">
        <v>10</v>
      </c>
      <c r="W107" s="18">
        <f>IFERROR(Table1[[#This Row],[Staff Hours Worked]]/Table1[[#This Row],[Staff Available Hours]],0)</f>
        <v>1</v>
      </c>
      <c r="X107" t="s">
        <v>68</v>
      </c>
    </row>
    <row r="108" spans="1:24">
      <c r="A108" t="s">
        <v>165</v>
      </c>
      <c r="B108">
        <v>11</v>
      </c>
      <c r="C108" t="str" cm="1">
        <f t="array" ref="C108">_xlfn.IFS(B108&lt;=18,"0-18",B108&lt;=35,"19-35",B108&lt;=50,"36-50",B108&lt;=65,"51-65","True","65+")</f>
        <v>0-18</v>
      </c>
      <c r="D108" t="s">
        <v>45</v>
      </c>
      <c r="E108" s="6">
        <v>45044</v>
      </c>
      <c r="F108" s="6">
        <v>45235</v>
      </c>
      <c r="G108">
        <v>13</v>
      </c>
      <c r="H108" t="s">
        <v>50</v>
      </c>
      <c r="I108">
        <v>4</v>
      </c>
      <c r="J108" t="s">
        <v>46</v>
      </c>
      <c r="K108">
        <v>35897</v>
      </c>
      <c r="L108" t="s">
        <v>67</v>
      </c>
      <c r="M108" t="s">
        <v>26</v>
      </c>
      <c r="N108" t="s">
        <v>27</v>
      </c>
      <c r="O108" s="2">
        <v>45043</v>
      </c>
      <c r="P108" s="2">
        <v>45044.416666666664</v>
      </c>
      <c r="Q108" s="38">
        <f t="shared" si="1"/>
        <v>1.4166666666642413</v>
      </c>
      <c r="R108" t="s">
        <v>55</v>
      </c>
      <c r="S108" t="s">
        <v>29</v>
      </c>
      <c r="T108" t="s">
        <v>30</v>
      </c>
      <c r="U108">
        <v>5</v>
      </c>
      <c r="V108">
        <v>8</v>
      </c>
      <c r="W108" s="18">
        <f>IFERROR(Table1[[#This Row],[Staff Hours Worked]]/Table1[[#This Row],[Staff Available Hours]],0)</f>
        <v>0.625</v>
      </c>
      <c r="X108" t="s">
        <v>31</v>
      </c>
    </row>
    <row r="109" spans="1:24">
      <c r="A109" t="s">
        <v>166</v>
      </c>
      <c r="B109">
        <v>81</v>
      </c>
      <c r="C109" t="str" cm="1">
        <f t="array" ref="C109">_xlfn.IFS(B109&lt;=18,"0-18",B109&lt;=35,"19-35",B109&lt;=50,"36-50",B109&lt;=65,"51-65","True","65+")</f>
        <v>65+</v>
      </c>
      <c r="D109" t="s">
        <v>22</v>
      </c>
      <c r="E109" s="6">
        <v>44936</v>
      </c>
      <c r="F109" s="6">
        <v>45213</v>
      </c>
      <c r="G109">
        <v>13</v>
      </c>
      <c r="H109" t="s">
        <v>57</v>
      </c>
      <c r="I109">
        <v>4</v>
      </c>
      <c r="J109" t="s">
        <v>71</v>
      </c>
      <c r="K109">
        <v>7889</v>
      </c>
      <c r="L109" t="s">
        <v>60</v>
      </c>
      <c r="M109" t="s">
        <v>26</v>
      </c>
      <c r="N109" t="s">
        <v>27</v>
      </c>
      <c r="O109" s="2">
        <v>45197</v>
      </c>
      <c r="P109" s="2">
        <v>45197.458333333336</v>
      </c>
      <c r="Q109" s="38">
        <f t="shared" si="1"/>
        <v>0.45833333333575865</v>
      </c>
      <c r="R109" t="s">
        <v>64</v>
      </c>
      <c r="S109" t="s">
        <v>29</v>
      </c>
      <c r="T109" t="s">
        <v>30</v>
      </c>
      <c r="U109">
        <v>10</v>
      </c>
      <c r="V109">
        <v>12</v>
      </c>
      <c r="W109" s="18">
        <f>IFERROR(Table1[[#This Row],[Staff Hours Worked]]/Table1[[#This Row],[Staff Available Hours]],0)</f>
        <v>0.83333333333333337</v>
      </c>
      <c r="X109" t="s">
        <v>31</v>
      </c>
    </row>
    <row r="110" spans="1:24">
      <c r="A110" t="s">
        <v>167</v>
      </c>
      <c r="B110">
        <v>8</v>
      </c>
      <c r="C110" t="str" cm="1">
        <f t="array" ref="C110">_xlfn.IFS(B110&lt;=18,"0-18",B110&lt;=35,"19-35",B110&lt;=50,"36-50",B110&lt;=65,"51-65","True","65+")</f>
        <v>0-18</v>
      </c>
      <c r="D110" t="s">
        <v>22</v>
      </c>
      <c r="E110" s="6">
        <v>45275</v>
      </c>
      <c r="F110" s="6">
        <v>45279</v>
      </c>
      <c r="G110">
        <v>4</v>
      </c>
      <c r="H110" t="s">
        <v>50</v>
      </c>
      <c r="I110">
        <v>1</v>
      </c>
      <c r="J110" t="s">
        <v>46</v>
      </c>
      <c r="K110">
        <v>14569</v>
      </c>
      <c r="L110" t="s">
        <v>60</v>
      </c>
      <c r="M110" t="s">
        <v>26</v>
      </c>
      <c r="N110" t="s">
        <v>27</v>
      </c>
      <c r="O110" s="2">
        <v>45242</v>
      </c>
      <c r="P110" s="2">
        <v>45272.833333333336</v>
      </c>
      <c r="Q110" s="38">
        <f t="shared" si="1"/>
        <v>30.833333333335759</v>
      </c>
      <c r="R110" t="s">
        <v>28</v>
      </c>
      <c r="S110" t="s">
        <v>29</v>
      </c>
      <c r="T110" t="s">
        <v>43</v>
      </c>
      <c r="U110">
        <v>10</v>
      </c>
      <c r="V110">
        <v>10</v>
      </c>
      <c r="W110" s="18">
        <f>IFERROR(Table1[[#This Row],[Staff Hours Worked]]/Table1[[#This Row],[Staff Available Hours]],0)</f>
        <v>1</v>
      </c>
      <c r="X110" t="s">
        <v>68</v>
      </c>
    </row>
    <row r="111" spans="1:24">
      <c r="A111" t="s">
        <v>168</v>
      </c>
      <c r="B111">
        <v>35</v>
      </c>
      <c r="C111" t="str" cm="1">
        <f t="array" ref="C111">_xlfn.IFS(B111&lt;=18,"0-18",B111&lt;=35,"19-35",B111&lt;=50,"36-50",B111&lt;=65,"51-65","True","65+")</f>
        <v>19-35</v>
      </c>
      <c r="D111" t="s">
        <v>41</v>
      </c>
      <c r="E111" s="6">
        <v>45041</v>
      </c>
      <c r="F111" s="6">
        <v>45051</v>
      </c>
      <c r="G111">
        <v>10</v>
      </c>
      <c r="H111" t="s">
        <v>63</v>
      </c>
      <c r="I111">
        <v>4</v>
      </c>
      <c r="J111" t="s">
        <v>35</v>
      </c>
      <c r="K111">
        <v>26657</v>
      </c>
      <c r="L111" t="s">
        <v>53</v>
      </c>
      <c r="M111" t="s">
        <v>54</v>
      </c>
      <c r="N111" t="s">
        <v>27</v>
      </c>
      <c r="O111" s="2">
        <v>45041</v>
      </c>
      <c r="P111" s="2">
        <v>45042.041666666664</v>
      </c>
      <c r="Q111" s="38">
        <f t="shared" si="1"/>
        <v>1.0416666666642413</v>
      </c>
      <c r="R111" t="s">
        <v>42</v>
      </c>
      <c r="S111" t="s">
        <v>29</v>
      </c>
      <c r="T111" t="s">
        <v>30</v>
      </c>
      <c r="U111">
        <v>7</v>
      </c>
      <c r="V111">
        <v>10</v>
      </c>
      <c r="W111" s="18">
        <f>IFERROR(Table1[[#This Row],[Staff Hours Worked]]/Table1[[#This Row],[Staff Available Hours]],0)</f>
        <v>0.7</v>
      </c>
      <c r="X111" t="s">
        <v>48</v>
      </c>
    </row>
    <row r="112" spans="1:24">
      <c r="A112" t="s">
        <v>169</v>
      </c>
      <c r="B112">
        <v>35</v>
      </c>
      <c r="C112" t="str" cm="1">
        <f t="array" ref="C112">_xlfn.IFS(B112&lt;=18,"0-18",B112&lt;=35,"19-35",B112&lt;=50,"36-50",B112&lt;=65,"51-65","True","65+")</f>
        <v>19-35</v>
      </c>
      <c r="D112" t="s">
        <v>52</v>
      </c>
      <c r="E112" s="6">
        <v>45227</v>
      </c>
      <c r="F112" s="6">
        <v>44996</v>
      </c>
      <c r="G112">
        <v>6</v>
      </c>
      <c r="H112" t="s">
        <v>23</v>
      </c>
      <c r="I112">
        <v>4</v>
      </c>
      <c r="J112" t="s">
        <v>71</v>
      </c>
      <c r="K112">
        <v>15141</v>
      </c>
      <c r="L112" t="s">
        <v>36</v>
      </c>
      <c r="M112" t="s">
        <v>54</v>
      </c>
      <c r="N112" t="s">
        <v>41</v>
      </c>
      <c r="O112" s="2">
        <v>45227</v>
      </c>
      <c r="P112" s="2">
        <v>45227.458333333336</v>
      </c>
      <c r="Q112" s="38">
        <f t="shared" si="1"/>
        <v>0.45833333333575865</v>
      </c>
      <c r="R112" t="s">
        <v>28</v>
      </c>
      <c r="S112" t="s">
        <v>29</v>
      </c>
      <c r="T112" t="s">
        <v>30</v>
      </c>
      <c r="U112">
        <v>7</v>
      </c>
      <c r="V112">
        <v>12</v>
      </c>
      <c r="W112" s="18">
        <f>IFERROR(Table1[[#This Row],[Staff Hours Worked]]/Table1[[#This Row],[Staff Available Hours]],0)</f>
        <v>0.58333333333333337</v>
      </c>
      <c r="X112" t="s">
        <v>68</v>
      </c>
    </row>
    <row r="113" spans="1:24">
      <c r="A113" t="s">
        <v>170</v>
      </c>
      <c r="B113">
        <v>33</v>
      </c>
      <c r="C113" t="str" cm="1">
        <f t="array" ref="C113">_xlfn.IFS(B113&lt;=18,"0-18",B113&lt;=35,"19-35",B113&lt;=50,"36-50",B113&lt;=65,"51-65","True","65+")</f>
        <v>19-35</v>
      </c>
      <c r="D113" t="s">
        <v>52</v>
      </c>
      <c r="E113" s="6">
        <v>45372</v>
      </c>
      <c r="F113" s="6">
        <v>45373</v>
      </c>
      <c r="G113">
        <v>1</v>
      </c>
      <c r="H113" t="s">
        <v>23</v>
      </c>
      <c r="I113">
        <v>2</v>
      </c>
      <c r="J113" t="s">
        <v>24</v>
      </c>
      <c r="K113">
        <v>24656</v>
      </c>
      <c r="L113" t="s">
        <v>25</v>
      </c>
      <c r="M113" t="s">
        <v>26</v>
      </c>
      <c r="N113" t="s">
        <v>41</v>
      </c>
      <c r="O113" s="2">
        <v>45368</v>
      </c>
      <c r="P113" s="2">
        <v>45368.375</v>
      </c>
      <c r="Q113" s="38">
        <f t="shared" si="1"/>
        <v>0.375</v>
      </c>
      <c r="R113" t="s">
        <v>42</v>
      </c>
      <c r="S113" t="s">
        <v>29</v>
      </c>
      <c r="T113" t="s">
        <v>43</v>
      </c>
      <c r="U113">
        <v>4</v>
      </c>
      <c r="V113">
        <v>8</v>
      </c>
      <c r="W113" s="18">
        <f>IFERROR(Table1[[#This Row],[Staff Hours Worked]]/Table1[[#This Row],[Staff Available Hours]],0)</f>
        <v>0.5</v>
      </c>
      <c r="X113" t="s">
        <v>68</v>
      </c>
    </row>
    <row r="114" spans="1:24">
      <c r="A114" t="s">
        <v>171</v>
      </c>
      <c r="B114">
        <v>5</v>
      </c>
      <c r="C114" t="str" cm="1">
        <f t="array" ref="C114">_xlfn.IFS(B114&lt;=18,"0-18",B114&lt;=35,"19-35",B114&lt;=50,"36-50",B114&lt;=65,"51-65","True","65+")</f>
        <v>0-18</v>
      </c>
      <c r="D114" t="s">
        <v>52</v>
      </c>
      <c r="E114" s="6">
        <v>45236</v>
      </c>
      <c r="F114" s="6">
        <v>45091</v>
      </c>
      <c r="G114">
        <v>3</v>
      </c>
      <c r="H114" t="s">
        <v>57</v>
      </c>
      <c r="I114">
        <v>3</v>
      </c>
      <c r="J114" t="s">
        <v>66</v>
      </c>
      <c r="K114">
        <v>26618</v>
      </c>
      <c r="L114" t="s">
        <v>60</v>
      </c>
      <c r="M114" t="s">
        <v>54</v>
      </c>
      <c r="N114" t="s">
        <v>27</v>
      </c>
      <c r="O114" s="2">
        <v>45205</v>
      </c>
      <c r="P114" s="2">
        <v>45205.75</v>
      </c>
      <c r="Q114" s="38">
        <f t="shared" si="1"/>
        <v>0.75</v>
      </c>
      <c r="R114" t="s">
        <v>37</v>
      </c>
      <c r="S114" t="s">
        <v>29</v>
      </c>
      <c r="T114" t="s">
        <v>47</v>
      </c>
      <c r="U114">
        <v>7</v>
      </c>
      <c r="V114">
        <v>10</v>
      </c>
      <c r="W114" s="18">
        <f>IFERROR(Table1[[#This Row],[Staff Hours Worked]]/Table1[[#This Row],[Staff Available Hours]],0)</f>
        <v>0.7</v>
      </c>
      <c r="X114" t="s">
        <v>48</v>
      </c>
    </row>
    <row r="115" spans="1:24">
      <c r="A115" t="s">
        <v>172</v>
      </c>
      <c r="B115">
        <v>41</v>
      </c>
      <c r="C115" t="str" cm="1">
        <f t="array" ref="C115">_xlfn.IFS(B115&lt;=18,"0-18",B115&lt;=35,"19-35",B115&lt;=50,"36-50",B115&lt;=65,"51-65","True","65+")</f>
        <v>36-50</v>
      </c>
      <c r="D115" t="s">
        <v>52</v>
      </c>
      <c r="E115" s="6">
        <v>45539</v>
      </c>
      <c r="F115" s="6">
        <v>45396</v>
      </c>
      <c r="G115">
        <v>5</v>
      </c>
      <c r="H115" t="s">
        <v>50</v>
      </c>
      <c r="I115">
        <v>4</v>
      </c>
      <c r="J115" t="s">
        <v>71</v>
      </c>
      <c r="K115">
        <v>16934</v>
      </c>
      <c r="L115" t="s">
        <v>36</v>
      </c>
      <c r="M115" t="s">
        <v>54</v>
      </c>
      <c r="N115" t="s">
        <v>27</v>
      </c>
      <c r="O115" s="2">
        <v>45477</v>
      </c>
      <c r="P115" s="2">
        <v>45477.833333333336</v>
      </c>
      <c r="Q115" s="38">
        <f t="shared" si="1"/>
        <v>0.83333333333575865</v>
      </c>
      <c r="R115" t="s">
        <v>64</v>
      </c>
      <c r="S115" t="s">
        <v>29</v>
      </c>
      <c r="T115" t="s">
        <v>43</v>
      </c>
      <c r="U115">
        <v>6</v>
      </c>
      <c r="V115">
        <v>8</v>
      </c>
      <c r="W115" s="18">
        <f>IFERROR(Table1[[#This Row],[Staff Hours Worked]]/Table1[[#This Row],[Staff Available Hours]],0)</f>
        <v>0.75</v>
      </c>
      <c r="X115" t="s">
        <v>48</v>
      </c>
    </row>
    <row r="116" spans="1:24">
      <c r="A116" t="s">
        <v>173</v>
      </c>
      <c r="B116">
        <v>28</v>
      </c>
      <c r="C116" t="str" cm="1">
        <f t="array" ref="C116">_xlfn.IFS(B116&lt;=18,"0-18",B116&lt;=35,"19-35",B116&lt;=50,"36-50",B116&lt;=65,"51-65","True","65+")</f>
        <v>19-35</v>
      </c>
      <c r="D116" t="s">
        <v>33</v>
      </c>
      <c r="E116" s="6">
        <v>45017</v>
      </c>
      <c r="F116" s="6">
        <v>45047</v>
      </c>
      <c r="G116">
        <v>1</v>
      </c>
      <c r="H116" t="s">
        <v>40</v>
      </c>
      <c r="I116">
        <v>5</v>
      </c>
      <c r="J116" t="s">
        <v>71</v>
      </c>
      <c r="K116">
        <v>47537</v>
      </c>
      <c r="L116" t="s">
        <v>25</v>
      </c>
      <c r="M116" t="s">
        <v>26</v>
      </c>
      <c r="N116" t="s">
        <v>27</v>
      </c>
      <c r="O116" s="2">
        <v>44986</v>
      </c>
      <c r="P116" s="2">
        <v>44986.75</v>
      </c>
      <c r="Q116" s="38">
        <f t="shared" si="1"/>
        <v>0.75</v>
      </c>
      <c r="R116" t="s">
        <v>37</v>
      </c>
      <c r="S116" t="s">
        <v>29</v>
      </c>
      <c r="T116" t="s">
        <v>30</v>
      </c>
      <c r="U116">
        <v>8</v>
      </c>
      <c r="V116">
        <v>8</v>
      </c>
      <c r="W116" s="18">
        <f>IFERROR(Table1[[#This Row],[Staff Hours Worked]]/Table1[[#This Row],[Staff Available Hours]],0)</f>
        <v>1</v>
      </c>
      <c r="X116" t="s">
        <v>31</v>
      </c>
    </row>
    <row r="117" spans="1:24">
      <c r="A117" t="s">
        <v>174</v>
      </c>
      <c r="B117">
        <v>7</v>
      </c>
      <c r="C117" t="str" cm="1">
        <f t="array" ref="C117">_xlfn.IFS(B117&lt;=18,"0-18",B117&lt;=35,"19-35",B117&lt;=50,"36-50",B117&lt;=65,"51-65","True","65+")</f>
        <v>0-18</v>
      </c>
      <c r="D117" t="s">
        <v>52</v>
      </c>
      <c r="E117" s="6">
        <v>45196</v>
      </c>
      <c r="F117" s="6">
        <v>45199</v>
      </c>
      <c r="G117">
        <v>3</v>
      </c>
      <c r="H117" t="s">
        <v>23</v>
      </c>
      <c r="I117">
        <v>4</v>
      </c>
      <c r="J117" t="s">
        <v>35</v>
      </c>
      <c r="K117">
        <v>28286</v>
      </c>
      <c r="L117" t="s">
        <v>60</v>
      </c>
      <c r="M117" t="s">
        <v>54</v>
      </c>
      <c r="N117" t="s">
        <v>41</v>
      </c>
      <c r="O117" s="2">
        <v>45195</v>
      </c>
      <c r="P117" s="2">
        <v>45196.333333333336</v>
      </c>
      <c r="Q117" s="38">
        <f t="shared" si="1"/>
        <v>1.3333333333357587</v>
      </c>
      <c r="R117" t="s">
        <v>55</v>
      </c>
      <c r="S117" t="s">
        <v>29</v>
      </c>
      <c r="T117" t="s">
        <v>43</v>
      </c>
      <c r="U117">
        <v>8</v>
      </c>
      <c r="V117">
        <v>12</v>
      </c>
      <c r="W117" s="18">
        <f>IFERROR(Table1[[#This Row],[Staff Hours Worked]]/Table1[[#This Row],[Staff Available Hours]],0)</f>
        <v>0.66666666666666663</v>
      </c>
      <c r="X117" t="s">
        <v>31</v>
      </c>
    </row>
    <row r="118" spans="1:24">
      <c r="A118" t="s">
        <v>175</v>
      </c>
      <c r="B118">
        <v>73</v>
      </c>
      <c r="C118" t="str" cm="1">
        <f t="array" ref="C118">_xlfn.IFS(B118&lt;=18,"0-18",B118&lt;=35,"19-35",B118&lt;=50,"36-50",B118&lt;=65,"51-65","True","65+")</f>
        <v>65+</v>
      </c>
      <c r="D118" t="s">
        <v>33</v>
      </c>
      <c r="E118" s="6">
        <v>45439</v>
      </c>
      <c r="F118" s="6">
        <v>45510</v>
      </c>
      <c r="G118">
        <v>12</v>
      </c>
      <c r="H118" t="s">
        <v>57</v>
      </c>
      <c r="I118">
        <v>1</v>
      </c>
      <c r="J118" t="s">
        <v>66</v>
      </c>
      <c r="K118">
        <v>12612</v>
      </c>
      <c r="L118" t="s">
        <v>25</v>
      </c>
      <c r="M118" t="s">
        <v>26</v>
      </c>
      <c r="N118" t="s">
        <v>27</v>
      </c>
      <c r="O118" s="2">
        <v>45437</v>
      </c>
      <c r="P118" s="2">
        <v>45437.416666666664</v>
      </c>
      <c r="Q118" s="38">
        <f t="shared" si="1"/>
        <v>0.41666666666424135</v>
      </c>
      <c r="R118" t="s">
        <v>64</v>
      </c>
      <c r="S118" t="s">
        <v>29</v>
      </c>
      <c r="T118" t="s">
        <v>47</v>
      </c>
      <c r="U118">
        <v>5</v>
      </c>
      <c r="V118">
        <v>10</v>
      </c>
      <c r="W118" s="18">
        <f>IFERROR(Table1[[#This Row],[Staff Hours Worked]]/Table1[[#This Row],[Staff Available Hours]],0)</f>
        <v>0.5</v>
      </c>
      <c r="X118" t="s">
        <v>31</v>
      </c>
    </row>
    <row r="119" spans="1:24">
      <c r="A119" t="s">
        <v>176</v>
      </c>
      <c r="B119">
        <v>72</v>
      </c>
      <c r="C119" t="str" cm="1">
        <f t="array" ref="C119">_xlfn.IFS(B119&lt;=18,"0-18",B119&lt;=35,"19-35",B119&lt;=50,"36-50",B119&lt;=65,"51-65","True","65+")</f>
        <v>65+</v>
      </c>
      <c r="D119" t="s">
        <v>33</v>
      </c>
      <c r="E119" s="6">
        <v>44964</v>
      </c>
      <c r="F119" s="6">
        <v>45176</v>
      </c>
      <c r="G119">
        <v>7</v>
      </c>
      <c r="H119" t="s">
        <v>57</v>
      </c>
      <c r="I119">
        <v>1</v>
      </c>
      <c r="J119" t="s">
        <v>24</v>
      </c>
      <c r="K119">
        <v>37069</v>
      </c>
      <c r="L119" t="s">
        <v>36</v>
      </c>
      <c r="M119" t="s">
        <v>26</v>
      </c>
      <c r="N119" t="s">
        <v>27</v>
      </c>
      <c r="O119" s="2">
        <v>45104</v>
      </c>
      <c r="P119" s="2">
        <v>45104.208333333336</v>
      </c>
      <c r="Q119" s="38">
        <f t="shared" si="1"/>
        <v>0.20833333333575865</v>
      </c>
      <c r="R119" t="s">
        <v>55</v>
      </c>
      <c r="S119" t="s">
        <v>29</v>
      </c>
      <c r="T119" t="s">
        <v>47</v>
      </c>
      <c r="U119">
        <v>7</v>
      </c>
      <c r="V119">
        <v>10</v>
      </c>
      <c r="W119" s="18">
        <f>IFERROR(Table1[[#This Row],[Staff Hours Worked]]/Table1[[#This Row],[Staff Available Hours]],0)</f>
        <v>0.7</v>
      </c>
      <c r="X119" t="s">
        <v>31</v>
      </c>
    </row>
    <row r="120" spans="1:24">
      <c r="A120" t="s">
        <v>177</v>
      </c>
      <c r="B120">
        <v>12</v>
      </c>
      <c r="C120" t="str" cm="1">
        <f t="array" ref="C120">_xlfn.IFS(B120&lt;=18,"0-18",B120&lt;=35,"19-35",B120&lt;=50,"36-50",B120&lt;=65,"51-65","True","65+")</f>
        <v>0-18</v>
      </c>
      <c r="D120" t="s">
        <v>52</v>
      </c>
      <c r="E120" s="6">
        <v>45357</v>
      </c>
      <c r="F120" s="6">
        <v>45632</v>
      </c>
      <c r="G120">
        <v>9</v>
      </c>
      <c r="H120" t="s">
        <v>63</v>
      </c>
      <c r="I120">
        <v>1</v>
      </c>
      <c r="J120" t="s">
        <v>71</v>
      </c>
      <c r="K120">
        <v>21205</v>
      </c>
      <c r="L120" t="s">
        <v>67</v>
      </c>
      <c r="M120" t="s">
        <v>26</v>
      </c>
      <c r="N120" t="s">
        <v>41</v>
      </c>
      <c r="O120" s="2">
        <v>45328</v>
      </c>
      <c r="P120" s="2">
        <v>45328.458333333336</v>
      </c>
      <c r="Q120" s="38">
        <f t="shared" si="1"/>
        <v>0.45833333333575865</v>
      </c>
      <c r="R120" t="s">
        <v>37</v>
      </c>
      <c r="S120" t="s">
        <v>29</v>
      </c>
      <c r="T120" t="s">
        <v>47</v>
      </c>
      <c r="U120">
        <v>4</v>
      </c>
      <c r="V120">
        <v>8</v>
      </c>
      <c r="W120" s="18">
        <f>IFERROR(Table1[[#This Row],[Staff Hours Worked]]/Table1[[#This Row],[Staff Available Hours]],0)</f>
        <v>0.5</v>
      </c>
      <c r="X120" t="s">
        <v>48</v>
      </c>
    </row>
    <row r="121" spans="1:24">
      <c r="A121" t="s">
        <v>178</v>
      </c>
      <c r="B121">
        <v>34</v>
      </c>
      <c r="C121" t="str" cm="1">
        <f t="array" ref="C121">_xlfn.IFS(B121&lt;=18,"0-18",B121&lt;=35,"19-35",B121&lt;=50,"36-50",B121&lt;=65,"51-65","True","65+")</f>
        <v>19-35</v>
      </c>
      <c r="D121" t="s">
        <v>62</v>
      </c>
      <c r="E121" s="6">
        <v>45035</v>
      </c>
      <c r="F121" s="6">
        <v>45037</v>
      </c>
      <c r="G121">
        <v>2</v>
      </c>
      <c r="H121" t="s">
        <v>34</v>
      </c>
      <c r="I121">
        <v>4</v>
      </c>
      <c r="J121" t="s">
        <v>71</v>
      </c>
      <c r="K121">
        <v>32331</v>
      </c>
      <c r="L121" t="s">
        <v>36</v>
      </c>
      <c r="M121" t="s">
        <v>26</v>
      </c>
      <c r="N121" t="s">
        <v>27</v>
      </c>
      <c r="O121" s="2">
        <v>45033</v>
      </c>
      <c r="P121" s="2">
        <v>45034.166666666664</v>
      </c>
      <c r="Q121" s="38">
        <f t="shared" si="1"/>
        <v>1.1666666666642413</v>
      </c>
      <c r="R121" t="s">
        <v>42</v>
      </c>
      <c r="S121" t="s">
        <v>29</v>
      </c>
      <c r="T121" t="s">
        <v>47</v>
      </c>
      <c r="U121">
        <v>10</v>
      </c>
      <c r="V121">
        <v>12</v>
      </c>
      <c r="W121" s="18">
        <f>IFERROR(Table1[[#This Row],[Staff Hours Worked]]/Table1[[#This Row],[Staff Available Hours]],0)</f>
        <v>0.83333333333333337</v>
      </c>
      <c r="X121" t="s">
        <v>68</v>
      </c>
    </row>
    <row r="122" spans="1:24">
      <c r="A122" t="s">
        <v>179</v>
      </c>
      <c r="B122">
        <v>33</v>
      </c>
      <c r="C122" t="str" cm="1">
        <f t="array" ref="C122">_xlfn.IFS(B122&lt;=18,"0-18",B122&lt;=35,"19-35",B122&lt;=50,"36-50",B122&lt;=65,"51-65","True","65+")</f>
        <v>19-35</v>
      </c>
      <c r="D122" t="s">
        <v>45</v>
      </c>
      <c r="E122" s="6">
        <v>44968</v>
      </c>
      <c r="F122" s="6">
        <v>45244</v>
      </c>
      <c r="G122">
        <v>12</v>
      </c>
      <c r="H122" t="s">
        <v>34</v>
      </c>
      <c r="I122">
        <v>2</v>
      </c>
      <c r="J122" t="s">
        <v>35</v>
      </c>
      <c r="K122">
        <v>18934</v>
      </c>
      <c r="L122" t="s">
        <v>53</v>
      </c>
      <c r="M122" t="s">
        <v>26</v>
      </c>
      <c r="N122" t="s">
        <v>27</v>
      </c>
      <c r="O122" s="2">
        <v>45228</v>
      </c>
      <c r="P122" s="2">
        <v>45228.75</v>
      </c>
      <c r="Q122" s="38">
        <f t="shared" si="1"/>
        <v>0.75</v>
      </c>
      <c r="R122" t="s">
        <v>55</v>
      </c>
      <c r="S122" t="s">
        <v>29</v>
      </c>
      <c r="T122" t="s">
        <v>47</v>
      </c>
      <c r="U122">
        <v>4</v>
      </c>
      <c r="V122">
        <v>12</v>
      </c>
      <c r="W122" s="18">
        <f>IFERROR(Table1[[#This Row],[Staff Hours Worked]]/Table1[[#This Row],[Staff Available Hours]],0)</f>
        <v>0.33333333333333331</v>
      </c>
      <c r="X122" t="s">
        <v>31</v>
      </c>
    </row>
    <row r="123" spans="1:24">
      <c r="A123" t="s">
        <v>180</v>
      </c>
      <c r="B123">
        <v>48</v>
      </c>
      <c r="C123" t="str" cm="1">
        <f t="array" ref="C123">_xlfn.IFS(B123&lt;=18,"0-18",B123&lt;=35,"19-35",B123&lt;=50,"36-50",B123&lt;=65,"51-65","True","65+")</f>
        <v>36-50</v>
      </c>
      <c r="D123" t="s">
        <v>22</v>
      </c>
      <c r="E123" s="6">
        <v>45357</v>
      </c>
      <c r="F123" s="6">
        <v>45418</v>
      </c>
      <c r="G123">
        <v>2</v>
      </c>
      <c r="H123" t="s">
        <v>23</v>
      </c>
      <c r="I123">
        <v>5</v>
      </c>
      <c r="J123" t="s">
        <v>46</v>
      </c>
      <c r="K123">
        <v>15095</v>
      </c>
      <c r="L123" t="s">
        <v>25</v>
      </c>
      <c r="M123" t="s">
        <v>26</v>
      </c>
      <c r="N123" t="s">
        <v>27</v>
      </c>
      <c r="O123" s="2">
        <v>45297</v>
      </c>
      <c r="P123" s="2">
        <v>45328.125</v>
      </c>
      <c r="Q123" s="38">
        <f t="shared" si="1"/>
        <v>31.125</v>
      </c>
      <c r="R123" t="s">
        <v>28</v>
      </c>
      <c r="S123" t="s">
        <v>29</v>
      </c>
      <c r="T123" t="s">
        <v>47</v>
      </c>
      <c r="U123">
        <v>4</v>
      </c>
      <c r="V123">
        <v>12</v>
      </c>
      <c r="W123" s="18">
        <f>IFERROR(Table1[[#This Row],[Staff Hours Worked]]/Table1[[#This Row],[Staff Available Hours]],0)</f>
        <v>0.33333333333333331</v>
      </c>
      <c r="X123" t="s">
        <v>31</v>
      </c>
    </row>
    <row r="124" spans="1:24">
      <c r="A124" t="s">
        <v>181</v>
      </c>
      <c r="B124">
        <v>23</v>
      </c>
      <c r="C124" t="str" cm="1">
        <f t="array" ref="C124">_xlfn.IFS(B124&lt;=18,"0-18",B124&lt;=35,"19-35",B124&lt;=50,"36-50",B124&lt;=65,"51-65","True","65+")</f>
        <v>19-35</v>
      </c>
      <c r="D124" t="s">
        <v>33</v>
      </c>
      <c r="E124" s="6">
        <v>45130</v>
      </c>
      <c r="F124" s="6">
        <v>45138</v>
      </c>
      <c r="G124">
        <v>8</v>
      </c>
      <c r="H124" t="s">
        <v>63</v>
      </c>
      <c r="I124">
        <v>4</v>
      </c>
      <c r="J124" t="s">
        <v>24</v>
      </c>
      <c r="K124">
        <v>30958</v>
      </c>
      <c r="L124" t="s">
        <v>67</v>
      </c>
      <c r="M124" t="s">
        <v>54</v>
      </c>
      <c r="N124" t="s">
        <v>41</v>
      </c>
      <c r="O124" s="2">
        <v>45130</v>
      </c>
      <c r="P124" s="2">
        <v>45130.833333333336</v>
      </c>
      <c r="Q124" s="38">
        <f t="shared" si="1"/>
        <v>0.83333333333575865</v>
      </c>
      <c r="R124" t="s">
        <v>42</v>
      </c>
      <c r="S124" t="s">
        <v>29</v>
      </c>
      <c r="T124" t="s">
        <v>30</v>
      </c>
      <c r="U124">
        <v>9</v>
      </c>
      <c r="V124">
        <v>8</v>
      </c>
      <c r="W124" s="18">
        <f>IFERROR(Table1[[#This Row],[Staff Hours Worked]]/Table1[[#This Row],[Staff Available Hours]],0)</f>
        <v>1.125</v>
      </c>
      <c r="X124" t="s">
        <v>48</v>
      </c>
    </row>
    <row r="125" spans="1:24">
      <c r="A125" t="s">
        <v>182</v>
      </c>
      <c r="B125">
        <v>62</v>
      </c>
      <c r="C125" t="str" cm="1">
        <f t="array" ref="C125">_xlfn.IFS(B125&lt;=18,"0-18",B125&lt;=35,"19-35",B125&lt;=50,"36-50",B125&lt;=65,"51-65","True","65+")</f>
        <v>51-65</v>
      </c>
      <c r="D125" t="s">
        <v>41</v>
      </c>
      <c r="E125" s="6">
        <v>45083</v>
      </c>
      <c r="F125" s="6">
        <v>45091</v>
      </c>
      <c r="G125">
        <v>8</v>
      </c>
      <c r="H125" t="s">
        <v>63</v>
      </c>
      <c r="I125">
        <v>2</v>
      </c>
      <c r="J125" t="s">
        <v>66</v>
      </c>
      <c r="K125">
        <v>42008</v>
      </c>
      <c r="L125" t="s">
        <v>25</v>
      </c>
      <c r="M125" t="s">
        <v>54</v>
      </c>
      <c r="N125" t="s">
        <v>27</v>
      </c>
      <c r="O125" s="2">
        <v>45022</v>
      </c>
      <c r="P125" s="2">
        <v>45052.291666666664</v>
      </c>
      <c r="Q125" s="38">
        <f t="shared" si="1"/>
        <v>30.291666666664241</v>
      </c>
      <c r="R125" t="s">
        <v>42</v>
      </c>
      <c r="S125" t="s">
        <v>29</v>
      </c>
      <c r="T125" t="s">
        <v>30</v>
      </c>
      <c r="U125">
        <v>10</v>
      </c>
      <c r="V125">
        <v>8</v>
      </c>
      <c r="W125" s="18">
        <f>IFERROR(Table1[[#This Row],[Staff Hours Worked]]/Table1[[#This Row],[Staff Available Hours]],0)</f>
        <v>1.25</v>
      </c>
      <c r="X125" t="s">
        <v>48</v>
      </c>
    </row>
    <row r="126" spans="1:24">
      <c r="A126" t="s">
        <v>183</v>
      </c>
      <c r="B126">
        <v>88</v>
      </c>
      <c r="C126" t="str" cm="1">
        <f t="array" ref="C126">_xlfn.IFS(B126&lt;=18,"0-18",B126&lt;=35,"19-35",B126&lt;=50,"36-50",B126&lt;=65,"51-65","True","65+")</f>
        <v>65+</v>
      </c>
      <c r="D126" t="s">
        <v>41</v>
      </c>
      <c r="E126" s="6">
        <v>45309</v>
      </c>
      <c r="F126" s="6">
        <v>45322</v>
      </c>
      <c r="G126">
        <v>13</v>
      </c>
      <c r="H126" t="s">
        <v>63</v>
      </c>
      <c r="I126">
        <v>2</v>
      </c>
      <c r="J126" t="s">
        <v>71</v>
      </c>
      <c r="K126">
        <v>23706</v>
      </c>
      <c r="L126" t="s">
        <v>25</v>
      </c>
      <c r="M126" t="s">
        <v>26</v>
      </c>
      <c r="N126" t="s">
        <v>27</v>
      </c>
      <c r="O126" s="2">
        <v>45308</v>
      </c>
      <c r="P126" s="2">
        <v>45308.208333333336</v>
      </c>
      <c r="Q126" s="38">
        <f t="shared" si="1"/>
        <v>0.20833333333575865</v>
      </c>
      <c r="R126" t="s">
        <v>37</v>
      </c>
      <c r="S126" t="s">
        <v>29</v>
      </c>
      <c r="T126" t="s">
        <v>43</v>
      </c>
      <c r="U126">
        <v>6</v>
      </c>
      <c r="V126">
        <v>10</v>
      </c>
      <c r="W126" s="18">
        <f>IFERROR(Table1[[#This Row],[Staff Hours Worked]]/Table1[[#This Row],[Staff Available Hours]],0)</f>
        <v>0.6</v>
      </c>
      <c r="X126" t="s">
        <v>68</v>
      </c>
    </row>
    <row r="127" spans="1:24">
      <c r="A127" t="s">
        <v>184</v>
      </c>
      <c r="B127">
        <v>37</v>
      </c>
      <c r="C127" t="str" cm="1">
        <f t="array" ref="C127">_xlfn.IFS(B127&lt;=18,"0-18",B127&lt;=35,"19-35",B127&lt;=50,"36-50",B127&lt;=65,"51-65","True","65+")</f>
        <v>36-50</v>
      </c>
      <c r="D127" t="s">
        <v>45</v>
      </c>
      <c r="E127" s="6">
        <v>45092</v>
      </c>
      <c r="F127" s="6">
        <v>45098</v>
      </c>
      <c r="G127">
        <v>6</v>
      </c>
      <c r="H127" t="s">
        <v>23</v>
      </c>
      <c r="I127">
        <v>4</v>
      </c>
      <c r="J127" t="s">
        <v>71</v>
      </c>
      <c r="K127">
        <v>48516</v>
      </c>
      <c r="L127" t="s">
        <v>60</v>
      </c>
      <c r="M127" t="s">
        <v>26</v>
      </c>
      <c r="N127" t="s">
        <v>27</v>
      </c>
      <c r="O127" s="2">
        <v>45205</v>
      </c>
      <c r="P127" s="2">
        <v>45236</v>
      </c>
      <c r="Q127" s="38">
        <f t="shared" si="1"/>
        <v>31</v>
      </c>
      <c r="R127" t="s">
        <v>37</v>
      </c>
      <c r="S127" t="s">
        <v>29</v>
      </c>
      <c r="T127" t="s">
        <v>30</v>
      </c>
      <c r="U127">
        <v>7</v>
      </c>
      <c r="V127">
        <v>12</v>
      </c>
      <c r="W127" s="18">
        <f>IFERROR(Table1[[#This Row],[Staff Hours Worked]]/Table1[[#This Row],[Staff Available Hours]],0)</f>
        <v>0.58333333333333337</v>
      </c>
      <c r="X127" t="s">
        <v>68</v>
      </c>
    </row>
    <row r="128" spans="1:24">
      <c r="A128" t="s">
        <v>185</v>
      </c>
      <c r="B128">
        <v>44</v>
      </c>
      <c r="C128" t="str" cm="1">
        <f t="array" ref="C128">_xlfn.IFS(B128&lt;=18,"0-18",B128&lt;=35,"19-35",B128&lt;=50,"36-50",B128&lt;=65,"51-65","True","65+")</f>
        <v>36-50</v>
      </c>
      <c r="D128" t="s">
        <v>41</v>
      </c>
      <c r="E128" s="6">
        <v>44927</v>
      </c>
      <c r="F128" s="6">
        <v>45200</v>
      </c>
      <c r="G128">
        <v>9</v>
      </c>
      <c r="H128" t="s">
        <v>34</v>
      </c>
      <c r="I128">
        <v>4</v>
      </c>
      <c r="J128" t="s">
        <v>24</v>
      </c>
      <c r="K128">
        <v>43066</v>
      </c>
      <c r="L128" t="s">
        <v>53</v>
      </c>
      <c r="M128" t="s">
        <v>54</v>
      </c>
      <c r="N128" t="s">
        <v>27</v>
      </c>
      <c r="O128" s="2">
        <v>44923</v>
      </c>
      <c r="P128" s="2">
        <v>44923.708333333336</v>
      </c>
      <c r="Q128" s="38">
        <f t="shared" si="1"/>
        <v>0.70833333333575865</v>
      </c>
      <c r="R128" t="s">
        <v>64</v>
      </c>
      <c r="S128" t="s">
        <v>29</v>
      </c>
      <c r="T128" t="s">
        <v>47</v>
      </c>
      <c r="U128">
        <v>10</v>
      </c>
      <c r="V128">
        <v>8</v>
      </c>
      <c r="W128" s="18">
        <f>IFERROR(Table1[[#This Row],[Staff Hours Worked]]/Table1[[#This Row],[Staff Available Hours]],0)</f>
        <v>1.25</v>
      </c>
      <c r="X128" t="s">
        <v>48</v>
      </c>
    </row>
    <row r="129" spans="1:24">
      <c r="A129" t="s">
        <v>186</v>
      </c>
      <c r="B129">
        <v>86</v>
      </c>
      <c r="C129" t="str" cm="1">
        <f t="array" ref="C129">_xlfn.IFS(B129&lt;=18,"0-18",B129&lt;=35,"19-35",B129&lt;=50,"36-50",B129&lt;=65,"51-65","True","65+")</f>
        <v>65+</v>
      </c>
      <c r="D129" t="s">
        <v>62</v>
      </c>
      <c r="E129" s="6">
        <v>45258</v>
      </c>
      <c r="F129" s="6">
        <v>45150</v>
      </c>
      <c r="G129">
        <v>10</v>
      </c>
      <c r="H129" t="s">
        <v>63</v>
      </c>
      <c r="I129">
        <v>2</v>
      </c>
      <c r="J129" t="s">
        <v>46</v>
      </c>
      <c r="K129">
        <v>36472</v>
      </c>
      <c r="L129" t="s">
        <v>25</v>
      </c>
      <c r="M129" t="s">
        <v>54</v>
      </c>
      <c r="N129" t="s">
        <v>27</v>
      </c>
      <c r="O129" s="2">
        <v>45256</v>
      </c>
      <c r="P129" s="2">
        <v>45256.666666666664</v>
      </c>
      <c r="Q129" s="38">
        <f t="shared" si="1"/>
        <v>0.66666666666424135</v>
      </c>
      <c r="R129" t="s">
        <v>64</v>
      </c>
      <c r="S129" t="s">
        <v>38</v>
      </c>
      <c r="T129" t="s">
        <v>30</v>
      </c>
      <c r="U129">
        <v>4</v>
      </c>
      <c r="V129">
        <v>12</v>
      </c>
      <c r="W129" s="18">
        <f>IFERROR(Table1[[#This Row],[Staff Hours Worked]]/Table1[[#This Row],[Staff Available Hours]],0)</f>
        <v>0.33333333333333331</v>
      </c>
      <c r="X129" t="s">
        <v>31</v>
      </c>
    </row>
    <row r="130" spans="1:24">
      <c r="A130" t="s">
        <v>187</v>
      </c>
      <c r="B130">
        <v>35</v>
      </c>
      <c r="C130" t="str" cm="1">
        <f t="array" ref="C130">_xlfn.IFS(B130&lt;=18,"0-18",B130&lt;=35,"19-35",B130&lt;=50,"36-50",B130&lt;=65,"51-65","True","65+")</f>
        <v>19-35</v>
      </c>
      <c r="D130" t="s">
        <v>41</v>
      </c>
      <c r="E130" s="6">
        <v>45427</v>
      </c>
      <c r="F130" s="6">
        <v>45429</v>
      </c>
      <c r="G130">
        <v>2</v>
      </c>
      <c r="H130" t="s">
        <v>50</v>
      </c>
      <c r="I130">
        <v>2</v>
      </c>
      <c r="J130" t="s">
        <v>71</v>
      </c>
      <c r="K130">
        <v>39629</v>
      </c>
      <c r="L130" t="s">
        <v>36</v>
      </c>
      <c r="M130" t="s">
        <v>54</v>
      </c>
      <c r="N130" t="s">
        <v>27</v>
      </c>
      <c r="O130" s="2">
        <v>45426</v>
      </c>
      <c r="P130" s="2">
        <v>45427.958333333336</v>
      </c>
      <c r="Q130" s="38">
        <f t="shared" ref="Q130:Q193" si="2">IF(OR(O130="",P130=""),"",ABS(P130-O130))</f>
        <v>1.9583333333357587</v>
      </c>
      <c r="R130" t="s">
        <v>28</v>
      </c>
      <c r="S130" t="s">
        <v>29</v>
      </c>
      <c r="T130" t="s">
        <v>43</v>
      </c>
      <c r="U130">
        <v>10</v>
      </c>
      <c r="V130">
        <v>8</v>
      </c>
      <c r="W130" s="18">
        <f>IFERROR(Table1[[#This Row],[Staff Hours Worked]]/Table1[[#This Row],[Staff Available Hours]],0)</f>
        <v>1.25</v>
      </c>
      <c r="X130" t="s">
        <v>31</v>
      </c>
    </row>
    <row r="131" spans="1:24">
      <c r="A131" t="s">
        <v>188</v>
      </c>
      <c r="B131">
        <v>65</v>
      </c>
      <c r="C131" t="str" cm="1">
        <f t="array" ref="C131">_xlfn.IFS(B131&lt;=18,"0-18",B131&lt;=35,"19-35",B131&lt;=50,"36-50",B131&lt;=65,"51-65","True","65+")</f>
        <v>51-65</v>
      </c>
      <c r="D131" t="s">
        <v>22</v>
      </c>
      <c r="E131" s="6">
        <v>44946</v>
      </c>
      <c r="F131" s="6">
        <v>44954</v>
      </c>
      <c r="G131">
        <v>8</v>
      </c>
      <c r="H131" t="s">
        <v>57</v>
      </c>
      <c r="I131">
        <v>2</v>
      </c>
      <c r="J131" t="s">
        <v>24</v>
      </c>
      <c r="K131">
        <v>28004</v>
      </c>
      <c r="L131" t="s">
        <v>36</v>
      </c>
      <c r="M131" t="s">
        <v>54</v>
      </c>
      <c r="N131" t="s">
        <v>27</v>
      </c>
      <c r="O131" s="2">
        <v>44941</v>
      </c>
      <c r="P131" s="2">
        <v>44942.708333333336</v>
      </c>
      <c r="Q131" s="38">
        <f t="shared" si="2"/>
        <v>1.7083333333357587</v>
      </c>
      <c r="R131" t="s">
        <v>42</v>
      </c>
      <c r="S131" t="s">
        <v>29</v>
      </c>
      <c r="T131" t="s">
        <v>47</v>
      </c>
      <c r="U131">
        <v>6</v>
      </c>
      <c r="V131">
        <v>10</v>
      </c>
      <c r="W131" s="18">
        <f>IFERROR(Table1[[#This Row],[Staff Hours Worked]]/Table1[[#This Row],[Staff Available Hours]],0)</f>
        <v>0.6</v>
      </c>
      <c r="X131" t="s">
        <v>31</v>
      </c>
    </row>
    <row r="132" spans="1:24">
      <c r="A132" t="s">
        <v>189</v>
      </c>
      <c r="B132">
        <v>47</v>
      </c>
      <c r="C132" t="str" cm="1">
        <f t="array" ref="C132">_xlfn.IFS(B132&lt;=18,"0-18",B132&lt;=35,"19-35",B132&lt;=50,"36-50",B132&lt;=65,"51-65","True","65+")</f>
        <v>36-50</v>
      </c>
      <c r="D132" t="s">
        <v>22</v>
      </c>
      <c r="E132" s="6">
        <v>45041</v>
      </c>
      <c r="F132" s="6">
        <v>45021</v>
      </c>
      <c r="G132">
        <v>9</v>
      </c>
      <c r="H132" t="s">
        <v>57</v>
      </c>
      <c r="I132">
        <v>4</v>
      </c>
      <c r="J132" t="s">
        <v>35</v>
      </c>
      <c r="K132">
        <v>25431</v>
      </c>
      <c r="L132" t="s">
        <v>60</v>
      </c>
      <c r="M132" t="s">
        <v>26</v>
      </c>
      <c r="N132" t="s">
        <v>27</v>
      </c>
      <c r="O132" s="2">
        <v>45039</v>
      </c>
      <c r="P132" s="2">
        <v>45040.333333333336</v>
      </c>
      <c r="Q132" s="38">
        <f t="shared" si="2"/>
        <v>1.3333333333357587</v>
      </c>
      <c r="R132" t="s">
        <v>28</v>
      </c>
      <c r="S132" t="s">
        <v>29</v>
      </c>
      <c r="T132" t="s">
        <v>30</v>
      </c>
      <c r="U132">
        <v>8</v>
      </c>
      <c r="V132">
        <v>12</v>
      </c>
      <c r="W132" s="18">
        <f>IFERROR(Table1[[#This Row],[Staff Hours Worked]]/Table1[[#This Row],[Staff Available Hours]],0)</f>
        <v>0.66666666666666663</v>
      </c>
      <c r="X132" t="s">
        <v>68</v>
      </c>
    </row>
    <row r="133" spans="1:24">
      <c r="A133" t="s">
        <v>190</v>
      </c>
      <c r="B133">
        <v>78</v>
      </c>
      <c r="C133" t="str" cm="1">
        <f t="array" ref="C133">_xlfn.IFS(B133&lt;=18,"0-18",B133&lt;=35,"19-35",B133&lt;=50,"36-50",B133&lt;=65,"51-65","True","65+")</f>
        <v>65+</v>
      </c>
      <c r="D133" t="s">
        <v>33</v>
      </c>
      <c r="E133" s="6">
        <v>45474</v>
      </c>
      <c r="F133" s="6">
        <v>45597</v>
      </c>
      <c r="G133">
        <v>4</v>
      </c>
      <c r="H133" t="s">
        <v>40</v>
      </c>
      <c r="I133">
        <v>2</v>
      </c>
      <c r="J133" t="s">
        <v>46</v>
      </c>
      <c r="K133">
        <v>45088</v>
      </c>
      <c r="L133" t="s">
        <v>53</v>
      </c>
      <c r="M133" t="s">
        <v>26</v>
      </c>
      <c r="N133" t="s">
        <v>41</v>
      </c>
      <c r="O133" s="2">
        <v>45352</v>
      </c>
      <c r="P133" s="2">
        <v>45383.625</v>
      </c>
      <c r="Q133" s="38">
        <f t="shared" si="2"/>
        <v>31.625</v>
      </c>
      <c r="R133" t="s">
        <v>28</v>
      </c>
      <c r="S133" t="s">
        <v>38</v>
      </c>
      <c r="T133" t="s">
        <v>30</v>
      </c>
      <c r="U133">
        <v>5</v>
      </c>
      <c r="V133">
        <v>8</v>
      </c>
      <c r="W133" s="18">
        <f>IFERROR(Table1[[#This Row],[Staff Hours Worked]]/Table1[[#This Row],[Staff Available Hours]],0)</f>
        <v>0.625</v>
      </c>
      <c r="X133" t="s">
        <v>31</v>
      </c>
    </row>
    <row r="134" spans="1:24">
      <c r="A134" t="s">
        <v>191</v>
      </c>
      <c r="B134">
        <v>3</v>
      </c>
      <c r="C134" t="str" cm="1">
        <f t="array" ref="C134">_xlfn.IFS(B134&lt;=18,"0-18",B134&lt;=35,"19-35",B134&lt;=50,"36-50",B134&lt;=65,"51-65","True","65+")</f>
        <v>0-18</v>
      </c>
      <c r="D134" t="s">
        <v>52</v>
      </c>
      <c r="E134" s="6">
        <v>45241</v>
      </c>
      <c r="F134" s="6">
        <v>45251</v>
      </c>
      <c r="G134">
        <v>10</v>
      </c>
      <c r="H134" t="s">
        <v>40</v>
      </c>
      <c r="I134">
        <v>1</v>
      </c>
      <c r="J134" t="s">
        <v>66</v>
      </c>
      <c r="K134">
        <v>49135</v>
      </c>
      <c r="L134" t="s">
        <v>53</v>
      </c>
      <c r="M134" t="s">
        <v>54</v>
      </c>
      <c r="N134" t="s">
        <v>27</v>
      </c>
      <c r="O134" s="2">
        <v>45118</v>
      </c>
      <c r="P134" s="2">
        <v>45149.666666666664</v>
      </c>
      <c r="Q134" s="38">
        <f t="shared" si="2"/>
        <v>31.666666666664241</v>
      </c>
      <c r="R134" t="s">
        <v>37</v>
      </c>
      <c r="S134" t="s">
        <v>29</v>
      </c>
      <c r="T134" t="s">
        <v>43</v>
      </c>
      <c r="U134">
        <v>7</v>
      </c>
      <c r="V134">
        <v>12</v>
      </c>
      <c r="W134" s="18">
        <f>IFERROR(Table1[[#This Row],[Staff Hours Worked]]/Table1[[#This Row],[Staff Available Hours]],0)</f>
        <v>0.58333333333333337</v>
      </c>
      <c r="X134" t="s">
        <v>31</v>
      </c>
    </row>
    <row r="135" spans="1:24">
      <c r="A135" t="s">
        <v>192</v>
      </c>
      <c r="B135">
        <v>1</v>
      </c>
      <c r="C135" t="str" cm="1">
        <f t="array" ref="C135">_xlfn.IFS(B135&lt;=18,"0-18",B135&lt;=35,"19-35",B135&lt;=50,"36-50",B135&lt;=65,"51-65","True","65+")</f>
        <v>0-18</v>
      </c>
      <c r="D135" t="s">
        <v>62</v>
      </c>
      <c r="E135" s="6">
        <v>44994</v>
      </c>
      <c r="F135" s="6">
        <v>45025</v>
      </c>
      <c r="G135">
        <v>1</v>
      </c>
      <c r="H135" t="s">
        <v>23</v>
      </c>
      <c r="I135">
        <v>4</v>
      </c>
      <c r="J135" t="s">
        <v>71</v>
      </c>
      <c r="K135">
        <v>43015</v>
      </c>
      <c r="L135" t="s">
        <v>36</v>
      </c>
      <c r="M135" t="s">
        <v>26</v>
      </c>
      <c r="N135" t="s">
        <v>41</v>
      </c>
      <c r="O135" s="2">
        <v>44994</v>
      </c>
      <c r="P135" s="2">
        <v>44994.541666666664</v>
      </c>
      <c r="Q135" s="38">
        <f t="shared" si="2"/>
        <v>0.54166666666424135</v>
      </c>
      <c r="R135" t="s">
        <v>28</v>
      </c>
      <c r="S135" t="s">
        <v>29</v>
      </c>
      <c r="T135" t="s">
        <v>47</v>
      </c>
      <c r="U135">
        <v>7</v>
      </c>
      <c r="V135">
        <v>8</v>
      </c>
      <c r="W135" s="18">
        <f>IFERROR(Table1[[#This Row],[Staff Hours Worked]]/Table1[[#This Row],[Staff Available Hours]],0)</f>
        <v>0.875</v>
      </c>
      <c r="X135" t="s">
        <v>48</v>
      </c>
    </row>
    <row r="136" spans="1:24">
      <c r="A136" t="s">
        <v>193</v>
      </c>
      <c r="B136">
        <v>5</v>
      </c>
      <c r="C136" t="str" cm="1">
        <f t="array" ref="C136">_xlfn.IFS(B136&lt;=18,"0-18",B136&lt;=35,"19-35",B136&lt;=50,"36-50",B136&lt;=65,"51-65","True","65+")</f>
        <v>0-18</v>
      </c>
      <c r="D136" t="s">
        <v>33</v>
      </c>
      <c r="E136" s="6">
        <v>44929</v>
      </c>
      <c r="F136" s="6">
        <v>44998</v>
      </c>
      <c r="G136">
        <v>12</v>
      </c>
      <c r="H136" t="s">
        <v>23</v>
      </c>
      <c r="I136">
        <v>1</v>
      </c>
      <c r="J136" t="s">
        <v>24</v>
      </c>
      <c r="K136">
        <v>39502</v>
      </c>
      <c r="L136" t="s">
        <v>67</v>
      </c>
      <c r="M136" t="s">
        <v>54</v>
      </c>
      <c r="N136" t="s">
        <v>27</v>
      </c>
      <c r="O136" s="2">
        <v>44982</v>
      </c>
      <c r="P136" s="2">
        <v>44983.25</v>
      </c>
      <c r="Q136" s="38">
        <f t="shared" si="2"/>
        <v>1.25</v>
      </c>
      <c r="R136" t="s">
        <v>28</v>
      </c>
      <c r="S136" t="s">
        <v>29</v>
      </c>
      <c r="T136" t="s">
        <v>43</v>
      </c>
      <c r="U136">
        <v>9</v>
      </c>
      <c r="V136">
        <v>8</v>
      </c>
      <c r="W136" s="18">
        <f>IFERROR(Table1[[#This Row],[Staff Hours Worked]]/Table1[[#This Row],[Staff Available Hours]],0)</f>
        <v>1.125</v>
      </c>
      <c r="X136" t="s">
        <v>31</v>
      </c>
    </row>
    <row r="137" spans="1:24">
      <c r="A137" t="s">
        <v>194</v>
      </c>
      <c r="B137">
        <v>14</v>
      </c>
      <c r="C137" t="str" cm="1">
        <f t="array" ref="C137">_xlfn.IFS(B137&lt;=18,"0-18",B137&lt;=35,"19-35",B137&lt;=50,"36-50",B137&lt;=65,"51-65","True","65+")</f>
        <v>0-18</v>
      </c>
      <c r="D137" t="s">
        <v>62</v>
      </c>
      <c r="E137" s="6">
        <v>45025</v>
      </c>
      <c r="F137" s="6">
        <v>45186</v>
      </c>
      <c r="G137">
        <v>13</v>
      </c>
      <c r="H137" t="s">
        <v>57</v>
      </c>
      <c r="I137">
        <v>3</v>
      </c>
      <c r="J137" t="s">
        <v>35</v>
      </c>
      <c r="K137">
        <v>36385</v>
      </c>
      <c r="L137" t="s">
        <v>60</v>
      </c>
      <c r="M137" t="s">
        <v>26</v>
      </c>
      <c r="N137" t="s">
        <v>27</v>
      </c>
      <c r="O137" s="2">
        <v>45168</v>
      </c>
      <c r="P137" s="2">
        <v>45168.291666666664</v>
      </c>
      <c r="Q137" s="38">
        <f t="shared" si="2"/>
        <v>0.29166666666424135</v>
      </c>
      <c r="R137" t="s">
        <v>55</v>
      </c>
      <c r="S137" t="s">
        <v>29</v>
      </c>
      <c r="T137" t="s">
        <v>47</v>
      </c>
      <c r="U137">
        <v>8</v>
      </c>
      <c r="V137">
        <v>8</v>
      </c>
      <c r="W137" s="18">
        <f>IFERROR(Table1[[#This Row],[Staff Hours Worked]]/Table1[[#This Row],[Staff Available Hours]],0)</f>
        <v>1</v>
      </c>
      <c r="X137" t="s">
        <v>48</v>
      </c>
    </row>
    <row r="138" spans="1:24">
      <c r="A138" t="s">
        <v>195</v>
      </c>
      <c r="B138">
        <v>27</v>
      </c>
      <c r="C138" t="str" cm="1">
        <f t="array" ref="C138">_xlfn.IFS(B138&lt;=18,"0-18",B138&lt;=35,"19-35",B138&lt;=50,"36-50",B138&lt;=65,"51-65","True","65+")</f>
        <v>19-35</v>
      </c>
      <c r="D138" t="s">
        <v>52</v>
      </c>
      <c r="E138" s="6">
        <v>45007</v>
      </c>
      <c r="F138" s="6">
        <v>45081</v>
      </c>
      <c r="G138">
        <v>15</v>
      </c>
      <c r="H138" t="s">
        <v>50</v>
      </c>
      <c r="I138">
        <v>4</v>
      </c>
      <c r="J138" t="s">
        <v>66</v>
      </c>
      <c r="K138">
        <v>9663</v>
      </c>
      <c r="L138" t="s">
        <v>60</v>
      </c>
      <c r="M138" t="s">
        <v>54</v>
      </c>
      <c r="N138" t="s">
        <v>27</v>
      </c>
      <c r="O138" s="2">
        <v>45006</v>
      </c>
      <c r="P138" s="2">
        <v>45006.375</v>
      </c>
      <c r="Q138" s="38">
        <f t="shared" si="2"/>
        <v>0.375</v>
      </c>
      <c r="R138" t="s">
        <v>64</v>
      </c>
      <c r="S138" t="s">
        <v>29</v>
      </c>
      <c r="T138" t="s">
        <v>47</v>
      </c>
      <c r="U138">
        <v>7</v>
      </c>
      <c r="V138">
        <v>12</v>
      </c>
      <c r="W138" s="18">
        <f>IFERROR(Table1[[#This Row],[Staff Hours Worked]]/Table1[[#This Row],[Staff Available Hours]],0)</f>
        <v>0.58333333333333337</v>
      </c>
      <c r="X138" t="s">
        <v>31</v>
      </c>
    </row>
    <row r="139" spans="1:24">
      <c r="A139" t="s">
        <v>196</v>
      </c>
      <c r="B139">
        <v>9</v>
      </c>
      <c r="C139" t="str" cm="1">
        <f t="array" ref="C139">_xlfn.IFS(B139&lt;=18,"0-18",B139&lt;=35,"19-35",B139&lt;=50,"36-50",B139&lt;=65,"51-65","True","65+")</f>
        <v>0-18</v>
      </c>
      <c r="D139" t="s">
        <v>41</v>
      </c>
      <c r="E139" s="6">
        <v>45014</v>
      </c>
      <c r="F139" s="6">
        <v>45264</v>
      </c>
      <c r="G139">
        <v>14</v>
      </c>
      <c r="H139" t="s">
        <v>34</v>
      </c>
      <c r="I139">
        <v>3</v>
      </c>
      <c r="J139" t="s">
        <v>24</v>
      </c>
      <c r="K139">
        <v>43677</v>
      </c>
      <c r="L139" t="s">
        <v>36</v>
      </c>
      <c r="M139" t="s">
        <v>26</v>
      </c>
      <c r="N139" t="s">
        <v>27</v>
      </c>
      <c r="O139" s="2">
        <v>45010</v>
      </c>
      <c r="P139" s="2">
        <v>45010.833333333336</v>
      </c>
      <c r="Q139" s="38">
        <f t="shared" si="2"/>
        <v>0.83333333333575865</v>
      </c>
      <c r="R139" t="s">
        <v>64</v>
      </c>
      <c r="S139" t="s">
        <v>29</v>
      </c>
      <c r="T139" t="s">
        <v>30</v>
      </c>
      <c r="U139">
        <v>9</v>
      </c>
      <c r="V139">
        <v>8</v>
      </c>
      <c r="W139" s="18">
        <f>IFERROR(Table1[[#This Row],[Staff Hours Worked]]/Table1[[#This Row],[Staff Available Hours]],0)</f>
        <v>1.125</v>
      </c>
      <c r="X139" t="s">
        <v>68</v>
      </c>
    </row>
    <row r="140" spans="1:24">
      <c r="A140" t="s">
        <v>197</v>
      </c>
      <c r="B140">
        <v>79</v>
      </c>
      <c r="C140" t="str" cm="1">
        <f t="array" ref="C140">_xlfn.IFS(B140&lt;=18,"0-18",B140&lt;=35,"19-35",B140&lt;=50,"36-50",B140&lt;=65,"51-65","True","65+")</f>
        <v>65+</v>
      </c>
      <c r="D140" t="s">
        <v>41</v>
      </c>
      <c r="E140" s="6">
        <v>45631</v>
      </c>
      <c r="F140" s="6">
        <v>45435</v>
      </c>
      <c r="G140">
        <v>11</v>
      </c>
      <c r="H140" t="s">
        <v>34</v>
      </c>
      <c r="I140">
        <v>2</v>
      </c>
      <c r="J140" t="s">
        <v>24</v>
      </c>
      <c r="K140">
        <v>17818</v>
      </c>
      <c r="L140" t="s">
        <v>36</v>
      </c>
      <c r="M140" t="s">
        <v>54</v>
      </c>
      <c r="N140" t="s">
        <v>27</v>
      </c>
      <c r="O140" s="2">
        <v>45509</v>
      </c>
      <c r="P140" s="2">
        <v>45509.041666666664</v>
      </c>
      <c r="Q140" s="38">
        <f t="shared" si="2"/>
        <v>4.1666666664241347E-2</v>
      </c>
      <c r="R140" t="s">
        <v>42</v>
      </c>
      <c r="S140" t="s">
        <v>29</v>
      </c>
      <c r="T140" t="s">
        <v>43</v>
      </c>
      <c r="U140">
        <v>9</v>
      </c>
      <c r="V140">
        <v>10</v>
      </c>
      <c r="W140" s="18">
        <f>IFERROR(Table1[[#This Row],[Staff Hours Worked]]/Table1[[#This Row],[Staff Available Hours]],0)</f>
        <v>0.9</v>
      </c>
      <c r="X140" t="s">
        <v>31</v>
      </c>
    </row>
    <row r="141" spans="1:24">
      <c r="A141" t="s">
        <v>198</v>
      </c>
      <c r="B141">
        <v>15</v>
      </c>
      <c r="C141" t="str" cm="1">
        <f t="array" ref="C141">_xlfn.IFS(B141&lt;=18,"0-18",B141&lt;=35,"19-35",B141&lt;=50,"36-50",B141&lt;=65,"51-65","True","65+")</f>
        <v>0-18</v>
      </c>
      <c r="D141" t="s">
        <v>52</v>
      </c>
      <c r="E141" s="6">
        <v>45263</v>
      </c>
      <c r="F141" s="6">
        <v>45006</v>
      </c>
      <c r="G141">
        <v>9</v>
      </c>
      <c r="H141" t="s">
        <v>23</v>
      </c>
      <c r="I141">
        <v>2</v>
      </c>
      <c r="J141" t="s">
        <v>66</v>
      </c>
      <c r="K141">
        <v>27686</v>
      </c>
      <c r="L141" t="s">
        <v>67</v>
      </c>
      <c r="M141" t="s">
        <v>54</v>
      </c>
      <c r="N141" t="s">
        <v>41</v>
      </c>
      <c r="O141" s="2">
        <v>45233</v>
      </c>
      <c r="P141" s="2">
        <v>45263.083333333336</v>
      </c>
      <c r="Q141" s="38">
        <f t="shared" si="2"/>
        <v>30.083333333335759</v>
      </c>
      <c r="R141" t="s">
        <v>64</v>
      </c>
      <c r="S141" t="s">
        <v>29</v>
      </c>
      <c r="T141" t="s">
        <v>43</v>
      </c>
      <c r="U141">
        <v>9</v>
      </c>
      <c r="V141">
        <v>12</v>
      </c>
      <c r="W141" s="18">
        <f>IFERROR(Table1[[#This Row],[Staff Hours Worked]]/Table1[[#This Row],[Staff Available Hours]],0)</f>
        <v>0.75</v>
      </c>
      <c r="X141" t="s">
        <v>31</v>
      </c>
    </row>
    <row r="142" spans="1:24">
      <c r="A142" t="s">
        <v>199</v>
      </c>
      <c r="B142">
        <v>42</v>
      </c>
      <c r="C142" t="str" cm="1">
        <f t="array" ref="C142">_xlfn.IFS(B142&lt;=18,"0-18",B142&lt;=35,"19-35",B142&lt;=50,"36-50",B142&lt;=65,"51-65","True","65+")</f>
        <v>36-50</v>
      </c>
      <c r="D142" t="s">
        <v>33</v>
      </c>
      <c r="E142" s="6">
        <v>45174</v>
      </c>
      <c r="F142" s="6">
        <v>45060</v>
      </c>
      <c r="G142">
        <v>5</v>
      </c>
      <c r="H142" t="s">
        <v>50</v>
      </c>
      <c r="I142">
        <v>5</v>
      </c>
      <c r="J142" t="s">
        <v>35</v>
      </c>
      <c r="K142">
        <v>28977</v>
      </c>
      <c r="L142" t="s">
        <v>67</v>
      </c>
      <c r="M142" t="s">
        <v>54</v>
      </c>
      <c r="N142" t="s">
        <v>27</v>
      </c>
      <c r="O142" s="2">
        <v>45143</v>
      </c>
      <c r="P142" s="2">
        <v>45143.916666666664</v>
      </c>
      <c r="Q142" s="38">
        <f t="shared" si="2"/>
        <v>0.91666666666424135</v>
      </c>
      <c r="R142" t="s">
        <v>42</v>
      </c>
      <c r="S142" t="s">
        <v>29</v>
      </c>
      <c r="T142" t="s">
        <v>43</v>
      </c>
      <c r="U142">
        <v>11</v>
      </c>
      <c r="V142">
        <v>10</v>
      </c>
      <c r="W142" s="18">
        <f>IFERROR(Table1[[#This Row],[Staff Hours Worked]]/Table1[[#This Row],[Staff Available Hours]],0)</f>
        <v>1.1000000000000001</v>
      </c>
      <c r="X142" t="s">
        <v>48</v>
      </c>
    </row>
    <row r="143" spans="1:24">
      <c r="A143" t="s">
        <v>200</v>
      </c>
      <c r="B143">
        <v>77</v>
      </c>
      <c r="C143" t="str" cm="1">
        <f t="array" ref="C143">_xlfn.IFS(B143&lt;=18,"0-18",B143&lt;=35,"19-35",B143&lt;=50,"36-50",B143&lt;=65,"51-65","True","65+")</f>
        <v>65+</v>
      </c>
      <c r="D143" t="s">
        <v>52</v>
      </c>
      <c r="E143" s="6">
        <v>45265</v>
      </c>
      <c r="F143" s="6">
        <v>45066</v>
      </c>
      <c r="G143">
        <v>8</v>
      </c>
      <c r="H143" t="s">
        <v>23</v>
      </c>
      <c r="I143">
        <v>2</v>
      </c>
      <c r="J143" t="s">
        <v>35</v>
      </c>
      <c r="K143">
        <v>45931</v>
      </c>
      <c r="L143" t="s">
        <v>53</v>
      </c>
      <c r="M143" t="s">
        <v>54</v>
      </c>
      <c r="N143" t="s">
        <v>27</v>
      </c>
      <c r="O143" s="2">
        <v>45112</v>
      </c>
      <c r="P143" s="2">
        <v>45143.666666666664</v>
      </c>
      <c r="Q143" s="38">
        <f t="shared" si="2"/>
        <v>31.666666666664241</v>
      </c>
      <c r="R143" t="s">
        <v>55</v>
      </c>
      <c r="S143" t="s">
        <v>29</v>
      </c>
      <c r="T143" t="s">
        <v>47</v>
      </c>
      <c r="U143">
        <v>7</v>
      </c>
      <c r="V143">
        <v>10</v>
      </c>
      <c r="W143" s="18">
        <f>IFERROR(Table1[[#This Row],[Staff Hours Worked]]/Table1[[#This Row],[Staff Available Hours]],0)</f>
        <v>0.7</v>
      </c>
      <c r="X143" t="s">
        <v>48</v>
      </c>
    </row>
    <row r="144" spans="1:24">
      <c r="A144" t="s">
        <v>201</v>
      </c>
      <c r="B144">
        <v>51</v>
      </c>
      <c r="C144" t="str" cm="1">
        <f t="array" ref="C144">_xlfn.IFS(B144&lt;=18,"0-18",B144&lt;=35,"19-35",B144&lt;=50,"36-50",B144&lt;=65,"51-65","True","65+")</f>
        <v>51-65</v>
      </c>
      <c r="D144" t="s">
        <v>45</v>
      </c>
      <c r="E144" s="6">
        <v>45296</v>
      </c>
      <c r="F144" s="6">
        <v>45631</v>
      </c>
      <c r="G144">
        <v>11</v>
      </c>
      <c r="H144" t="s">
        <v>34</v>
      </c>
      <c r="I144">
        <v>3</v>
      </c>
      <c r="J144" t="s">
        <v>46</v>
      </c>
      <c r="K144">
        <v>23454</v>
      </c>
      <c r="L144" t="s">
        <v>60</v>
      </c>
      <c r="M144" t="s">
        <v>54</v>
      </c>
      <c r="N144" t="s">
        <v>41</v>
      </c>
      <c r="O144" s="2">
        <v>45409</v>
      </c>
      <c r="P144" s="2">
        <v>45410.041666666664</v>
      </c>
      <c r="Q144" s="38">
        <f t="shared" si="2"/>
        <v>1.0416666666642413</v>
      </c>
      <c r="R144" t="s">
        <v>64</v>
      </c>
      <c r="S144" t="s">
        <v>29</v>
      </c>
      <c r="T144" t="s">
        <v>43</v>
      </c>
      <c r="U144">
        <v>7</v>
      </c>
      <c r="V144">
        <v>12</v>
      </c>
      <c r="W144" s="18">
        <f>IFERROR(Table1[[#This Row],[Staff Hours Worked]]/Table1[[#This Row],[Staff Available Hours]],0)</f>
        <v>0.58333333333333337</v>
      </c>
      <c r="X144" t="s">
        <v>48</v>
      </c>
    </row>
    <row r="145" spans="1:24">
      <c r="A145" t="s">
        <v>202</v>
      </c>
      <c r="B145">
        <v>63</v>
      </c>
      <c r="C145" t="str" cm="1">
        <f t="array" ref="C145">_xlfn.IFS(B145&lt;=18,"0-18",B145&lt;=35,"19-35",B145&lt;=50,"36-50",B145&lt;=65,"51-65","True","65+")</f>
        <v>51-65</v>
      </c>
      <c r="D145" t="s">
        <v>22</v>
      </c>
      <c r="E145" s="6">
        <v>45096</v>
      </c>
      <c r="F145" s="6">
        <v>45097</v>
      </c>
      <c r="G145">
        <v>1</v>
      </c>
      <c r="H145" t="s">
        <v>23</v>
      </c>
      <c r="I145">
        <v>2</v>
      </c>
      <c r="J145" t="s">
        <v>71</v>
      </c>
      <c r="K145">
        <v>18358</v>
      </c>
      <c r="L145" t="s">
        <v>60</v>
      </c>
      <c r="M145" t="s">
        <v>54</v>
      </c>
      <c r="N145" t="s">
        <v>41</v>
      </c>
      <c r="O145" s="2">
        <v>45091</v>
      </c>
      <c r="P145" s="2">
        <v>45091.916666666664</v>
      </c>
      <c r="Q145" s="38">
        <f t="shared" si="2"/>
        <v>0.91666666666424135</v>
      </c>
      <c r="R145" t="s">
        <v>55</v>
      </c>
      <c r="S145" t="s">
        <v>29</v>
      </c>
      <c r="T145" t="s">
        <v>47</v>
      </c>
      <c r="U145">
        <v>7</v>
      </c>
      <c r="V145">
        <v>8</v>
      </c>
      <c r="W145" s="18">
        <f>IFERROR(Table1[[#This Row],[Staff Hours Worked]]/Table1[[#This Row],[Staff Available Hours]],0)</f>
        <v>0.875</v>
      </c>
      <c r="X145" t="s">
        <v>31</v>
      </c>
    </row>
    <row r="146" spans="1:24">
      <c r="A146" t="s">
        <v>203</v>
      </c>
      <c r="B146">
        <v>52</v>
      </c>
      <c r="C146" t="str" cm="1">
        <f t="array" ref="C146">_xlfn.IFS(B146&lt;=18,"0-18",B146&lt;=35,"19-35",B146&lt;=50,"36-50",B146&lt;=65,"51-65","True","65+")</f>
        <v>51-65</v>
      </c>
      <c r="D146" t="s">
        <v>33</v>
      </c>
      <c r="E146" s="6">
        <v>45198</v>
      </c>
      <c r="F146" s="6">
        <v>45199</v>
      </c>
      <c r="G146">
        <v>1</v>
      </c>
      <c r="H146" t="s">
        <v>63</v>
      </c>
      <c r="I146">
        <v>4</v>
      </c>
      <c r="J146" t="s">
        <v>66</v>
      </c>
      <c r="K146">
        <v>11668</v>
      </c>
      <c r="L146" t="s">
        <v>36</v>
      </c>
      <c r="M146" t="s">
        <v>54</v>
      </c>
      <c r="N146" t="s">
        <v>27</v>
      </c>
      <c r="O146" s="2">
        <v>45194</v>
      </c>
      <c r="P146" s="2">
        <v>45195.208333333336</v>
      </c>
      <c r="Q146" s="38">
        <f t="shared" si="2"/>
        <v>1.2083333333357587</v>
      </c>
      <c r="R146" t="s">
        <v>64</v>
      </c>
      <c r="S146" t="s">
        <v>29</v>
      </c>
      <c r="T146" t="s">
        <v>43</v>
      </c>
      <c r="U146">
        <v>6</v>
      </c>
      <c r="V146">
        <v>10</v>
      </c>
      <c r="W146" s="18">
        <f>IFERROR(Table1[[#This Row],[Staff Hours Worked]]/Table1[[#This Row],[Staff Available Hours]],0)</f>
        <v>0.6</v>
      </c>
      <c r="X146" t="s">
        <v>31</v>
      </c>
    </row>
    <row r="147" spans="1:24">
      <c r="A147" t="s">
        <v>204</v>
      </c>
      <c r="B147">
        <v>4</v>
      </c>
      <c r="C147" t="str" cm="1">
        <f t="array" ref="C147">_xlfn.IFS(B147&lt;=18,"0-18",B147&lt;=35,"19-35",B147&lt;=50,"36-50",B147&lt;=65,"51-65","True","65+")</f>
        <v>0-18</v>
      </c>
      <c r="D147" t="s">
        <v>62</v>
      </c>
      <c r="E147" s="6">
        <v>45467</v>
      </c>
      <c r="F147" s="6">
        <v>45329</v>
      </c>
      <c r="G147">
        <v>8</v>
      </c>
      <c r="H147" t="s">
        <v>23</v>
      </c>
      <c r="I147">
        <v>2</v>
      </c>
      <c r="J147" t="s">
        <v>66</v>
      </c>
      <c r="K147">
        <v>45769</v>
      </c>
      <c r="L147" t="s">
        <v>53</v>
      </c>
      <c r="M147" t="s">
        <v>26</v>
      </c>
      <c r="N147" t="s">
        <v>27</v>
      </c>
      <c r="O147" s="2">
        <v>45465</v>
      </c>
      <c r="P147" s="2">
        <v>45465.916666666664</v>
      </c>
      <c r="Q147" s="38">
        <f t="shared" si="2"/>
        <v>0.91666666666424135</v>
      </c>
      <c r="R147" t="s">
        <v>64</v>
      </c>
      <c r="S147" t="s">
        <v>29</v>
      </c>
      <c r="T147" t="s">
        <v>43</v>
      </c>
      <c r="U147">
        <v>9</v>
      </c>
      <c r="V147">
        <v>12</v>
      </c>
      <c r="W147" s="18">
        <f>IFERROR(Table1[[#This Row],[Staff Hours Worked]]/Table1[[#This Row],[Staff Available Hours]],0)</f>
        <v>0.75</v>
      </c>
      <c r="X147" t="s">
        <v>68</v>
      </c>
    </row>
    <row r="148" spans="1:24">
      <c r="A148" t="s">
        <v>205</v>
      </c>
      <c r="B148">
        <v>23</v>
      </c>
      <c r="C148" t="str" cm="1">
        <f t="array" ref="C148">_xlfn.IFS(B148&lt;=18,"0-18",B148&lt;=35,"19-35",B148&lt;=50,"36-50",B148&lt;=65,"51-65","True","65+")</f>
        <v>19-35</v>
      </c>
      <c r="D148" t="s">
        <v>45</v>
      </c>
      <c r="E148" s="6">
        <v>45538</v>
      </c>
      <c r="F148" s="6">
        <v>45374</v>
      </c>
      <c r="G148">
        <v>14</v>
      </c>
      <c r="H148" t="s">
        <v>57</v>
      </c>
      <c r="I148">
        <v>5</v>
      </c>
      <c r="J148" t="s">
        <v>66</v>
      </c>
      <c r="K148">
        <v>14921</v>
      </c>
      <c r="L148" t="s">
        <v>60</v>
      </c>
      <c r="M148" t="s">
        <v>26</v>
      </c>
      <c r="N148" t="s">
        <v>27</v>
      </c>
      <c r="O148" s="2">
        <v>45415</v>
      </c>
      <c r="P148" s="2">
        <v>45446.166666666664</v>
      </c>
      <c r="Q148" s="38">
        <f t="shared" si="2"/>
        <v>31.166666666664241</v>
      </c>
      <c r="R148" t="s">
        <v>55</v>
      </c>
      <c r="S148" t="s">
        <v>29</v>
      </c>
      <c r="T148" t="s">
        <v>30</v>
      </c>
      <c r="U148">
        <v>6</v>
      </c>
      <c r="V148">
        <v>8</v>
      </c>
      <c r="W148" s="18">
        <f>IFERROR(Table1[[#This Row],[Staff Hours Worked]]/Table1[[#This Row],[Staff Available Hours]],0)</f>
        <v>0.75</v>
      </c>
      <c r="X148" t="s">
        <v>31</v>
      </c>
    </row>
    <row r="149" spans="1:24">
      <c r="A149" t="s">
        <v>206</v>
      </c>
      <c r="B149">
        <v>15</v>
      </c>
      <c r="C149" t="str" cm="1">
        <f t="array" ref="C149">_xlfn.IFS(B149&lt;=18,"0-18",B149&lt;=35,"19-35",B149&lt;=50,"36-50",B149&lt;=65,"51-65","True","65+")</f>
        <v>0-18</v>
      </c>
      <c r="D149" t="s">
        <v>33</v>
      </c>
      <c r="E149" s="6">
        <v>45054</v>
      </c>
      <c r="F149" s="6">
        <v>45268</v>
      </c>
      <c r="G149">
        <v>7</v>
      </c>
      <c r="H149" t="s">
        <v>23</v>
      </c>
      <c r="I149">
        <v>2</v>
      </c>
      <c r="J149" t="s">
        <v>35</v>
      </c>
      <c r="K149">
        <v>39959</v>
      </c>
      <c r="L149" t="s">
        <v>53</v>
      </c>
      <c r="M149" t="s">
        <v>26</v>
      </c>
      <c r="N149" t="s">
        <v>27</v>
      </c>
      <c r="O149" s="2">
        <v>45054</v>
      </c>
      <c r="P149" s="2">
        <v>45085.75</v>
      </c>
      <c r="Q149" s="38">
        <f t="shared" si="2"/>
        <v>31.75</v>
      </c>
      <c r="R149" t="s">
        <v>28</v>
      </c>
      <c r="S149" t="s">
        <v>29</v>
      </c>
      <c r="T149" t="s">
        <v>43</v>
      </c>
      <c r="U149">
        <v>5</v>
      </c>
      <c r="V149">
        <v>12</v>
      </c>
      <c r="W149" s="18">
        <f>IFERROR(Table1[[#This Row],[Staff Hours Worked]]/Table1[[#This Row],[Staff Available Hours]],0)</f>
        <v>0.41666666666666669</v>
      </c>
      <c r="X149" t="s">
        <v>68</v>
      </c>
    </row>
    <row r="150" spans="1:24">
      <c r="A150" t="s">
        <v>207</v>
      </c>
      <c r="B150">
        <v>43</v>
      </c>
      <c r="C150" t="str" cm="1">
        <f t="array" ref="C150">_xlfn.IFS(B150&lt;=18,"0-18",B150&lt;=35,"19-35",B150&lt;=50,"36-50",B150&lt;=65,"51-65","True","65+")</f>
        <v>36-50</v>
      </c>
      <c r="D150" t="s">
        <v>52</v>
      </c>
      <c r="E150" s="6">
        <v>45132</v>
      </c>
      <c r="F150" s="6">
        <v>44934</v>
      </c>
      <c r="G150">
        <v>7</v>
      </c>
      <c r="H150" t="s">
        <v>57</v>
      </c>
      <c r="I150">
        <v>3</v>
      </c>
      <c r="J150" t="s">
        <v>71</v>
      </c>
      <c r="K150">
        <v>37328</v>
      </c>
      <c r="L150" t="s">
        <v>53</v>
      </c>
      <c r="M150" t="s">
        <v>26</v>
      </c>
      <c r="N150" t="s">
        <v>41</v>
      </c>
      <c r="O150" s="2">
        <v>45132</v>
      </c>
      <c r="P150" s="2">
        <v>45133.625</v>
      </c>
      <c r="Q150" s="38">
        <f t="shared" si="2"/>
        <v>1.625</v>
      </c>
      <c r="R150" t="s">
        <v>28</v>
      </c>
      <c r="S150" t="s">
        <v>29</v>
      </c>
      <c r="T150" t="s">
        <v>30</v>
      </c>
      <c r="U150">
        <v>7</v>
      </c>
      <c r="V150">
        <v>12</v>
      </c>
      <c r="W150" s="18">
        <f>IFERROR(Table1[[#This Row],[Staff Hours Worked]]/Table1[[#This Row],[Staff Available Hours]],0)</f>
        <v>0.58333333333333337</v>
      </c>
      <c r="X150" t="s">
        <v>48</v>
      </c>
    </row>
    <row r="151" spans="1:24">
      <c r="A151" t="s">
        <v>208</v>
      </c>
      <c r="B151">
        <v>29</v>
      </c>
      <c r="C151" t="str" cm="1">
        <f t="array" ref="C151">_xlfn.IFS(B151&lt;=18,"0-18",B151&lt;=35,"19-35",B151&lt;=50,"36-50",B151&lt;=65,"51-65","True","65+")</f>
        <v>19-35</v>
      </c>
      <c r="D151" t="s">
        <v>52</v>
      </c>
      <c r="E151" s="6">
        <v>45246</v>
      </c>
      <c r="F151" s="6">
        <v>45257</v>
      </c>
      <c r="G151">
        <v>11</v>
      </c>
      <c r="H151" t="s">
        <v>50</v>
      </c>
      <c r="I151">
        <v>3</v>
      </c>
      <c r="J151" t="s">
        <v>46</v>
      </c>
      <c r="K151">
        <v>13859</v>
      </c>
      <c r="L151" t="s">
        <v>36</v>
      </c>
      <c r="M151" t="s">
        <v>54</v>
      </c>
      <c r="N151" t="s">
        <v>27</v>
      </c>
      <c r="O151" s="2">
        <v>45246</v>
      </c>
      <c r="P151" s="2">
        <v>45246.375</v>
      </c>
      <c r="Q151" s="38">
        <f t="shared" si="2"/>
        <v>0.375</v>
      </c>
      <c r="R151" t="s">
        <v>28</v>
      </c>
      <c r="S151" t="s">
        <v>29</v>
      </c>
      <c r="T151" t="s">
        <v>30</v>
      </c>
      <c r="U151">
        <v>11</v>
      </c>
      <c r="V151">
        <v>12</v>
      </c>
      <c r="W151" s="18">
        <f>IFERROR(Table1[[#This Row],[Staff Hours Worked]]/Table1[[#This Row],[Staff Available Hours]],0)</f>
        <v>0.91666666666666663</v>
      </c>
      <c r="X151" t="s">
        <v>48</v>
      </c>
    </row>
    <row r="152" spans="1:24">
      <c r="A152" t="s">
        <v>209</v>
      </c>
      <c r="B152">
        <v>36</v>
      </c>
      <c r="C152" t="str" cm="1">
        <f t="array" ref="C152">_xlfn.IFS(B152&lt;=18,"0-18",B152&lt;=35,"19-35",B152&lt;=50,"36-50",B152&lt;=65,"51-65","True","65+")</f>
        <v>36-50</v>
      </c>
      <c r="D152" t="s">
        <v>52</v>
      </c>
      <c r="E152" s="6">
        <v>45335</v>
      </c>
      <c r="F152" s="6">
        <v>45337</v>
      </c>
      <c r="G152">
        <v>2</v>
      </c>
      <c r="H152" t="s">
        <v>34</v>
      </c>
      <c r="I152">
        <v>2</v>
      </c>
      <c r="J152" t="s">
        <v>24</v>
      </c>
      <c r="K152">
        <v>28970</v>
      </c>
      <c r="L152" t="s">
        <v>53</v>
      </c>
      <c r="M152" t="s">
        <v>54</v>
      </c>
      <c r="N152" t="s">
        <v>27</v>
      </c>
      <c r="O152" s="2">
        <v>45335</v>
      </c>
      <c r="P152" s="2">
        <v>45335.833333333336</v>
      </c>
      <c r="Q152" s="38">
        <f t="shared" si="2"/>
        <v>0.83333333333575865</v>
      </c>
      <c r="R152" t="s">
        <v>28</v>
      </c>
      <c r="S152" t="s">
        <v>29</v>
      </c>
      <c r="T152" t="s">
        <v>47</v>
      </c>
      <c r="U152">
        <v>10</v>
      </c>
      <c r="V152">
        <v>8</v>
      </c>
      <c r="W152" s="18">
        <f>IFERROR(Table1[[#This Row],[Staff Hours Worked]]/Table1[[#This Row],[Staff Available Hours]],0)</f>
        <v>1.25</v>
      </c>
      <c r="X152" t="s">
        <v>48</v>
      </c>
    </row>
    <row r="153" spans="1:24">
      <c r="A153" t="s">
        <v>210</v>
      </c>
      <c r="B153">
        <v>13</v>
      </c>
      <c r="C153" t="str" cm="1">
        <f t="array" ref="C153">_xlfn.IFS(B153&lt;=18,"0-18",B153&lt;=35,"19-35",B153&lt;=50,"36-50",B153&lt;=65,"51-65","True","65+")</f>
        <v>0-18</v>
      </c>
      <c r="D153" t="s">
        <v>52</v>
      </c>
      <c r="E153" s="6">
        <v>45309</v>
      </c>
      <c r="F153" s="6">
        <v>45317</v>
      </c>
      <c r="G153">
        <v>8</v>
      </c>
      <c r="H153" t="s">
        <v>40</v>
      </c>
      <c r="I153">
        <v>3</v>
      </c>
      <c r="J153" t="s">
        <v>24</v>
      </c>
      <c r="K153">
        <v>13872</v>
      </c>
      <c r="L153" t="s">
        <v>67</v>
      </c>
      <c r="M153" t="s">
        <v>54</v>
      </c>
      <c r="N153" t="s">
        <v>27</v>
      </c>
      <c r="O153" s="2">
        <v>45304</v>
      </c>
      <c r="P153" s="2">
        <v>45304.875</v>
      </c>
      <c r="Q153" s="38">
        <f t="shared" si="2"/>
        <v>0.875</v>
      </c>
      <c r="R153" t="s">
        <v>64</v>
      </c>
      <c r="S153" t="s">
        <v>29</v>
      </c>
      <c r="T153" t="s">
        <v>43</v>
      </c>
      <c r="U153">
        <v>8</v>
      </c>
      <c r="V153">
        <v>10</v>
      </c>
      <c r="W153" s="18">
        <f>IFERROR(Table1[[#This Row],[Staff Hours Worked]]/Table1[[#This Row],[Staff Available Hours]],0)</f>
        <v>0.8</v>
      </c>
      <c r="X153" t="s">
        <v>68</v>
      </c>
    </row>
    <row r="154" spans="1:24">
      <c r="A154" t="s">
        <v>211</v>
      </c>
      <c r="B154">
        <v>32</v>
      </c>
      <c r="C154" t="str" cm="1">
        <f t="array" ref="C154">_xlfn.IFS(B154&lt;=18,"0-18",B154&lt;=35,"19-35",B154&lt;=50,"36-50",B154&lt;=65,"51-65","True","65+")</f>
        <v>19-35</v>
      </c>
      <c r="D154" t="s">
        <v>62</v>
      </c>
      <c r="E154" s="6">
        <v>45375</v>
      </c>
      <c r="F154" s="6">
        <v>45416</v>
      </c>
      <c r="G154">
        <v>12</v>
      </c>
      <c r="H154" t="s">
        <v>40</v>
      </c>
      <c r="I154">
        <v>3</v>
      </c>
      <c r="J154" t="s">
        <v>66</v>
      </c>
      <c r="K154">
        <v>24230</v>
      </c>
      <c r="L154" t="s">
        <v>67</v>
      </c>
      <c r="M154" t="s">
        <v>26</v>
      </c>
      <c r="N154" t="s">
        <v>27</v>
      </c>
      <c r="O154" s="2">
        <v>45371</v>
      </c>
      <c r="P154" s="2">
        <v>45372.625</v>
      </c>
      <c r="Q154" s="38">
        <f t="shared" si="2"/>
        <v>1.625</v>
      </c>
      <c r="R154" t="s">
        <v>37</v>
      </c>
      <c r="S154" t="s">
        <v>29</v>
      </c>
      <c r="T154" t="s">
        <v>43</v>
      </c>
      <c r="U154">
        <v>11</v>
      </c>
      <c r="V154">
        <v>10</v>
      </c>
      <c r="W154" s="18">
        <f>IFERROR(Table1[[#This Row],[Staff Hours Worked]]/Table1[[#This Row],[Staff Available Hours]],0)</f>
        <v>1.1000000000000001</v>
      </c>
      <c r="X154" t="s">
        <v>31</v>
      </c>
    </row>
    <row r="155" spans="1:24">
      <c r="A155" t="s">
        <v>212</v>
      </c>
      <c r="B155">
        <v>71</v>
      </c>
      <c r="C155" t="str" cm="1">
        <f t="array" ref="C155">_xlfn.IFS(B155&lt;=18,"0-18",B155&lt;=35,"19-35",B155&lt;=50,"36-50",B155&lt;=65,"51-65","True","65+")</f>
        <v>65+</v>
      </c>
      <c r="D155" t="s">
        <v>45</v>
      </c>
      <c r="E155" s="6">
        <v>45456</v>
      </c>
      <c r="F155" s="6">
        <v>45471</v>
      </c>
      <c r="G155">
        <v>15</v>
      </c>
      <c r="H155" t="s">
        <v>34</v>
      </c>
      <c r="I155">
        <v>5</v>
      </c>
      <c r="J155" t="s">
        <v>71</v>
      </c>
      <c r="K155">
        <v>31708</v>
      </c>
      <c r="L155" t="s">
        <v>25</v>
      </c>
      <c r="M155" t="s">
        <v>26</v>
      </c>
      <c r="N155" t="s">
        <v>27</v>
      </c>
      <c r="O155" s="2">
        <v>45602</v>
      </c>
      <c r="P155" s="2">
        <v>45632.875</v>
      </c>
      <c r="Q155" s="38">
        <f t="shared" si="2"/>
        <v>30.875</v>
      </c>
      <c r="R155" t="s">
        <v>55</v>
      </c>
      <c r="S155" t="s">
        <v>38</v>
      </c>
      <c r="T155" t="s">
        <v>43</v>
      </c>
      <c r="U155">
        <v>4</v>
      </c>
      <c r="V155">
        <v>12</v>
      </c>
      <c r="W155" s="18">
        <f>IFERROR(Table1[[#This Row],[Staff Hours Worked]]/Table1[[#This Row],[Staff Available Hours]],0)</f>
        <v>0.33333333333333331</v>
      </c>
      <c r="X155" t="s">
        <v>48</v>
      </c>
    </row>
    <row r="156" spans="1:24">
      <c r="A156" t="s">
        <v>213</v>
      </c>
      <c r="B156">
        <v>59</v>
      </c>
      <c r="C156" t="str" cm="1">
        <f t="array" ref="C156">_xlfn.IFS(B156&lt;=18,"0-18",B156&lt;=35,"19-35",B156&lt;=50,"36-50",B156&lt;=65,"51-65","True","65+")</f>
        <v>51-65</v>
      </c>
      <c r="D156" t="s">
        <v>41</v>
      </c>
      <c r="E156" s="6">
        <v>45477</v>
      </c>
      <c r="F156" s="6">
        <v>45397</v>
      </c>
      <c r="G156">
        <v>8</v>
      </c>
      <c r="H156" t="s">
        <v>40</v>
      </c>
      <c r="I156">
        <v>4</v>
      </c>
      <c r="J156" t="s">
        <v>35</v>
      </c>
      <c r="K156">
        <v>23847</v>
      </c>
      <c r="L156" t="s">
        <v>36</v>
      </c>
      <c r="M156" t="s">
        <v>54</v>
      </c>
      <c r="N156" t="s">
        <v>27</v>
      </c>
      <c r="O156" s="2">
        <v>45326</v>
      </c>
      <c r="P156" s="2">
        <v>45326.541666666664</v>
      </c>
      <c r="Q156" s="38">
        <f t="shared" si="2"/>
        <v>0.54166666666424135</v>
      </c>
      <c r="R156" t="s">
        <v>37</v>
      </c>
      <c r="S156" t="s">
        <v>29</v>
      </c>
      <c r="T156" t="s">
        <v>30</v>
      </c>
      <c r="U156">
        <v>5</v>
      </c>
      <c r="V156">
        <v>12</v>
      </c>
      <c r="W156" s="18">
        <f>IFERROR(Table1[[#This Row],[Staff Hours Worked]]/Table1[[#This Row],[Staff Available Hours]],0)</f>
        <v>0.41666666666666669</v>
      </c>
      <c r="X156" t="s">
        <v>31</v>
      </c>
    </row>
    <row r="157" spans="1:24">
      <c r="A157" t="s">
        <v>214</v>
      </c>
      <c r="B157">
        <v>86</v>
      </c>
      <c r="C157" t="str" cm="1">
        <f t="array" ref="C157">_xlfn.IFS(B157&lt;=18,"0-18",B157&lt;=35,"19-35",B157&lt;=50,"36-50",B157&lt;=65,"51-65","True","65+")</f>
        <v>65+</v>
      </c>
      <c r="D157" t="s">
        <v>22</v>
      </c>
      <c r="E157" s="6">
        <v>45021</v>
      </c>
      <c r="F157" s="6">
        <v>45082</v>
      </c>
      <c r="G157">
        <v>2</v>
      </c>
      <c r="H157" t="s">
        <v>23</v>
      </c>
      <c r="I157">
        <v>5</v>
      </c>
      <c r="J157" t="s">
        <v>71</v>
      </c>
      <c r="K157">
        <v>32105</v>
      </c>
      <c r="L157" t="s">
        <v>25</v>
      </c>
      <c r="M157" t="s">
        <v>54</v>
      </c>
      <c r="N157" t="s">
        <v>27</v>
      </c>
      <c r="O157" s="2">
        <v>44990</v>
      </c>
      <c r="P157" s="2">
        <v>45021.291666666664</v>
      </c>
      <c r="Q157" s="38">
        <f t="shared" si="2"/>
        <v>31.291666666664241</v>
      </c>
      <c r="R157" t="s">
        <v>37</v>
      </c>
      <c r="S157" t="s">
        <v>29</v>
      </c>
      <c r="T157" t="s">
        <v>43</v>
      </c>
      <c r="U157">
        <v>10</v>
      </c>
      <c r="V157">
        <v>8</v>
      </c>
      <c r="W157" s="18">
        <f>IFERROR(Table1[[#This Row],[Staff Hours Worked]]/Table1[[#This Row],[Staff Available Hours]],0)</f>
        <v>1.25</v>
      </c>
      <c r="X157" t="s">
        <v>31</v>
      </c>
    </row>
    <row r="158" spans="1:24">
      <c r="A158" t="s">
        <v>215</v>
      </c>
      <c r="B158">
        <v>28</v>
      </c>
      <c r="C158" t="str" cm="1">
        <f t="array" ref="C158">_xlfn.IFS(B158&lt;=18,"0-18",B158&lt;=35,"19-35",B158&lt;=50,"36-50",B158&lt;=65,"51-65","True","65+")</f>
        <v>19-35</v>
      </c>
      <c r="D158" t="s">
        <v>62</v>
      </c>
      <c r="E158" s="6">
        <v>45239</v>
      </c>
      <c r="F158" s="6">
        <v>45195</v>
      </c>
      <c r="G158">
        <v>15</v>
      </c>
      <c r="H158" t="s">
        <v>50</v>
      </c>
      <c r="I158">
        <v>1</v>
      </c>
      <c r="J158" t="s">
        <v>71</v>
      </c>
      <c r="K158">
        <v>9922</v>
      </c>
      <c r="L158" t="s">
        <v>67</v>
      </c>
      <c r="M158" t="s">
        <v>54</v>
      </c>
      <c r="N158" t="s">
        <v>41</v>
      </c>
      <c r="O158" s="2">
        <v>45116</v>
      </c>
      <c r="P158" s="2">
        <v>45116.875</v>
      </c>
      <c r="Q158" s="38">
        <f t="shared" si="2"/>
        <v>0.875</v>
      </c>
      <c r="R158" t="s">
        <v>42</v>
      </c>
      <c r="S158" t="s">
        <v>29</v>
      </c>
      <c r="T158" t="s">
        <v>47</v>
      </c>
      <c r="U158">
        <v>4</v>
      </c>
      <c r="V158">
        <v>12</v>
      </c>
      <c r="W158" s="18">
        <f>IFERROR(Table1[[#This Row],[Staff Hours Worked]]/Table1[[#This Row],[Staff Available Hours]],0)</f>
        <v>0.33333333333333331</v>
      </c>
      <c r="X158" t="s">
        <v>48</v>
      </c>
    </row>
    <row r="159" spans="1:24">
      <c r="A159" t="s">
        <v>216</v>
      </c>
      <c r="B159">
        <v>66</v>
      </c>
      <c r="C159" t="str" cm="1">
        <f t="array" ref="C159">_xlfn.IFS(B159&lt;=18,"0-18",B159&lt;=35,"19-35",B159&lt;=50,"36-50",B159&lt;=65,"51-65","True","65+")</f>
        <v>65+</v>
      </c>
      <c r="D159" t="s">
        <v>62</v>
      </c>
      <c r="E159" s="6">
        <v>45157</v>
      </c>
      <c r="F159" s="6">
        <v>45159</v>
      </c>
      <c r="G159">
        <v>2</v>
      </c>
      <c r="H159" t="s">
        <v>50</v>
      </c>
      <c r="I159">
        <v>5</v>
      </c>
      <c r="J159" t="s">
        <v>35</v>
      </c>
      <c r="K159">
        <v>9392</v>
      </c>
      <c r="L159" t="s">
        <v>25</v>
      </c>
      <c r="M159" t="s">
        <v>26</v>
      </c>
      <c r="N159" t="s">
        <v>27</v>
      </c>
      <c r="O159" s="2">
        <v>45154</v>
      </c>
      <c r="P159" s="2">
        <v>45154.5</v>
      </c>
      <c r="Q159" s="38">
        <f t="shared" si="2"/>
        <v>0.5</v>
      </c>
      <c r="R159" t="s">
        <v>28</v>
      </c>
      <c r="S159" t="s">
        <v>29</v>
      </c>
      <c r="T159" t="s">
        <v>47</v>
      </c>
      <c r="U159">
        <v>4</v>
      </c>
      <c r="V159">
        <v>12</v>
      </c>
      <c r="W159" s="18">
        <f>IFERROR(Table1[[#This Row],[Staff Hours Worked]]/Table1[[#This Row],[Staff Available Hours]],0)</f>
        <v>0.33333333333333331</v>
      </c>
      <c r="X159" t="s">
        <v>68</v>
      </c>
    </row>
    <row r="160" spans="1:24">
      <c r="A160" t="s">
        <v>217</v>
      </c>
      <c r="B160">
        <v>42</v>
      </c>
      <c r="C160" t="str" cm="1">
        <f t="array" ref="C160">_xlfn.IFS(B160&lt;=18,"0-18",B160&lt;=35,"19-35",B160&lt;=50,"36-50",B160&lt;=65,"51-65","True","65+")</f>
        <v>36-50</v>
      </c>
      <c r="D160" t="s">
        <v>41</v>
      </c>
      <c r="E160" s="6">
        <v>45110</v>
      </c>
      <c r="F160" s="6">
        <v>44998</v>
      </c>
      <c r="G160">
        <v>6</v>
      </c>
      <c r="H160" t="s">
        <v>34</v>
      </c>
      <c r="I160">
        <v>2</v>
      </c>
      <c r="J160" t="s">
        <v>66</v>
      </c>
      <c r="K160">
        <v>18541</v>
      </c>
      <c r="L160" t="s">
        <v>36</v>
      </c>
      <c r="M160" t="s">
        <v>54</v>
      </c>
      <c r="N160" t="s">
        <v>27</v>
      </c>
      <c r="O160" s="2">
        <v>44988</v>
      </c>
      <c r="P160" s="2">
        <v>45019.083333333336</v>
      </c>
      <c r="Q160" s="38">
        <f t="shared" si="2"/>
        <v>31.083333333335759</v>
      </c>
      <c r="R160" t="s">
        <v>64</v>
      </c>
      <c r="S160" t="s">
        <v>29</v>
      </c>
      <c r="T160" t="s">
        <v>43</v>
      </c>
      <c r="U160">
        <v>7</v>
      </c>
      <c r="V160">
        <v>12</v>
      </c>
      <c r="W160" s="18">
        <f>IFERROR(Table1[[#This Row],[Staff Hours Worked]]/Table1[[#This Row],[Staff Available Hours]],0)</f>
        <v>0.58333333333333337</v>
      </c>
      <c r="X160" t="s">
        <v>31</v>
      </c>
    </row>
    <row r="161" spans="1:24">
      <c r="A161" t="s">
        <v>218</v>
      </c>
      <c r="B161">
        <v>45</v>
      </c>
      <c r="C161" t="str" cm="1">
        <f t="array" ref="C161">_xlfn.IFS(B161&lt;=18,"0-18",B161&lt;=35,"19-35",B161&lt;=50,"36-50",B161&lt;=65,"51-65","True","65+")</f>
        <v>36-50</v>
      </c>
      <c r="D161" t="s">
        <v>41</v>
      </c>
      <c r="E161" s="6">
        <v>45273</v>
      </c>
      <c r="F161" s="6">
        <v>45283</v>
      </c>
      <c r="G161">
        <v>10</v>
      </c>
      <c r="H161" t="s">
        <v>40</v>
      </c>
      <c r="I161">
        <v>4</v>
      </c>
      <c r="J161" t="s">
        <v>71</v>
      </c>
      <c r="K161">
        <v>24551</v>
      </c>
      <c r="L161" t="s">
        <v>36</v>
      </c>
      <c r="M161" t="s">
        <v>54</v>
      </c>
      <c r="N161" t="s">
        <v>27</v>
      </c>
      <c r="O161" s="2">
        <v>45150</v>
      </c>
      <c r="P161" s="2">
        <v>45150.875</v>
      </c>
      <c r="Q161" s="38">
        <f t="shared" si="2"/>
        <v>0.875</v>
      </c>
      <c r="R161" t="s">
        <v>28</v>
      </c>
      <c r="S161" t="s">
        <v>29</v>
      </c>
      <c r="T161" t="s">
        <v>30</v>
      </c>
      <c r="U161">
        <v>8</v>
      </c>
      <c r="V161">
        <v>10</v>
      </c>
      <c r="W161" s="18">
        <f>IFERROR(Table1[[#This Row],[Staff Hours Worked]]/Table1[[#This Row],[Staff Available Hours]],0)</f>
        <v>0.8</v>
      </c>
      <c r="X161" t="s">
        <v>48</v>
      </c>
    </row>
    <row r="162" spans="1:24">
      <c r="A162" t="s">
        <v>219</v>
      </c>
      <c r="B162">
        <v>62</v>
      </c>
      <c r="C162" t="str" cm="1">
        <f t="array" ref="C162">_xlfn.IFS(B162&lt;=18,"0-18",B162&lt;=35,"19-35",B162&lt;=50,"36-50",B162&lt;=65,"51-65","True","65+")</f>
        <v>51-65</v>
      </c>
      <c r="D162" t="s">
        <v>22</v>
      </c>
      <c r="E162" s="6">
        <v>44948</v>
      </c>
      <c r="F162" s="6">
        <v>44951</v>
      </c>
      <c r="G162">
        <v>3</v>
      </c>
      <c r="H162" t="s">
        <v>23</v>
      </c>
      <c r="I162">
        <v>2</v>
      </c>
      <c r="J162" t="s">
        <v>24</v>
      </c>
      <c r="K162">
        <v>24381</v>
      </c>
      <c r="L162" t="s">
        <v>53</v>
      </c>
      <c r="M162" t="s">
        <v>54</v>
      </c>
      <c r="N162" t="s">
        <v>41</v>
      </c>
      <c r="O162" s="2">
        <v>44948</v>
      </c>
      <c r="P162" s="2">
        <v>44948.791666666664</v>
      </c>
      <c r="Q162" s="38">
        <f t="shared" si="2"/>
        <v>0.79166666666424135</v>
      </c>
      <c r="R162" t="s">
        <v>28</v>
      </c>
      <c r="S162" t="s">
        <v>29</v>
      </c>
      <c r="T162" t="s">
        <v>47</v>
      </c>
      <c r="U162">
        <v>4</v>
      </c>
      <c r="V162">
        <v>12</v>
      </c>
      <c r="W162" s="18">
        <f>IFERROR(Table1[[#This Row],[Staff Hours Worked]]/Table1[[#This Row],[Staff Available Hours]],0)</f>
        <v>0.33333333333333331</v>
      </c>
      <c r="X162" t="s">
        <v>31</v>
      </c>
    </row>
    <row r="163" spans="1:24">
      <c r="A163" t="s">
        <v>220</v>
      </c>
      <c r="B163">
        <v>57</v>
      </c>
      <c r="C163" t="str" cm="1">
        <f t="array" ref="C163">_xlfn.IFS(B163&lt;=18,"0-18",B163&lt;=35,"19-35",B163&lt;=50,"36-50",B163&lt;=65,"51-65","True","65+")</f>
        <v>51-65</v>
      </c>
      <c r="D163" t="s">
        <v>22</v>
      </c>
      <c r="E163" s="6">
        <v>45162</v>
      </c>
      <c r="F163" s="6">
        <v>45164</v>
      </c>
      <c r="G163">
        <v>2</v>
      </c>
      <c r="H163" t="s">
        <v>50</v>
      </c>
      <c r="I163">
        <v>1</v>
      </c>
      <c r="J163" t="s">
        <v>35</v>
      </c>
      <c r="K163">
        <v>40995</v>
      </c>
      <c r="L163" t="s">
        <v>60</v>
      </c>
      <c r="M163" t="s">
        <v>26</v>
      </c>
      <c r="N163" t="s">
        <v>27</v>
      </c>
      <c r="O163" s="2">
        <v>45159</v>
      </c>
      <c r="P163" s="2">
        <v>45161</v>
      </c>
      <c r="Q163" s="38">
        <f t="shared" si="2"/>
        <v>2</v>
      </c>
      <c r="R163" t="s">
        <v>37</v>
      </c>
      <c r="S163" t="s">
        <v>29</v>
      </c>
      <c r="T163" t="s">
        <v>47</v>
      </c>
      <c r="U163">
        <v>9</v>
      </c>
      <c r="V163">
        <v>10</v>
      </c>
      <c r="W163" s="18">
        <f>IFERROR(Table1[[#This Row],[Staff Hours Worked]]/Table1[[#This Row],[Staff Available Hours]],0)</f>
        <v>0.9</v>
      </c>
      <c r="X163" t="s">
        <v>31</v>
      </c>
    </row>
    <row r="164" spans="1:24">
      <c r="A164" t="s">
        <v>221</v>
      </c>
      <c r="B164">
        <v>6</v>
      </c>
      <c r="C164" t="str" cm="1">
        <f t="array" ref="C164">_xlfn.IFS(B164&lt;=18,"0-18",B164&lt;=35,"19-35",B164&lt;=50,"36-50",B164&lt;=65,"51-65","True","65+")</f>
        <v>0-18</v>
      </c>
      <c r="D164" t="s">
        <v>41</v>
      </c>
      <c r="E164" s="6">
        <v>45152</v>
      </c>
      <c r="F164" s="6">
        <v>45155</v>
      </c>
      <c r="G164">
        <v>3</v>
      </c>
      <c r="H164" t="s">
        <v>50</v>
      </c>
      <c r="I164">
        <v>4</v>
      </c>
      <c r="J164" t="s">
        <v>46</v>
      </c>
      <c r="K164">
        <v>27948</v>
      </c>
      <c r="L164" t="s">
        <v>53</v>
      </c>
      <c r="M164" t="s">
        <v>26</v>
      </c>
      <c r="N164" t="s">
        <v>41</v>
      </c>
      <c r="O164" s="2">
        <v>45177</v>
      </c>
      <c r="P164" s="2">
        <v>45207.875</v>
      </c>
      <c r="Q164" s="38">
        <f t="shared" si="2"/>
        <v>30.875</v>
      </c>
      <c r="R164" t="s">
        <v>42</v>
      </c>
      <c r="S164" t="s">
        <v>29</v>
      </c>
      <c r="T164" t="s">
        <v>30</v>
      </c>
      <c r="U164">
        <v>10</v>
      </c>
      <c r="V164">
        <v>8</v>
      </c>
      <c r="W164" s="18">
        <f>IFERROR(Table1[[#This Row],[Staff Hours Worked]]/Table1[[#This Row],[Staff Available Hours]],0)</f>
        <v>1.25</v>
      </c>
      <c r="X164" t="s">
        <v>31</v>
      </c>
    </row>
    <row r="165" spans="1:24">
      <c r="A165" t="s">
        <v>222</v>
      </c>
      <c r="B165">
        <v>28</v>
      </c>
      <c r="C165" t="str" cm="1">
        <f t="array" ref="C165">_xlfn.IFS(B165&lt;=18,"0-18",B165&lt;=35,"19-35",B165&lt;=50,"36-50",B165&lt;=65,"51-65","True","65+")</f>
        <v>19-35</v>
      </c>
      <c r="D165" t="s">
        <v>52</v>
      </c>
      <c r="E165" s="6">
        <v>45139</v>
      </c>
      <c r="F165" s="6">
        <v>44939</v>
      </c>
      <c r="G165">
        <v>5</v>
      </c>
      <c r="H165" t="s">
        <v>63</v>
      </c>
      <c r="I165">
        <v>3</v>
      </c>
      <c r="J165" t="s">
        <v>66</v>
      </c>
      <c r="K165">
        <v>31728</v>
      </c>
      <c r="L165" t="s">
        <v>36</v>
      </c>
      <c r="M165" t="s">
        <v>54</v>
      </c>
      <c r="N165" t="s">
        <v>27</v>
      </c>
      <c r="O165" s="2">
        <v>45017</v>
      </c>
      <c r="P165" s="2">
        <v>45047.708333333336</v>
      </c>
      <c r="Q165" s="38">
        <f t="shared" si="2"/>
        <v>30.708333333335759</v>
      </c>
      <c r="R165" t="s">
        <v>28</v>
      </c>
      <c r="S165" t="s">
        <v>29</v>
      </c>
      <c r="T165" t="s">
        <v>47</v>
      </c>
      <c r="U165">
        <v>11</v>
      </c>
      <c r="V165">
        <v>8</v>
      </c>
      <c r="W165" s="18">
        <f>IFERROR(Table1[[#This Row],[Staff Hours Worked]]/Table1[[#This Row],[Staff Available Hours]],0)</f>
        <v>1.375</v>
      </c>
      <c r="X165" t="s">
        <v>31</v>
      </c>
    </row>
    <row r="166" spans="1:24">
      <c r="A166" t="s">
        <v>223</v>
      </c>
      <c r="B166">
        <v>28</v>
      </c>
      <c r="C166" t="str" cm="1">
        <f t="array" ref="C166">_xlfn.IFS(B166&lt;=18,"0-18",B166&lt;=35,"19-35",B166&lt;=50,"36-50",B166&lt;=65,"51-65","True","65+")</f>
        <v>19-35</v>
      </c>
      <c r="D166" t="s">
        <v>62</v>
      </c>
      <c r="E166" s="6">
        <v>44999</v>
      </c>
      <c r="F166" s="6">
        <v>45009</v>
      </c>
      <c r="G166">
        <v>10</v>
      </c>
      <c r="H166" t="s">
        <v>63</v>
      </c>
      <c r="I166">
        <v>5</v>
      </c>
      <c r="J166" t="s">
        <v>35</v>
      </c>
      <c r="K166">
        <v>7024</v>
      </c>
      <c r="L166" t="s">
        <v>67</v>
      </c>
      <c r="M166" t="s">
        <v>26</v>
      </c>
      <c r="N166" t="s">
        <v>27</v>
      </c>
      <c r="O166" s="2">
        <v>45263</v>
      </c>
      <c r="P166" s="2">
        <v>44998.333333333336</v>
      </c>
      <c r="Q166" s="38">
        <f t="shared" si="2"/>
        <v>264.66666666666424</v>
      </c>
      <c r="R166" t="s">
        <v>55</v>
      </c>
      <c r="S166" t="s">
        <v>29</v>
      </c>
      <c r="T166" t="s">
        <v>30</v>
      </c>
      <c r="U166">
        <v>11</v>
      </c>
      <c r="V166">
        <v>10</v>
      </c>
      <c r="W166" s="18">
        <f>IFERROR(Table1[[#This Row],[Staff Hours Worked]]/Table1[[#This Row],[Staff Available Hours]],0)</f>
        <v>1.1000000000000001</v>
      </c>
      <c r="X166" t="s">
        <v>31</v>
      </c>
    </row>
    <row r="167" spans="1:24">
      <c r="A167" t="s">
        <v>224</v>
      </c>
      <c r="B167">
        <v>44</v>
      </c>
      <c r="C167" t="str" cm="1">
        <f t="array" ref="C167">_xlfn.IFS(B167&lt;=18,"0-18",B167&lt;=35,"19-35",B167&lt;=50,"36-50",B167&lt;=65,"51-65","True","65+")</f>
        <v>36-50</v>
      </c>
      <c r="D167" t="s">
        <v>33</v>
      </c>
      <c r="E167" s="6">
        <v>44960</v>
      </c>
      <c r="F167" s="6">
        <v>44998</v>
      </c>
      <c r="G167">
        <v>11</v>
      </c>
      <c r="H167" t="s">
        <v>50</v>
      </c>
      <c r="I167">
        <v>2</v>
      </c>
      <c r="J167" t="s">
        <v>46</v>
      </c>
      <c r="K167">
        <v>21713</v>
      </c>
      <c r="L167" t="s">
        <v>67</v>
      </c>
      <c r="M167" t="s">
        <v>54</v>
      </c>
      <c r="N167" t="s">
        <v>27</v>
      </c>
      <c r="O167" s="2">
        <v>44982</v>
      </c>
      <c r="P167" s="2">
        <v>44983.541666666664</v>
      </c>
      <c r="Q167" s="38">
        <f t="shared" si="2"/>
        <v>1.5416666666642413</v>
      </c>
      <c r="R167" t="s">
        <v>55</v>
      </c>
      <c r="S167" t="s">
        <v>29</v>
      </c>
      <c r="T167" t="s">
        <v>47</v>
      </c>
      <c r="U167">
        <v>4</v>
      </c>
      <c r="V167">
        <v>10</v>
      </c>
      <c r="W167" s="18">
        <f>IFERROR(Table1[[#This Row],[Staff Hours Worked]]/Table1[[#This Row],[Staff Available Hours]],0)</f>
        <v>0.4</v>
      </c>
      <c r="X167" t="s">
        <v>68</v>
      </c>
    </row>
    <row r="168" spans="1:24">
      <c r="A168" t="s">
        <v>225</v>
      </c>
      <c r="B168">
        <v>84</v>
      </c>
      <c r="C168" t="str" cm="1">
        <f t="array" ref="C168">_xlfn.IFS(B168&lt;=18,"0-18",B168&lt;=35,"19-35",B168&lt;=50,"36-50",B168&lt;=65,"51-65","True","65+")</f>
        <v>65+</v>
      </c>
      <c r="D168" t="s">
        <v>22</v>
      </c>
      <c r="E168" s="6">
        <v>45161</v>
      </c>
      <c r="F168" s="6">
        <v>44966</v>
      </c>
      <c r="G168">
        <v>10</v>
      </c>
      <c r="H168" t="s">
        <v>34</v>
      </c>
      <c r="I168">
        <v>1</v>
      </c>
      <c r="J168" t="s">
        <v>46</v>
      </c>
      <c r="K168">
        <v>7486</v>
      </c>
      <c r="L168" t="s">
        <v>53</v>
      </c>
      <c r="M168" t="s">
        <v>26</v>
      </c>
      <c r="N168" t="s">
        <v>41</v>
      </c>
      <c r="O168" s="2">
        <v>45159</v>
      </c>
      <c r="P168" s="2">
        <v>45159.666666666664</v>
      </c>
      <c r="Q168" s="38">
        <f t="shared" si="2"/>
        <v>0.66666666666424135</v>
      </c>
      <c r="R168" t="s">
        <v>28</v>
      </c>
      <c r="S168" t="s">
        <v>29</v>
      </c>
      <c r="T168" t="s">
        <v>30</v>
      </c>
      <c r="U168">
        <v>5</v>
      </c>
      <c r="V168">
        <v>10</v>
      </c>
      <c r="W168" s="18">
        <f>IFERROR(Table1[[#This Row],[Staff Hours Worked]]/Table1[[#This Row],[Staff Available Hours]],0)</f>
        <v>0.5</v>
      </c>
      <c r="X168" t="s">
        <v>68</v>
      </c>
    </row>
    <row r="169" spans="1:24">
      <c r="A169" t="s">
        <v>226</v>
      </c>
      <c r="B169">
        <v>30</v>
      </c>
      <c r="C169" t="str" cm="1">
        <f t="array" ref="C169">_xlfn.IFS(B169&lt;=18,"0-18",B169&lt;=35,"19-35",B169&lt;=50,"36-50",B169&lt;=65,"51-65","True","65+")</f>
        <v>19-35</v>
      </c>
      <c r="D169" t="s">
        <v>22</v>
      </c>
      <c r="E169" s="6">
        <v>45233</v>
      </c>
      <c r="F169" s="6">
        <v>45005</v>
      </c>
      <c r="G169">
        <v>9</v>
      </c>
      <c r="H169" t="s">
        <v>57</v>
      </c>
      <c r="I169">
        <v>3</v>
      </c>
      <c r="J169" t="s">
        <v>71</v>
      </c>
      <c r="K169">
        <v>6155</v>
      </c>
      <c r="L169" t="s">
        <v>36</v>
      </c>
      <c r="M169" t="s">
        <v>26</v>
      </c>
      <c r="N169" t="s">
        <v>27</v>
      </c>
      <c r="O169" s="2">
        <v>45141</v>
      </c>
      <c r="P169" s="2">
        <v>45141.875</v>
      </c>
      <c r="Q169" s="38">
        <f t="shared" si="2"/>
        <v>0.875</v>
      </c>
      <c r="R169" t="s">
        <v>37</v>
      </c>
      <c r="S169" t="s">
        <v>29</v>
      </c>
      <c r="T169" t="s">
        <v>47</v>
      </c>
      <c r="U169">
        <v>8</v>
      </c>
      <c r="V169">
        <v>10</v>
      </c>
      <c r="W169" s="18">
        <f>IFERROR(Table1[[#This Row],[Staff Hours Worked]]/Table1[[#This Row],[Staff Available Hours]],0)</f>
        <v>0.8</v>
      </c>
      <c r="X169" t="s">
        <v>48</v>
      </c>
    </row>
    <row r="170" spans="1:24">
      <c r="A170" t="s">
        <v>227</v>
      </c>
      <c r="B170">
        <v>62</v>
      </c>
      <c r="C170" t="str" cm="1">
        <f t="array" ref="C170">_xlfn.IFS(B170&lt;=18,"0-18",B170&lt;=35,"19-35",B170&lt;=50,"36-50",B170&lt;=65,"51-65","True","65+")</f>
        <v>51-65</v>
      </c>
      <c r="D170" t="s">
        <v>41</v>
      </c>
      <c r="E170" s="6">
        <v>44959</v>
      </c>
      <c r="F170" s="6">
        <v>44971</v>
      </c>
      <c r="G170">
        <v>12</v>
      </c>
      <c r="H170" t="s">
        <v>57</v>
      </c>
      <c r="I170">
        <v>5</v>
      </c>
      <c r="J170" t="s">
        <v>71</v>
      </c>
      <c r="K170">
        <v>15082</v>
      </c>
      <c r="L170" t="s">
        <v>67</v>
      </c>
      <c r="M170" t="s">
        <v>54</v>
      </c>
      <c r="N170" t="s">
        <v>27</v>
      </c>
      <c r="O170" s="2">
        <v>44928</v>
      </c>
      <c r="P170" s="2">
        <v>44959.041666666664</v>
      </c>
      <c r="Q170" s="38">
        <f t="shared" si="2"/>
        <v>31.041666666664241</v>
      </c>
      <c r="R170" t="s">
        <v>37</v>
      </c>
      <c r="S170" t="s">
        <v>29</v>
      </c>
      <c r="T170" t="s">
        <v>43</v>
      </c>
      <c r="U170">
        <v>8</v>
      </c>
      <c r="V170">
        <v>12</v>
      </c>
      <c r="W170" s="18">
        <f>IFERROR(Table1[[#This Row],[Staff Hours Worked]]/Table1[[#This Row],[Staff Available Hours]],0)</f>
        <v>0.66666666666666663</v>
      </c>
      <c r="X170" t="s">
        <v>68</v>
      </c>
    </row>
    <row r="171" spans="1:24">
      <c r="A171" t="s">
        <v>228</v>
      </c>
      <c r="B171">
        <v>75</v>
      </c>
      <c r="C171" t="str" cm="1">
        <f t="array" ref="C171">_xlfn.IFS(B171&lt;=18,"0-18",B171&lt;=35,"19-35",B171&lt;=50,"36-50",B171&lt;=65,"51-65","True","65+")</f>
        <v>65+</v>
      </c>
      <c r="D171" t="s">
        <v>45</v>
      </c>
      <c r="E171" s="6">
        <v>45058</v>
      </c>
      <c r="F171" s="6">
        <v>45242</v>
      </c>
      <c r="G171">
        <v>6</v>
      </c>
      <c r="H171" t="s">
        <v>23</v>
      </c>
      <c r="I171">
        <v>3</v>
      </c>
      <c r="J171" t="s">
        <v>71</v>
      </c>
      <c r="K171">
        <v>42245</v>
      </c>
      <c r="L171" t="s">
        <v>36</v>
      </c>
      <c r="M171" t="s">
        <v>54</v>
      </c>
      <c r="N171" t="s">
        <v>27</v>
      </c>
      <c r="O171" s="2">
        <v>45260</v>
      </c>
      <c r="P171" s="2">
        <v>45260.75</v>
      </c>
      <c r="Q171" s="38">
        <f t="shared" si="2"/>
        <v>0.75</v>
      </c>
      <c r="R171" t="s">
        <v>64</v>
      </c>
      <c r="S171" t="s">
        <v>29</v>
      </c>
      <c r="T171" t="s">
        <v>47</v>
      </c>
      <c r="U171">
        <v>11</v>
      </c>
      <c r="V171">
        <v>10</v>
      </c>
      <c r="W171" s="18">
        <f>IFERROR(Table1[[#This Row],[Staff Hours Worked]]/Table1[[#This Row],[Staff Available Hours]],0)</f>
        <v>1.1000000000000001</v>
      </c>
      <c r="X171" t="s">
        <v>68</v>
      </c>
    </row>
    <row r="172" spans="1:24">
      <c r="A172" t="s">
        <v>229</v>
      </c>
      <c r="B172">
        <v>89</v>
      </c>
      <c r="C172" t="str" cm="1">
        <f t="array" ref="C172">_xlfn.IFS(B172&lt;=18,"0-18",B172&lt;=35,"19-35",B172&lt;=50,"36-50",B172&lt;=65,"51-65","True","65+")</f>
        <v>65+</v>
      </c>
      <c r="D172" t="s">
        <v>33</v>
      </c>
      <c r="E172" s="6">
        <v>44999</v>
      </c>
      <c r="F172" s="6">
        <v>45006</v>
      </c>
      <c r="G172">
        <v>7</v>
      </c>
      <c r="H172" t="s">
        <v>50</v>
      </c>
      <c r="I172">
        <v>5</v>
      </c>
      <c r="J172" t="s">
        <v>35</v>
      </c>
      <c r="K172">
        <v>23569</v>
      </c>
      <c r="L172" t="s">
        <v>67</v>
      </c>
      <c r="M172" t="s">
        <v>26</v>
      </c>
      <c r="N172" t="s">
        <v>27</v>
      </c>
      <c r="O172" s="2">
        <v>45233</v>
      </c>
      <c r="P172" s="2">
        <v>45263.083333333336</v>
      </c>
      <c r="Q172" s="38">
        <f t="shared" si="2"/>
        <v>30.083333333335759</v>
      </c>
      <c r="R172" t="s">
        <v>42</v>
      </c>
      <c r="S172" t="s">
        <v>29</v>
      </c>
      <c r="T172" t="s">
        <v>47</v>
      </c>
      <c r="U172">
        <v>4</v>
      </c>
      <c r="V172">
        <v>10</v>
      </c>
      <c r="W172" s="18">
        <f>IFERROR(Table1[[#This Row],[Staff Hours Worked]]/Table1[[#This Row],[Staff Available Hours]],0)</f>
        <v>0.4</v>
      </c>
      <c r="X172" t="s">
        <v>68</v>
      </c>
    </row>
    <row r="173" spans="1:24">
      <c r="A173" t="s">
        <v>230</v>
      </c>
      <c r="B173">
        <v>62</v>
      </c>
      <c r="C173" t="str" cm="1">
        <f t="array" ref="C173">_xlfn.IFS(B173&lt;=18,"0-18",B173&lt;=35,"19-35",B173&lt;=50,"36-50",B173&lt;=65,"51-65","True","65+")</f>
        <v>51-65</v>
      </c>
      <c r="D173" t="s">
        <v>33</v>
      </c>
      <c r="E173" s="6">
        <v>45571</v>
      </c>
      <c r="F173" s="6">
        <v>45463</v>
      </c>
      <c r="G173">
        <v>10</v>
      </c>
      <c r="H173" t="s">
        <v>50</v>
      </c>
      <c r="I173">
        <v>4</v>
      </c>
      <c r="J173" t="s">
        <v>35</v>
      </c>
      <c r="K173">
        <v>12086</v>
      </c>
      <c r="L173" t="s">
        <v>36</v>
      </c>
      <c r="M173" t="s">
        <v>54</v>
      </c>
      <c r="N173" t="s">
        <v>27</v>
      </c>
      <c r="O173" s="2">
        <v>45510</v>
      </c>
      <c r="P173" s="2">
        <v>45541</v>
      </c>
      <c r="Q173" s="38">
        <f t="shared" si="2"/>
        <v>31</v>
      </c>
      <c r="R173" t="s">
        <v>37</v>
      </c>
      <c r="S173" t="s">
        <v>29</v>
      </c>
      <c r="T173" t="s">
        <v>43</v>
      </c>
      <c r="U173">
        <v>8</v>
      </c>
      <c r="V173">
        <v>10</v>
      </c>
      <c r="W173" s="18">
        <f>IFERROR(Table1[[#This Row],[Staff Hours Worked]]/Table1[[#This Row],[Staff Available Hours]],0)</f>
        <v>0.8</v>
      </c>
      <c r="X173" t="s">
        <v>31</v>
      </c>
    </row>
    <row r="174" spans="1:24">
      <c r="A174" t="s">
        <v>231</v>
      </c>
      <c r="B174">
        <v>1</v>
      </c>
      <c r="C174" t="str" cm="1">
        <f t="array" ref="C174">_xlfn.IFS(B174&lt;=18,"0-18",B174&lt;=35,"19-35",B174&lt;=50,"36-50",B174&lt;=65,"51-65","True","65+")</f>
        <v>0-18</v>
      </c>
      <c r="D174" t="s">
        <v>22</v>
      </c>
      <c r="E174" s="6">
        <v>44935</v>
      </c>
      <c r="F174" s="6">
        <v>45208</v>
      </c>
      <c r="G174">
        <v>9</v>
      </c>
      <c r="H174" t="s">
        <v>50</v>
      </c>
      <c r="I174">
        <v>3</v>
      </c>
      <c r="J174" t="s">
        <v>66</v>
      </c>
      <c r="K174">
        <v>7317</v>
      </c>
      <c r="L174" t="s">
        <v>25</v>
      </c>
      <c r="M174" t="s">
        <v>26</v>
      </c>
      <c r="N174" t="s">
        <v>27</v>
      </c>
      <c r="O174" s="2">
        <v>45167</v>
      </c>
      <c r="P174" s="2">
        <v>45167.333333333336</v>
      </c>
      <c r="Q174" s="38">
        <f t="shared" si="2"/>
        <v>0.33333333333575865</v>
      </c>
      <c r="R174" t="s">
        <v>64</v>
      </c>
      <c r="S174" t="s">
        <v>38</v>
      </c>
      <c r="T174" t="s">
        <v>43</v>
      </c>
      <c r="U174">
        <v>5</v>
      </c>
      <c r="V174">
        <v>12</v>
      </c>
      <c r="W174" s="18">
        <f>IFERROR(Table1[[#This Row],[Staff Hours Worked]]/Table1[[#This Row],[Staff Available Hours]],0)</f>
        <v>0.41666666666666669</v>
      </c>
      <c r="X174" t="s">
        <v>31</v>
      </c>
    </row>
    <row r="175" spans="1:24">
      <c r="A175" t="s">
        <v>232</v>
      </c>
      <c r="B175">
        <v>27</v>
      </c>
      <c r="C175" t="str" cm="1">
        <f t="array" ref="C175">_xlfn.IFS(B175&lt;=18,"0-18",B175&lt;=35,"19-35",B175&lt;=50,"36-50",B175&lt;=65,"51-65","True","65+")</f>
        <v>19-35</v>
      </c>
      <c r="D175" t="s">
        <v>52</v>
      </c>
      <c r="E175" s="6">
        <v>45212</v>
      </c>
      <c r="F175" s="6">
        <v>45217</v>
      </c>
      <c r="G175">
        <v>5</v>
      </c>
      <c r="H175" t="s">
        <v>34</v>
      </c>
      <c r="I175">
        <v>3</v>
      </c>
      <c r="J175" t="s">
        <v>71</v>
      </c>
      <c r="K175">
        <v>41389</v>
      </c>
      <c r="L175" t="s">
        <v>36</v>
      </c>
      <c r="M175" t="s">
        <v>26</v>
      </c>
      <c r="N175" t="s">
        <v>41</v>
      </c>
      <c r="O175" s="2">
        <v>45212</v>
      </c>
      <c r="P175" s="2">
        <v>45213.541666666664</v>
      </c>
      <c r="Q175" s="38">
        <f t="shared" si="2"/>
        <v>1.5416666666642413</v>
      </c>
      <c r="R175" t="s">
        <v>55</v>
      </c>
      <c r="S175" t="s">
        <v>38</v>
      </c>
      <c r="T175" t="s">
        <v>43</v>
      </c>
      <c r="U175">
        <v>11</v>
      </c>
      <c r="V175">
        <v>12</v>
      </c>
      <c r="W175" s="18">
        <f>IFERROR(Table1[[#This Row],[Staff Hours Worked]]/Table1[[#This Row],[Staff Available Hours]],0)</f>
        <v>0.91666666666666663</v>
      </c>
      <c r="X175" t="s">
        <v>48</v>
      </c>
    </row>
    <row r="176" spans="1:24">
      <c r="A176" t="s">
        <v>233</v>
      </c>
      <c r="B176">
        <v>62</v>
      </c>
      <c r="C176" t="str" cm="1">
        <f t="array" ref="C176">_xlfn.IFS(B176&lt;=18,"0-18",B176&lt;=35,"19-35",B176&lt;=50,"36-50",B176&lt;=65,"51-65","True","65+")</f>
        <v>51-65</v>
      </c>
      <c r="D176" t="s">
        <v>45</v>
      </c>
      <c r="E176" s="6">
        <v>45631</v>
      </c>
      <c r="F176" s="6">
        <v>45432</v>
      </c>
      <c r="G176">
        <v>8</v>
      </c>
      <c r="H176" t="s">
        <v>63</v>
      </c>
      <c r="I176">
        <v>3</v>
      </c>
      <c r="J176" t="s">
        <v>46</v>
      </c>
      <c r="K176">
        <v>9491</v>
      </c>
      <c r="L176" t="s">
        <v>36</v>
      </c>
      <c r="M176" t="s">
        <v>26</v>
      </c>
      <c r="N176" t="s">
        <v>41</v>
      </c>
      <c r="O176" s="2">
        <v>45478</v>
      </c>
      <c r="P176" s="2">
        <v>45478.541666666664</v>
      </c>
      <c r="Q176" s="38">
        <f t="shared" si="2"/>
        <v>0.54166666666424135</v>
      </c>
      <c r="R176" t="s">
        <v>55</v>
      </c>
      <c r="S176" t="s">
        <v>38</v>
      </c>
      <c r="T176" t="s">
        <v>43</v>
      </c>
      <c r="U176">
        <v>10</v>
      </c>
      <c r="V176">
        <v>12</v>
      </c>
      <c r="W176" s="18">
        <f>IFERROR(Table1[[#This Row],[Staff Hours Worked]]/Table1[[#This Row],[Staff Available Hours]],0)</f>
        <v>0.83333333333333337</v>
      </c>
      <c r="X176" t="s">
        <v>48</v>
      </c>
    </row>
    <row r="177" spans="1:24">
      <c r="A177" t="s">
        <v>234</v>
      </c>
      <c r="B177">
        <v>77</v>
      </c>
      <c r="C177" t="str" cm="1">
        <f t="array" ref="C177">_xlfn.IFS(B177&lt;=18,"0-18",B177&lt;=35,"19-35",B177&lt;=50,"36-50",B177&lt;=65,"51-65","True","65+")</f>
        <v>65+</v>
      </c>
      <c r="D177" t="s">
        <v>33</v>
      </c>
      <c r="E177" s="6">
        <v>45146</v>
      </c>
      <c r="F177" s="6">
        <v>45155</v>
      </c>
      <c r="G177">
        <v>9</v>
      </c>
      <c r="H177" t="s">
        <v>50</v>
      </c>
      <c r="I177">
        <v>4</v>
      </c>
      <c r="J177" t="s">
        <v>24</v>
      </c>
      <c r="K177">
        <v>20916</v>
      </c>
      <c r="L177" t="s">
        <v>53</v>
      </c>
      <c r="M177" t="s">
        <v>54</v>
      </c>
      <c r="N177" t="s">
        <v>27</v>
      </c>
      <c r="O177" s="2">
        <v>45146</v>
      </c>
      <c r="P177" s="2">
        <v>45177.583333333336</v>
      </c>
      <c r="Q177" s="38">
        <f t="shared" si="2"/>
        <v>31.583333333335759</v>
      </c>
      <c r="R177" t="s">
        <v>55</v>
      </c>
      <c r="S177" t="s">
        <v>29</v>
      </c>
      <c r="T177" t="s">
        <v>30</v>
      </c>
      <c r="U177">
        <v>5</v>
      </c>
      <c r="V177">
        <v>8</v>
      </c>
      <c r="W177" s="18">
        <f>IFERROR(Table1[[#This Row],[Staff Hours Worked]]/Table1[[#This Row],[Staff Available Hours]],0)</f>
        <v>0.625</v>
      </c>
      <c r="X177" t="s">
        <v>48</v>
      </c>
    </row>
    <row r="178" spans="1:24">
      <c r="A178" t="s">
        <v>235</v>
      </c>
      <c r="B178">
        <v>3</v>
      </c>
      <c r="C178" t="str" cm="1">
        <f t="array" ref="C178">_xlfn.IFS(B178&lt;=18,"0-18",B178&lt;=35,"19-35",B178&lt;=50,"36-50",B178&lt;=65,"51-65","True","65+")</f>
        <v>0-18</v>
      </c>
      <c r="D178" t="s">
        <v>22</v>
      </c>
      <c r="E178" s="6">
        <v>45062</v>
      </c>
      <c r="F178" s="6">
        <v>45072</v>
      </c>
      <c r="G178">
        <v>10</v>
      </c>
      <c r="H178" t="s">
        <v>50</v>
      </c>
      <c r="I178">
        <v>1</v>
      </c>
      <c r="J178" t="s">
        <v>66</v>
      </c>
      <c r="K178">
        <v>20248</v>
      </c>
      <c r="L178" t="s">
        <v>25</v>
      </c>
      <c r="M178" t="s">
        <v>54</v>
      </c>
      <c r="N178" t="s">
        <v>27</v>
      </c>
      <c r="O178" s="2">
        <v>45061</v>
      </c>
      <c r="P178" s="2">
        <v>45062.458333333336</v>
      </c>
      <c r="Q178" s="38">
        <f t="shared" si="2"/>
        <v>1.4583333333357587</v>
      </c>
      <c r="R178" t="s">
        <v>28</v>
      </c>
      <c r="S178" t="s">
        <v>29</v>
      </c>
      <c r="T178" t="s">
        <v>30</v>
      </c>
      <c r="U178">
        <v>5</v>
      </c>
      <c r="V178">
        <v>12</v>
      </c>
      <c r="W178" s="18">
        <f>IFERROR(Table1[[#This Row],[Staff Hours Worked]]/Table1[[#This Row],[Staff Available Hours]],0)</f>
        <v>0.41666666666666669</v>
      </c>
      <c r="X178" t="s">
        <v>31</v>
      </c>
    </row>
    <row r="179" spans="1:24">
      <c r="A179" t="s">
        <v>236</v>
      </c>
      <c r="B179">
        <v>70</v>
      </c>
      <c r="C179" t="str" cm="1">
        <f t="array" ref="C179">_xlfn.IFS(B179&lt;=18,"0-18",B179&lt;=35,"19-35",B179&lt;=50,"36-50",B179&lt;=65,"51-65","True","65+")</f>
        <v>65+</v>
      </c>
      <c r="D179" t="s">
        <v>33</v>
      </c>
      <c r="E179" s="6">
        <v>45411</v>
      </c>
      <c r="F179" s="6">
        <v>45448</v>
      </c>
      <c r="G179">
        <v>7</v>
      </c>
      <c r="H179" t="s">
        <v>40</v>
      </c>
      <c r="I179">
        <v>5</v>
      </c>
      <c r="J179" t="s">
        <v>35</v>
      </c>
      <c r="K179">
        <v>7511</v>
      </c>
      <c r="L179" t="s">
        <v>60</v>
      </c>
      <c r="M179" t="s">
        <v>26</v>
      </c>
      <c r="N179" t="s">
        <v>27</v>
      </c>
      <c r="O179" s="2">
        <v>45408</v>
      </c>
      <c r="P179" s="2">
        <v>45408.5</v>
      </c>
      <c r="Q179" s="38">
        <f t="shared" si="2"/>
        <v>0.5</v>
      </c>
      <c r="R179" t="s">
        <v>42</v>
      </c>
      <c r="S179" t="s">
        <v>29</v>
      </c>
      <c r="T179" t="s">
        <v>47</v>
      </c>
      <c r="U179">
        <v>9</v>
      </c>
      <c r="V179">
        <v>10</v>
      </c>
      <c r="W179" s="18">
        <f>IFERROR(Table1[[#This Row],[Staff Hours Worked]]/Table1[[#This Row],[Staff Available Hours]],0)</f>
        <v>0.9</v>
      </c>
      <c r="X179" t="s">
        <v>68</v>
      </c>
    </row>
    <row r="180" spans="1:24">
      <c r="A180" t="s">
        <v>237</v>
      </c>
      <c r="B180">
        <v>72</v>
      </c>
      <c r="C180" t="str" cm="1">
        <f t="array" ref="C180">_xlfn.IFS(B180&lt;=18,"0-18",B180&lt;=35,"19-35",B180&lt;=50,"36-50",B180&lt;=65,"51-65","True","65+")</f>
        <v>65+</v>
      </c>
      <c r="D180" t="s">
        <v>45</v>
      </c>
      <c r="E180" s="6">
        <v>45086</v>
      </c>
      <c r="F180" s="6">
        <v>45147</v>
      </c>
      <c r="G180">
        <v>2</v>
      </c>
      <c r="H180" t="s">
        <v>34</v>
      </c>
      <c r="I180">
        <v>3</v>
      </c>
      <c r="J180" t="s">
        <v>66</v>
      </c>
      <c r="K180">
        <v>29226</v>
      </c>
      <c r="L180" t="s">
        <v>53</v>
      </c>
      <c r="M180" t="s">
        <v>54</v>
      </c>
      <c r="N180" t="s">
        <v>41</v>
      </c>
      <c r="O180" s="2">
        <v>44994</v>
      </c>
      <c r="P180" s="2">
        <v>45025.833333333336</v>
      </c>
      <c r="Q180" s="38">
        <f t="shared" si="2"/>
        <v>31.833333333335759</v>
      </c>
      <c r="R180" t="s">
        <v>64</v>
      </c>
      <c r="S180" t="s">
        <v>29</v>
      </c>
      <c r="T180" t="s">
        <v>47</v>
      </c>
      <c r="U180">
        <v>7</v>
      </c>
      <c r="V180">
        <v>12</v>
      </c>
      <c r="W180" s="18">
        <f>IFERROR(Table1[[#This Row],[Staff Hours Worked]]/Table1[[#This Row],[Staff Available Hours]],0)</f>
        <v>0.58333333333333337</v>
      </c>
      <c r="X180" t="s">
        <v>68</v>
      </c>
    </row>
    <row r="181" spans="1:24">
      <c r="A181" t="s">
        <v>238</v>
      </c>
      <c r="B181">
        <v>27</v>
      </c>
      <c r="C181" t="str" cm="1">
        <f t="array" ref="C181">_xlfn.IFS(B181&lt;=18,"0-18",B181&lt;=35,"19-35",B181&lt;=50,"36-50",B181&lt;=65,"51-65","True","65+")</f>
        <v>19-35</v>
      </c>
      <c r="D181" t="s">
        <v>45</v>
      </c>
      <c r="E181" s="6">
        <v>45411</v>
      </c>
      <c r="F181" s="6">
        <v>45631</v>
      </c>
      <c r="G181">
        <v>13</v>
      </c>
      <c r="H181" t="s">
        <v>23</v>
      </c>
      <c r="I181">
        <v>4</v>
      </c>
      <c r="J181" t="s">
        <v>66</v>
      </c>
      <c r="K181">
        <v>30025</v>
      </c>
      <c r="L181" t="s">
        <v>60</v>
      </c>
      <c r="M181" t="s">
        <v>26</v>
      </c>
      <c r="N181" t="s">
        <v>41</v>
      </c>
      <c r="O181" s="2">
        <v>45408</v>
      </c>
      <c r="P181" s="2">
        <v>45409.5</v>
      </c>
      <c r="Q181" s="38">
        <f t="shared" si="2"/>
        <v>1.5</v>
      </c>
      <c r="R181" t="s">
        <v>42</v>
      </c>
      <c r="S181" t="s">
        <v>29</v>
      </c>
      <c r="T181" t="s">
        <v>47</v>
      </c>
      <c r="U181">
        <v>4</v>
      </c>
      <c r="V181">
        <v>12</v>
      </c>
      <c r="W181" s="18">
        <f>IFERROR(Table1[[#This Row],[Staff Hours Worked]]/Table1[[#This Row],[Staff Available Hours]],0)</f>
        <v>0.33333333333333331</v>
      </c>
      <c r="X181" t="s">
        <v>31</v>
      </c>
    </row>
    <row r="182" spans="1:24">
      <c r="A182" t="s">
        <v>239</v>
      </c>
      <c r="B182">
        <v>9</v>
      </c>
      <c r="C182" t="str" cm="1">
        <f t="array" ref="C182">_xlfn.IFS(B182&lt;=18,"0-18",B182&lt;=35,"19-35",B182&lt;=50,"36-50",B182&lt;=65,"51-65","True","65+")</f>
        <v>0-18</v>
      </c>
      <c r="D182" t="s">
        <v>62</v>
      </c>
      <c r="E182" s="6">
        <v>45343</v>
      </c>
      <c r="F182" s="6">
        <v>45385</v>
      </c>
      <c r="G182">
        <v>12</v>
      </c>
      <c r="H182" t="s">
        <v>50</v>
      </c>
      <c r="I182">
        <v>1</v>
      </c>
      <c r="J182" t="s">
        <v>66</v>
      </c>
      <c r="K182">
        <v>47314</v>
      </c>
      <c r="L182" t="s">
        <v>67</v>
      </c>
      <c r="M182" t="s">
        <v>26</v>
      </c>
      <c r="N182" t="s">
        <v>27</v>
      </c>
      <c r="O182" s="2">
        <v>45340</v>
      </c>
      <c r="P182" s="2">
        <v>45340.083333333336</v>
      </c>
      <c r="Q182" s="38">
        <f t="shared" si="2"/>
        <v>8.3333333335758653E-2</v>
      </c>
      <c r="R182" t="s">
        <v>28</v>
      </c>
      <c r="S182" t="s">
        <v>29</v>
      </c>
      <c r="T182" t="s">
        <v>30</v>
      </c>
      <c r="U182">
        <v>10</v>
      </c>
      <c r="V182">
        <v>10</v>
      </c>
      <c r="W182" s="18">
        <f>IFERROR(Table1[[#This Row],[Staff Hours Worked]]/Table1[[#This Row],[Staff Available Hours]],0)</f>
        <v>1</v>
      </c>
      <c r="X182" t="s">
        <v>48</v>
      </c>
    </row>
    <row r="183" spans="1:24">
      <c r="A183" t="s">
        <v>240</v>
      </c>
      <c r="B183">
        <v>62</v>
      </c>
      <c r="C183" t="str" cm="1">
        <f t="array" ref="C183">_xlfn.IFS(B183&lt;=18,"0-18",B183&lt;=35,"19-35",B183&lt;=50,"36-50",B183&lt;=65,"51-65","True","65+")</f>
        <v>51-65</v>
      </c>
      <c r="D183" t="s">
        <v>41</v>
      </c>
      <c r="E183" s="6">
        <v>45121</v>
      </c>
      <c r="F183" s="6">
        <v>45123</v>
      </c>
      <c r="G183">
        <v>2</v>
      </c>
      <c r="H183" t="s">
        <v>40</v>
      </c>
      <c r="I183">
        <v>5</v>
      </c>
      <c r="J183" t="s">
        <v>66</v>
      </c>
      <c r="K183">
        <v>12848</v>
      </c>
      <c r="L183" t="s">
        <v>60</v>
      </c>
      <c r="M183" t="s">
        <v>54</v>
      </c>
      <c r="N183" t="s">
        <v>41</v>
      </c>
      <c r="O183" s="2">
        <v>45120</v>
      </c>
      <c r="P183" s="2">
        <v>45121.958333333336</v>
      </c>
      <c r="Q183" s="38">
        <f t="shared" si="2"/>
        <v>1.9583333333357587</v>
      </c>
      <c r="R183" t="s">
        <v>64</v>
      </c>
      <c r="S183" t="s">
        <v>38</v>
      </c>
      <c r="T183" t="s">
        <v>47</v>
      </c>
      <c r="U183">
        <v>11</v>
      </c>
      <c r="V183">
        <v>12</v>
      </c>
      <c r="W183" s="18">
        <f>IFERROR(Table1[[#This Row],[Staff Hours Worked]]/Table1[[#This Row],[Staff Available Hours]],0)</f>
        <v>0.91666666666666663</v>
      </c>
      <c r="X183" t="s">
        <v>48</v>
      </c>
    </row>
    <row r="184" spans="1:24">
      <c r="A184" t="s">
        <v>241</v>
      </c>
      <c r="B184">
        <v>37</v>
      </c>
      <c r="C184" t="str" cm="1">
        <f t="array" ref="C184">_xlfn.IFS(B184&lt;=18,"0-18",B184&lt;=35,"19-35",B184&lt;=50,"36-50",B184&lt;=65,"51-65","True","65+")</f>
        <v>36-50</v>
      </c>
      <c r="D184" t="s">
        <v>41</v>
      </c>
      <c r="E184" s="6">
        <v>45111</v>
      </c>
      <c r="F184" s="6">
        <v>45037</v>
      </c>
      <c r="G184">
        <v>14</v>
      </c>
      <c r="H184" t="s">
        <v>57</v>
      </c>
      <c r="I184">
        <v>4</v>
      </c>
      <c r="J184" t="s">
        <v>24</v>
      </c>
      <c r="K184">
        <v>19274</v>
      </c>
      <c r="L184" t="s">
        <v>36</v>
      </c>
      <c r="M184" t="s">
        <v>26</v>
      </c>
      <c r="N184" t="s">
        <v>27</v>
      </c>
      <c r="O184" s="2">
        <v>45050</v>
      </c>
      <c r="P184" s="2">
        <v>45081.25</v>
      </c>
      <c r="Q184" s="38">
        <f t="shared" si="2"/>
        <v>31.25</v>
      </c>
      <c r="R184" t="s">
        <v>64</v>
      </c>
      <c r="S184" t="s">
        <v>29</v>
      </c>
      <c r="T184" t="s">
        <v>47</v>
      </c>
      <c r="U184">
        <v>8</v>
      </c>
      <c r="V184">
        <v>8</v>
      </c>
      <c r="W184" s="18">
        <f>IFERROR(Table1[[#This Row],[Staff Hours Worked]]/Table1[[#This Row],[Staff Available Hours]],0)</f>
        <v>1</v>
      </c>
      <c r="X184" t="s">
        <v>48</v>
      </c>
    </row>
    <row r="185" spans="1:24">
      <c r="A185" t="s">
        <v>242</v>
      </c>
      <c r="B185">
        <v>51</v>
      </c>
      <c r="C185" t="str" cm="1">
        <f t="array" ref="C185">_xlfn.IFS(B185&lt;=18,"0-18",B185&lt;=35,"19-35",B185&lt;=50,"36-50",B185&lt;=65,"51-65","True","65+")</f>
        <v>51-65</v>
      </c>
      <c r="D185" t="s">
        <v>22</v>
      </c>
      <c r="E185" s="6">
        <v>45203</v>
      </c>
      <c r="F185" s="6">
        <v>45037</v>
      </c>
      <c r="G185">
        <v>11</v>
      </c>
      <c r="H185" t="s">
        <v>23</v>
      </c>
      <c r="I185">
        <v>5</v>
      </c>
      <c r="J185" t="s">
        <v>71</v>
      </c>
      <c r="K185">
        <v>35958</v>
      </c>
      <c r="L185" t="s">
        <v>60</v>
      </c>
      <c r="M185" t="s">
        <v>54</v>
      </c>
      <c r="N185" t="s">
        <v>41</v>
      </c>
      <c r="O185" s="2">
        <v>45081</v>
      </c>
      <c r="P185" s="2">
        <v>45111.916666666664</v>
      </c>
      <c r="Q185" s="38">
        <f t="shared" si="2"/>
        <v>30.916666666664241</v>
      </c>
      <c r="R185" t="s">
        <v>37</v>
      </c>
      <c r="S185" t="s">
        <v>38</v>
      </c>
      <c r="T185" t="s">
        <v>30</v>
      </c>
      <c r="U185">
        <v>5</v>
      </c>
      <c r="V185">
        <v>12</v>
      </c>
      <c r="W185" s="18">
        <f>IFERROR(Table1[[#This Row],[Staff Hours Worked]]/Table1[[#This Row],[Staff Available Hours]],0)</f>
        <v>0.41666666666666669</v>
      </c>
      <c r="X185" t="s">
        <v>31</v>
      </c>
    </row>
    <row r="186" spans="1:24">
      <c r="A186" t="s">
        <v>243</v>
      </c>
      <c r="B186">
        <v>44</v>
      </c>
      <c r="C186" t="str" cm="1">
        <f t="array" ref="C186">_xlfn.IFS(B186&lt;=18,"0-18",B186&lt;=35,"19-35",B186&lt;=50,"36-50",B186&lt;=65,"51-65","True","65+")</f>
        <v>36-50</v>
      </c>
      <c r="D186" t="s">
        <v>45</v>
      </c>
      <c r="E186" s="6">
        <v>45368</v>
      </c>
      <c r="F186" s="6">
        <v>45379</v>
      </c>
      <c r="G186">
        <v>11</v>
      </c>
      <c r="H186" t="s">
        <v>50</v>
      </c>
      <c r="I186">
        <v>3</v>
      </c>
      <c r="J186" t="s">
        <v>46</v>
      </c>
      <c r="K186">
        <v>40233</v>
      </c>
      <c r="L186" t="s">
        <v>53</v>
      </c>
      <c r="M186" t="s">
        <v>54</v>
      </c>
      <c r="N186" t="s">
        <v>27</v>
      </c>
      <c r="O186" s="2">
        <v>45367</v>
      </c>
      <c r="P186" s="2">
        <v>45367.583333333336</v>
      </c>
      <c r="Q186" s="38">
        <f t="shared" si="2"/>
        <v>0.58333333333575865</v>
      </c>
      <c r="R186" t="s">
        <v>42</v>
      </c>
      <c r="S186" t="s">
        <v>29</v>
      </c>
      <c r="T186" t="s">
        <v>47</v>
      </c>
      <c r="U186">
        <v>11</v>
      </c>
      <c r="V186">
        <v>8</v>
      </c>
      <c r="W186" s="18">
        <f>IFERROR(Table1[[#This Row],[Staff Hours Worked]]/Table1[[#This Row],[Staff Available Hours]],0)</f>
        <v>1.375</v>
      </c>
      <c r="X186" t="s">
        <v>48</v>
      </c>
    </row>
    <row r="187" spans="1:24">
      <c r="A187" t="s">
        <v>244</v>
      </c>
      <c r="B187">
        <v>24</v>
      </c>
      <c r="C187" t="str" cm="1">
        <f t="array" ref="C187">_xlfn.IFS(B187&lt;=18,"0-18",B187&lt;=35,"19-35",B187&lt;=50,"36-50",B187&lt;=65,"51-65","True","65+")</f>
        <v>19-35</v>
      </c>
      <c r="D187" t="s">
        <v>62</v>
      </c>
      <c r="E187" s="6">
        <v>45289</v>
      </c>
      <c r="F187" s="6">
        <v>45304</v>
      </c>
      <c r="G187">
        <v>15</v>
      </c>
      <c r="H187" t="s">
        <v>50</v>
      </c>
      <c r="I187">
        <v>1</v>
      </c>
      <c r="J187" t="s">
        <v>66</v>
      </c>
      <c r="K187">
        <v>21304</v>
      </c>
      <c r="L187" t="s">
        <v>53</v>
      </c>
      <c r="M187" t="s">
        <v>26</v>
      </c>
      <c r="N187" t="s">
        <v>27</v>
      </c>
      <c r="O187" s="2">
        <v>45287</v>
      </c>
      <c r="P187" s="2">
        <v>45288.208333333336</v>
      </c>
      <c r="Q187" s="38">
        <f t="shared" si="2"/>
        <v>1.2083333333357587</v>
      </c>
      <c r="R187" t="s">
        <v>42</v>
      </c>
      <c r="S187" t="s">
        <v>29</v>
      </c>
      <c r="T187" t="s">
        <v>30</v>
      </c>
      <c r="U187">
        <v>4</v>
      </c>
      <c r="V187">
        <v>8</v>
      </c>
      <c r="W187" s="18">
        <f>IFERROR(Table1[[#This Row],[Staff Hours Worked]]/Table1[[#This Row],[Staff Available Hours]],0)</f>
        <v>0.5</v>
      </c>
      <c r="X187" t="s">
        <v>48</v>
      </c>
    </row>
    <row r="188" spans="1:24">
      <c r="A188" t="s">
        <v>245</v>
      </c>
      <c r="B188">
        <v>79</v>
      </c>
      <c r="C188" t="str" cm="1">
        <f t="array" ref="C188">_xlfn.IFS(B188&lt;=18,"0-18",B188&lt;=35,"19-35",B188&lt;=50,"36-50",B188&lt;=65,"51-65","True","65+")</f>
        <v>65+</v>
      </c>
      <c r="D188" t="s">
        <v>62</v>
      </c>
      <c r="E188" s="6">
        <v>45538</v>
      </c>
      <c r="F188" s="6">
        <v>45373</v>
      </c>
      <c r="G188">
        <v>13</v>
      </c>
      <c r="H188" t="s">
        <v>40</v>
      </c>
      <c r="I188">
        <v>4</v>
      </c>
      <c r="J188" t="s">
        <v>66</v>
      </c>
      <c r="K188">
        <v>16294</v>
      </c>
      <c r="L188" t="s">
        <v>60</v>
      </c>
      <c r="M188" t="s">
        <v>26</v>
      </c>
      <c r="N188" t="s">
        <v>41</v>
      </c>
      <c r="O188" s="2">
        <v>45385</v>
      </c>
      <c r="P188" s="2">
        <v>45385.791666666664</v>
      </c>
      <c r="Q188" s="38">
        <f t="shared" si="2"/>
        <v>0.79166666666424135</v>
      </c>
      <c r="R188" t="s">
        <v>37</v>
      </c>
      <c r="S188" t="s">
        <v>29</v>
      </c>
      <c r="T188" t="s">
        <v>30</v>
      </c>
      <c r="U188">
        <v>10</v>
      </c>
      <c r="V188">
        <v>8</v>
      </c>
      <c r="W188" s="18">
        <f>IFERROR(Table1[[#This Row],[Staff Hours Worked]]/Table1[[#This Row],[Staff Available Hours]],0)</f>
        <v>1.25</v>
      </c>
      <c r="X188" t="s">
        <v>31</v>
      </c>
    </row>
    <row r="189" spans="1:24">
      <c r="A189" t="s">
        <v>246</v>
      </c>
      <c r="B189">
        <v>59</v>
      </c>
      <c r="C189" t="str" cm="1">
        <f t="array" ref="C189">_xlfn.IFS(B189&lt;=18,"0-18",B189&lt;=35,"19-35",B189&lt;=50,"36-50",B189&lt;=65,"51-65","True","65+")</f>
        <v>51-65</v>
      </c>
      <c r="D189" t="s">
        <v>33</v>
      </c>
      <c r="E189" s="6">
        <v>45347</v>
      </c>
      <c r="F189" s="6">
        <v>45415</v>
      </c>
      <c r="G189">
        <v>9</v>
      </c>
      <c r="H189" t="s">
        <v>34</v>
      </c>
      <c r="I189">
        <v>1</v>
      </c>
      <c r="J189" t="s">
        <v>66</v>
      </c>
      <c r="K189">
        <v>31425</v>
      </c>
      <c r="L189" t="s">
        <v>53</v>
      </c>
      <c r="M189" t="s">
        <v>54</v>
      </c>
      <c r="N189" t="s">
        <v>27</v>
      </c>
      <c r="O189" s="2">
        <v>45345</v>
      </c>
      <c r="P189" s="2">
        <v>45346.875</v>
      </c>
      <c r="Q189" s="38">
        <f t="shared" si="2"/>
        <v>1.875</v>
      </c>
      <c r="R189" t="s">
        <v>55</v>
      </c>
      <c r="S189" t="s">
        <v>29</v>
      </c>
      <c r="T189" t="s">
        <v>43</v>
      </c>
      <c r="U189">
        <v>10</v>
      </c>
      <c r="V189">
        <v>10</v>
      </c>
      <c r="W189" s="18">
        <f>IFERROR(Table1[[#This Row],[Staff Hours Worked]]/Table1[[#This Row],[Staff Available Hours]],0)</f>
        <v>1</v>
      </c>
      <c r="X189" t="s">
        <v>68</v>
      </c>
    </row>
    <row r="190" spans="1:24">
      <c r="A190" t="s">
        <v>247</v>
      </c>
      <c r="B190">
        <v>32</v>
      </c>
      <c r="C190" t="str" cm="1">
        <f t="array" ref="C190">_xlfn.IFS(B190&lt;=18,"0-18",B190&lt;=35,"19-35",B190&lt;=50,"36-50",B190&lt;=65,"51-65","True","65+")</f>
        <v>19-35</v>
      </c>
      <c r="D190" t="s">
        <v>33</v>
      </c>
      <c r="E190" s="6">
        <v>45405</v>
      </c>
      <c r="F190" s="6">
        <v>45417</v>
      </c>
      <c r="G190">
        <v>12</v>
      </c>
      <c r="H190" t="s">
        <v>50</v>
      </c>
      <c r="I190">
        <v>3</v>
      </c>
      <c r="J190" t="s">
        <v>71</v>
      </c>
      <c r="K190">
        <v>8175</v>
      </c>
      <c r="L190" t="s">
        <v>53</v>
      </c>
      <c r="M190" t="s">
        <v>26</v>
      </c>
      <c r="N190" t="s">
        <v>41</v>
      </c>
      <c r="O190" s="2">
        <v>45400</v>
      </c>
      <c r="P190" s="2">
        <v>45400.208333333336</v>
      </c>
      <c r="Q190" s="38">
        <f t="shared" si="2"/>
        <v>0.20833333333575865</v>
      </c>
      <c r="R190" t="s">
        <v>28</v>
      </c>
      <c r="S190" t="s">
        <v>29</v>
      </c>
      <c r="T190" t="s">
        <v>43</v>
      </c>
      <c r="U190">
        <v>4</v>
      </c>
      <c r="V190">
        <v>12</v>
      </c>
      <c r="W190" s="18">
        <f>IFERROR(Table1[[#This Row],[Staff Hours Worked]]/Table1[[#This Row],[Staff Available Hours]],0)</f>
        <v>0.33333333333333331</v>
      </c>
      <c r="X190" t="s">
        <v>31</v>
      </c>
    </row>
    <row r="191" spans="1:24">
      <c r="A191" t="s">
        <v>248</v>
      </c>
      <c r="B191">
        <v>88</v>
      </c>
      <c r="C191" t="str" cm="1">
        <f t="array" ref="C191">_xlfn.IFS(B191&lt;=18,"0-18",B191&lt;=35,"19-35",B191&lt;=50,"36-50",B191&lt;=65,"51-65","True","65+")</f>
        <v>65+</v>
      </c>
      <c r="D191" t="s">
        <v>62</v>
      </c>
      <c r="E191" s="6">
        <v>44982</v>
      </c>
      <c r="F191" s="6">
        <v>45233</v>
      </c>
      <c r="G191">
        <v>14</v>
      </c>
      <c r="H191" t="s">
        <v>57</v>
      </c>
      <c r="I191">
        <v>1</v>
      </c>
      <c r="J191" t="s">
        <v>35</v>
      </c>
      <c r="K191">
        <v>45617</v>
      </c>
      <c r="L191" t="s">
        <v>60</v>
      </c>
      <c r="M191" t="s">
        <v>54</v>
      </c>
      <c r="N191" t="s">
        <v>27</v>
      </c>
      <c r="O191" s="2">
        <v>44980</v>
      </c>
      <c r="P191" s="2">
        <v>44981.125</v>
      </c>
      <c r="Q191" s="38">
        <f t="shared" si="2"/>
        <v>1.125</v>
      </c>
      <c r="R191" t="s">
        <v>42</v>
      </c>
      <c r="S191" t="s">
        <v>29</v>
      </c>
      <c r="T191" t="s">
        <v>30</v>
      </c>
      <c r="U191">
        <v>7</v>
      </c>
      <c r="V191">
        <v>8</v>
      </c>
      <c r="W191" s="18">
        <f>IFERROR(Table1[[#This Row],[Staff Hours Worked]]/Table1[[#This Row],[Staff Available Hours]],0)</f>
        <v>0.875</v>
      </c>
      <c r="X191" t="s">
        <v>31</v>
      </c>
    </row>
    <row r="192" spans="1:24">
      <c r="A192" t="s">
        <v>249</v>
      </c>
      <c r="B192">
        <v>52</v>
      </c>
      <c r="C192" t="str" cm="1">
        <f t="array" ref="C192">_xlfn.IFS(B192&lt;=18,"0-18",B192&lt;=35,"19-35",B192&lt;=50,"36-50",B192&lt;=65,"51-65","True","65+")</f>
        <v>51-65</v>
      </c>
      <c r="D192" t="s">
        <v>33</v>
      </c>
      <c r="E192" s="6">
        <v>45234</v>
      </c>
      <c r="F192" s="6">
        <v>45031</v>
      </c>
      <c r="G192">
        <v>4</v>
      </c>
      <c r="H192" t="s">
        <v>50</v>
      </c>
      <c r="I192">
        <v>1</v>
      </c>
      <c r="J192" t="s">
        <v>35</v>
      </c>
      <c r="K192">
        <v>32775</v>
      </c>
      <c r="L192" t="s">
        <v>25</v>
      </c>
      <c r="M192" t="s">
        <v>54</v>
      </c>
      <c r="N192" t="s">
        <v>27</v>
      </c>
      <c r="O192" s="2">
        <v>45142</v>
      </c>
      <c r="P192" s="2">
        <v>45173.833333333336</v>
      </c>
      <c r="Q192" s="38">
        <f t="shared" si="2"/>
        <v>31.833333333335759</v>
      </c>
      <c r="R192" t="s">
        <v>37</v>
      </c>
      <c r="S192" t="s">
        <v>29</v>
      </c>
      <c r="T192" t="s">
        <v>30</v>
      </c>
      <c r="U192">
        <v>9</v>
      </c>
      <c r="V192">
        <v>8</v>
      </c>
      <c r="W192" s="18">
        <f>IFERROR(Table1[[#This Row],[Staff Hours Worked]]/Table1[[#This Row],[Staff Available Hours]],0)</f>
        <v>1.125</v>
      </c>
      <c r="X192" t="s">
        <v>31</v>
      </c>
    </row>
    <row r="193" spans="1:24">
      <c r="A193" t="s">
        <v>250</v>
      </c>
      <c r="B193">
        <v>62</v>
      </c>
      <c r="C193" t="str" cm="1">
        <f t="array" ref="C193">_xlfn.IFS(B193&lt;=18,"0-18",B193&lt;=35,"19-35",B193&lt;=50,"36-50",B193&lt;=65,"51-65","True","65+")</f>
        <v>51-65</v>
      </c>
      <c r="D193" t="s">
        <v>45</v>
      </c>
      <c r="E193" s="6">
        <v>45019</v>
      </c>
      <c r="F193" s="6">
        <v>45233</v>
      </c>
      <c r="G193">
        <v>7</v>
      </c>
      <c r="H193" t="s">
        <v>57</v>
      </c>
      <c r="I193">
        <v>2</v>
      </c>
      <c r="J193" t="s">
        <v>24</v>
      </c>
      <c r="K193">
        <v>14425</v>
      </c>
      <c r="L193" t="s">
        <v>25</v>
      </c>
      <c r="M193" t="s">
        <v>54</v>
      </c>
      <c r="N193" t="s">
        <v>27</v>
      </c>
      <c r="O193" s="2">
        <v>44988</v>
      </c>
      <c r="P193" s="2">
        <v>45019.333333333336</v>
      </c>
      <c r="Q193" s="38">
        <f t="shared" si="2"/>
        <v>31.333333333335759</v>
      </c>
      <c r="R193" t="s">
        <v>64</v>
      </c>
      <c r="S193" t="s">
        <v>29</v>
      </c>
      <c r="T193" t="s">
        <v>43</v>
      </c>
      <c r="U193">
        <v>8</v>
      </c>
      <c r="V193">
        <v>12</v>
      </c>
      <c r="W193" s="18">
        <f>IFERROR(Table1[[#This Row],[Staff Hours Worked]]/Table1[[#This Row],[Staff Available Hours]],0)</f>
        <v>0.66666666666666663</v>
      </c>
      <c r="X193" t="s">
        <v>31</v>
      </c>
    </row>
    <row r="194" spans="1:24">
      <c r="A194" t="s">
        <v>251</v>
      </c>
      <c r="B194">
        <v>58</v>
      </c>
      <c r="C194" t="str" cm="1">
        <f t="array" ref="C194">_xlfn.IFS(B194&lt;=18,"0-18",B194&lt;=35,"19-35",B194&lt;=50,"36-50",B194&lt;=65,"51-65","True","65+")</f>
        <v>51-65</v>
      </c>
      <c r="D194" t="s">
        <v>52</v>
      </c>
      <c r="E194" s="6">
        <v>45339</v>
      </c>
      <c r="F194" s="6">
        <v>45347</v>
      </c>
      <c r="G194">
        <v>8</v>
      </c>
      <c r="H194" t="s">
        <v>23</v>
      </c>
      <c r="I194">
        <v>1</v>
      </c>
      <c r="J194" t="s">
        <v>35</v>
      </c>
      <c r="K194">
        <v>31013</v>
      </c>
      <c r="L194" t="s">
        <v>67</v>
      </c>
      <c r="M194" t="s">
        <v>26</v>
      </c>
      <c r="N194" t="s">
        <v>27</v>
      </c>
      <c r="O194" s="2">
        <v>45337</v>
      </c>
      <c r="P194" s="2">
        <v>45337.375</v>
      </c>
      <c r="Q194" s="38">
        <f t="shared" ref="Q194:Q257" si="3">IF(OR(O194="",P194=""),"",ABS(P194-O194))</f>
        <v>0.375</v>
      </c>
      <c r="R194" t="s">
        <v>37</v>
      </c>
      <c r="S194" t="s">
        <v>29</v>
      </c>
      <c r="T194" t="s">
        <v>47</v>
      </c>
      <c r="U194">
        <v>9</v>
      </c>
      <c r="V194">
        <v>10</v>
      </c>
      <c r="W194" s="18">
        <f>IFERROR(Table1[[#This Row],[Staff Hours Worked]]/Table1[[#This Row],[Staff Available Hours]],0)</f>
        <v>0.9</v>
      </c>
      <c r="X194" t="s">
        <v>68</v>
      </c>
    </row>
    <row r="195" spans="1:24">
      <c r="A195" t="s">
        <v>252</v>
      </c>
      <c r="B195">
        <v>52</v>
      </c>
      <c r="C195" t="str" cm="1">
        <f t="array" ref="C195">_xlfn.IFS(B195&lt;=18,"0-18",B195&lt;=35,"19-35",B195&lt;=50,"36-50",B195&lt;=65,"51-65","True","65+")</f>
        <v>51-65</v>
      </c>
      <c r="D195" t="s">
        <v>45</v>
      </c>
      <c r="E195" s="6">
        <v>45274</v>
      </c>
      <c r="F195" s="6">
        <v>45289</v>
      </c>
      <c r="G195">
        <v>15</v>
      </c>
      <c r="H195" t="s">
        <v>23</v>
      </c>
      <c r="I195">
        <v>5</v>
      </c>
      <c r="J195" t="s">
        <v>66</v>
      </c>
      <c r="K195">
        <v>32928</v>
      </c>
      <c r="L195" t="s">
        <v>53</v>
      </c>
      <c r="M195" t="s">
        <v>54</v>
      </c>
      <c r="N195" t="s">
        <v>27</v>
      </c>
      <c r="O195" s="2">
        <v>45211</v>
      </c>
      <c r="P195" s="2">
        <v>45242.708333333336</v>
      </c>
      <c r="Q195" s="38">
        <f t="shared" si="3"/>
        <v>31.708333333335759</v>
      </c>
      <c r="R195" t="s">
        <v>55</v>
      </c>
      <c r="S195" t="s">
        <v>29</v>
      </c>
      <c r="T195" t="s">
        <v>47</v>
      </c>
      <c r="U195">
        <v>10</v>
      </c>
      <c r="V195">
        <v>10</v>
      </c>
      <c r="W195" s="18">
        <f>IFERROR(Table1[[#This Row],[Staff Hours Worked]]/Table1[[#This Row],[Staff Available Hours]],0)</f>
        <v>1</v>
      </c>
      <c r="X195" t="s">
        <v>48</v>
      </c>
    </row>
    <row r="196" spans="1:24">
      <c r="A196" t="s">
        <v>253</v>
      </c>
      <c r="B196">
        <v>12</v>
      </c>
      <c r="C196" t="str" cm="1">
        <f t="array" ref="C196">_xlfn.IFS(B196&lt;=18,"0-18",B196&lt;=35,"19-35",B196&lt;=50,"36-50",B196&lt;=65,"51-65","True","65+")</f>
        <v>0-18</v>
      </c>
      <c r="D196" t="s">
        <v>62</v>
      </c>
      <c r="E196" s="6">
        <v>45038</v>
      </c>
      <c r="F196" s="6">
        <v>45042</v>
      </c>
      <c r="G196">
        <v>4</v>
      </c>
      <c r="H196" t="s">
        <v>63</v>
      </c>
      <c r="I196">
        <v>4</v>
      </c>
      <c r="J196" t="s">
        <v>66</v>
      </c>
      <c r="K196">
        <v>49990</v>
      </c>
      <c r="L196" t="s">
        <v>60</v>
      </c>
      <c r="M196" t="s">
        <v>54</v>
      </c>
      <c r="N196" t="s">
        <v>41</v>
      </c>
      <c r="O196" s="2">
        <v>45034</v>
      </c>
      <c r="P196" s="2">
        <v>45034.833333333336</v>
      </c>
      <c r="Q196" s="38">
        <f t="shared" si="3"/>
        <v>0.83333333333575865</v>
      </c>
      <c r="R196" t="s">
        <v>28</v>
      </c>
      <c r="S196" t="s">
        <v>29</v>
      </c>
      <c r="T196" t="s">
        <v>47</v>
      </c>
      <c r="U196">
        <v>8</v>
      </c>
      <c r="V196">
        <v>8</v>
      </c>
      <c r="W196" s="18">
        <f>IFERROR(Table1[[#This Row],[Staff Hours Worked]]/Table1[[#This Row],[Staff Available Hours]],0)</f>
        <v>1</v>
      </c>
      <c r="X196" t="s">
        <v>31</v>
      </c>
    </row>
    <row r="197" spans="1:24">
      <c r="A197" t="s">
        <v>254</v>
      </c>
      <c r="B197">
        <v>39</v>
      </c>
      <c r="C197" t="str" cm="1">
        <f t="array" ref="C197">_xlfn.IFS(B197&lt;=18,"0-18",B197&lt;=35,"19-35",B197&lt;=50,"36-50",B197&lt;=65,"51-65","True","65+")</f>
        <v>36-50</v>
      </c>
      <c r="D197" t="s">
        <v>62</v>
      </c>
      <c r="E197" s="6">
        <v>45269</v>
      </c>
      <c r="F197" s="6">
        <v>45188</v>
      </c>
      <c r="G197">
        <v>7</v>
      </c>
      <c r="H197" t="s">
        <v>63</v>
      </c>
      <c r="I197">
        <v>2</v>
      </c>
      <c r="J197" t="s">
        <v>66</v>
      </c>
      <c r="K197">
        <v>46212</v>
      </c>
      <c r="L197" t="s">
        <v>53</v>
      </c>
      <c r="M197" t="s">
        <v>54</v>
      </c>
      <c r="N197" t="s">
        <v>41</v>
      </c>
      <c r="O197" s="2">
        <v>45269</v>
      </c>
      <c r="P197" s="2">
        <v>45269.666666666664</v>
      </c>
      <c r="Q197" s="38">
        <f t="shared" si="3"/>
        <v>0.66666666666424135</v>
      </c>
      <c r="R197" t="s">
        <v>55</v>
      </c>
      <c r="S197" t="s">
        <v>29</v>
      </c>
      <c r="T197" t="s">
        <v>30</v>
      </c>
      <c r="U197">
        <v>10</v>
      </c>
      <c r="V197">
        <v>10</v>
      </c>
      <c r="W197" s="18">
        <f>IFERROR(Table1[[#This Row],[Staff Hours Worked]]/Table1[[#This Row],[Staff Available Hours]],0)</f>
        <v>1</v>
      </c>
      <c r="X197" t="s">
        <v>68</v>
      </c>
    </row>
    <row r="198" spans="1:24">
      <c r="A198" t="s">
        <v>255</v>
      </c>
      <c r="B198">
        <v>2</v>
      </c>
      <c r="C198" t="str" cm="1">
        <f t="array" ref="C198">_xlfn.IFS(B198&lt;=18,"0-18",B198&lt;=35,"19-35",B198&lt;=50,"36-50",B198&lt;=65,"51-65","True","65+")</f>
        <v>0-18</v>
      </c>
      <c r="D198" t="s">
        <v>45</v>
      </c>
      <c r="E198" s="6">
        <v>45123</v>
      </c>
      <c r="F198" s="6">
        <v>45129</v>
      </c>
      <c r="G198">
        <v>6</v>
      </c>
      <c r="H198" t="s">
        <v>57</v>
      </c>
      <c r="I198">
        <v>4</v>
      </c>
      <c r="J198" t="s">
        <v>24</v>
      </c>
      <c r="K198">
        <v>13210</v>
      </c>
      <c r="L198" t="s">
        <v>36</v>
      </c>
      <c r="M198" t="s">
        <v>26</v>
      </c>
      <c r="N198" t="s">
        <v>27</v>
      </c>
      <c r="O198" s="2">
        <v>45121</v>
      </c>
      <c r="P198" s="2">
        <v>45121.708333333336</v>
      </c>
      <c r="Q198" s="38">
        <f t="shared" si="3"/>
        <v>0.70833333333575865</v>
      </c>
      <c r="R198" t="s">
        <v>64</v>
      </c>
      <c r="S198" t="s">
        <v>29</v>
      </c>
      <c r="T198" t="s">
        <v>43</v>
      </c>
      <c r="U198">
        <v>5</v>
      </c>
      <c r="V198">
        <v>12</v>
      </c>
      <c r="W198" s="18">
        <f>IFERROR(Table1[[#This Row],[Staff Hours Worked]]/Table1[[#This Row],[Staff Available Hours]],0)</f>
        <v>0.41666666666666669</v>
      </c>
      <c r="X198" t="s">
        <v>48</v>
      </c>
    </row>
    <row r="199" spans="1:24">
      <c r="A199" t="s">
        <v>256</v>
      </c>
      <c r="B199">
        <v>3</v>
      </c>
      <c r="C199" t="str" cm="1">
        <f t="array" ref="C199">_xlfn.IFS(B199&lt;=18,"0-18",B199&lt;=35,"19-35",B199&lt;=50,"36-50",B199&lt;=65,"51-65","True","65+")</f>
        <v>0-18</v>
      </c>
      <c r="D199" t="s">
        <v>33</v>
      </c>
      <c r="E199" s="6">
        <v>45121</v>
      </c>
      <c r="F199" s="6">
        <v>45135</v>
      </c>
      <c r="G199">
        <v>14</v>
      </c>
      <c r="H199" t="s">
        <v>34</v>
      </c>
      <c r="I199">
        <v>4</v>
      </c>
      <c r="J199" t="s">
        <v>66</v>
      </c>
      <c r="K199">
        <v>7759</v>
      </c>
      <c r="L199" t="s">
        <v>53</v>
      </c>
      <c r="M199" t="s">
        <v>54</v>
      </c>
      <c r="N199" t="s">
        <v>27</v>
      </c>
      <c r="O199" s="2">
        <v>45120</v>
      </c>
      <c r="P199" s="2">
        <v>45121.791666666664</v>
      </c>
      <c r="Q199" s="38">
        <f t="shared" si="3"/>
        <v>1.7916666666642413</v>
      </c>
      <c r="R199" t="s">
        <v>64</v>
      </c>
      <c r="S199" t="s">
        <v>29</v>
      </c>
      <c r="T199" t="s">
        <v>47</v>
      </c>
      <c r="U199">
        <v>5</v>
      </c>
      <c r="V199">
        <v>10</v>
      </c>
      <c r="W199" s="18">
        <f>IFERROR(Table1[[#This Row],[Staff Hours Worked]]/Table1[[#This Row],[Staff Available Hours]],0)</f>
        <v>0.5</v>
      </c>
      <c r="X199" t="s">
        <v>48</v>
      </c>
    </row>
    <row r="200" spans="1:24">
      <c r="A200" t="s">
        <v>257</v>
      </c>
      <c r="B200">
        <v>56</v>
      </c>
      <c r="C200" t="str" cm="1">
        <f t="array" ref="C200">_xlfn.IFS(B200&lt;=18,"0-18",B200&lt;=35,"19-35",B200&lt;=50,"36-50",B200&lt;=65,"51-65","True","65+")</f>
        <v>51-65</v>
      </c>
      <c r="D200" t="s">
        <v>33</v>
      </c>
      <c r="E200" s="6">
        <v>45386</v>
      </c>
      <c r="F200" s="6">
        <v>45630</v>
      </c>
      <c r="G200">
        <v>8</v>
      </c>
      <c r="H200" t="s">
        <v>50</v>
      </c>
      <c r="I200">
        <v>3</v>
      </c>
      <c r="J200" t="s">
        <v>35</v>
      </c>
      <c r="K200">
        <v>21091</v>
      </c>
      <c r="L200" t="s">
        <v>53</v>
      </c>
      <c r="M200" t="s">
        <v>54</v>
      </c>
      <c r="N200" t="s">
        <v>27</v>
      </c>
      <c r="O200" s="2">
        <v>45295</v>
      </c>
      <c r="P200" s="2">
        <v>45295.416666666664</v>
      </c>
      <c r="Q200" s="38">
        <f t="shared" si="3"/>
        <v>0.41666666666424135</v>
      </c>
      <c r="R200" t="s">
        <v>64</v>
      </c>
      <c r="S200" t="s">
        <v>29</v>
      </c>
      <c r="T200" t="s">
        <v>43</v>
      </c>
      <c r="U200">
        <v>4</v>
      </c>
      <c r="V200">
        <v>12</v>
      </c>
      <c r="W200" s="18">
        <f>IFERROR(Table1[[#This Row],[Staff Hours Worked]]/Table1[[#This Row],[Staff Available Hours]],0)</f>
        <v>0.33333333333333331</v>
      </c>
      <c r="X200" t="s">
        <v>48</v>
      </c>
    </row>
    <row r="201" spans="1:24">
      <c r="A201" t="s">
        <v>258</v>
      </c>
      <c r="B201">
        <v>81</v>
      </c>
      <c r="C201" t="str" cm="1">
        <f t="array" ref="C201">_xlfn.IFS(B201&lt;=18,"0-18",B201&lt;=35,"19-35",B201&lt;=50,"36-50",B201&lt;=65,"51-65","True","65+")</f>
        <v>65+</v>
      </c>
      <c r="D201" t="s">
        <v>41</v>
      </c>
      <c r="E201" s="6">
        <v>45070</v>
      </c>
      <c r="F201" s="6">
        <v>45077</v>
      </c>
      <c r="G201">
        <v>7</v>
      </c>
      <c r="H201" t="s">
        <v>50</v>
      </c>
      <c r="I201">
        <v>3</v>
      </c>
      <c r="J201" t="s">
        <v>71</v>
      </c>
      <c r="K201">
        <v>5002</v>
      </c>
      <c r="L201" t="s">
        <v>25</v>
      </c>
      <c r="M201" t="s">
        <v>54</v>
      </c>
      <c r="N201" t="s">
        <v>27</v>
      </c>
      <c r="O201" s="2">
        <v>45070</v>
      </c>
      <c r="P201" s="2">
        <v>45071.916666666664</v>
      </c>
      <c r="Q201" s="38">
        <f t="shared" si="3"/>
        <v>1.9166666666642413</v>
      </c>
      <c r="R201" t="s">
        <v>64</v>
      </c>
      <c r="S201" t="s">
        <v>29</v>
      </c>
      <c r="T201" t="s">
        <v>43</v>
      </c>
      <c r="U201">
        <v>8</v>
      </c>
      <c r="V201">
        <v>8</v>
      </c>
      <c r="W201" s="18">
        <f>IFERROR(Table1[[#This Row],[Staff Hours Worked]]/Table1[[#This Row],[Staff Available Hours]],0)</f>
        <v>1</v>
      </c>
      <c r="X201" t="s">
        <v>31</v>
      </c>
    </row>
    <row r="202" spans="1:24">
      <c r="A202" t="s">
        <v>259</v>
      </c>
      <c r="B202">
        <v>59</v>
      </c>
      <c r="C202" t="str" cm="1">
        <f t="array" ref="C202">_xlfn.IFS(B202&lt;=18,"0-18",B202&lt;=35,"19-35",B202&lt;=50,"36-50",B202&lt;=65,"51-65","True","65+")</f>
        <v>51-65</v>
      </c>
      <c r="D202" t="s">
        <v>62</v>
      </c>
      <c r="E202" s="6">
        <v>45507</v>
      </c>
      <c r="F202" s="6">
        <v>45366</v>
      </c>
      <c r="G202">
        <v>7</v>
      </c>
      <c r="H202" t="s">
        <v>63</v>
      </c>
      <c r="I202">
        <v>2</v>
      </c>
      <c r="J202" t="s">
        <v>71</v>
      </c>
      <c r="K202">
        <v>45958</v>
      </c>
      <c r="L202" t="s">
        <v>60</v>
      </c>
      <c r="M202" t="s">
        <v>54</v>
      </c>
      <c r="N202" t="s">
        <v>27</v>
      </c>
      <c r="O202" s="2">
        <v>45446</v>
      </c>
      <c r="P202" s="2">
        <v>45476.166666666664</v>
      </c>
      <c r="Q202" s="38">
        <f t="shared" si="3"/>
        <v>30.166666666664241</v>
      </c>
      <c r="R202" t="s">
        <v>37</v>
      </c>
      <c r="S202" t="s">
        <v>29</v>
      </c>
      <c r="T202" t="s">
        <v>30</v>
      </c>
      <c r="U202">
        <v>8</v>
      </c>
      <c r="V202">
        <v>12</v>
      </c>
      <c r="W202" s="18">
        <f>IFERROR(Table1[[#This Row],[Staff Hours Worked]]/Table1[[#This Row],[Staff Available Hours]],0)</f>
        <v>0.66666666666666663</v>
      </c>
      <c r="X202" t="s">
        <v>31</v>
      </c>
    </row>
    <row r="203" spans="1:24">
      <c r="A203" t="s">
        <v>260</v>
      </c>
      <c r="B203">
        <v>2</v>
      </c>
      <c r="C203" t="str" cm="1">
        <f t="array" ref="C203">_xlfn.IFS(B203&lt;=18,"0-18",B203&lt;=35,"19-35",B203&lt;=50,"36-50",B203&lt;=65,"51-65","True","65+")</f>
        <v>0-18</v>
      </c>
      <c r="D203" t="s">
        <v>22</v>
      </c>
      <c r="E203" s="6">
        <v>45114</v>
      </c>
      <c r="F203" s="6">
        <v>45126</v>
      </c>
      <c r="G203">
        <v>12</v>
      </c>
      <c r="H203" t="s">
        <v>57</v>
      </c>
      <c r="I203">
        <v>3</v>
      </c>
      <c r="J203" t="s">
        <v>46</v>
      </c>
      <c r="K203">
        <v>35160</v>
      </c>
      <c r="L203" t="s">
        <v>53</v>
      </c>
      <c r="M203" t="s">
        <v>26</v>
      </c>
      <c r="N203" t="s">
        <v>27</v>
      </c>
      <c r="O203" s="2">
        <v>45023</v>
      </c>
      <c r="P203" s="2">
        <v>45053.041666666664</v>
      </c>
      <c r="Q203" s="38">
        <f t="shared" si="3"/>
        <v>30.041666666664241</v>
      </c>
      <c r="R203" t="s">
        <v>64</v>
      </c>
      <c r="S203" t="s">
        <v>29</v>
      </c>
      <c r="T203" t="s">
        <v>47</v>
      </c>
      <c r="U203">
        <v>10</v>
      </c>
      <c r="V203">
        <v>8</v>
      </c>
      <c r="W203" s="18">
        <f>IFERROR(Table1[[#This Row],[Staff Hours Worked]]/Table1[[#This Row],[Staff Available Hours]],0)</f>
        <v>1.25</v>
      </c>
      <c r="X203" t="s">
        <v>48</v>
      </c>
    </row>
    <row r="204" spans="1:24">
      <c r="A204" t="s">
        <v>261</v>
      </c>
      <c r="B204">
        <v>2</v>
      </c>
      <c r="C204" t="str" cm="1">
        <f t="array" ref="C204">_xlfn.IFS(B204&lt;=18,"0-18",B204&lt;=35,"19-35",B204&lt;=50,"36-50",B204&lt;=65,"51-65","True","65+")</f>
        <v>0-18</v>
      </c>
      <c r="D204" t="s">
        <v>41</v>
      </c>
      <c r="E204" s="6">
        <v>45212</v>
      </c>
      <c r="F204" s="6">
        <v>45214</v>
      </c>
      <c r="G204">
        <v>2</v>
      </c>
      <c r="H204" t="s">
        <v>50</v>
      </c>
      <c r="I204">
        <v>3</v>
      </c>
      <c r="J204" t="s">
        <v>35</v>
      </c>
      <c r="K204">
        <v>25707</v>
      </c>
      <c r="L204" t="s">
        <v>25</v>
      </c>
      <c r="M204" t="s">
        <v>54</v>
      </c>
      <c r="N204" t="s">
        <v>27</v>
      </c>
      <c r="O204" s="2">
        <v>45270</v>
      </c>
      <c r="P204" s="2">
        <v>45270.208333333336</v>
      </c>
      <c r="Q204" s="38">
        <f t="shared" si="3"/>
        <v>0.20833333333575865</v>
      </c>
      <c r="R204" t="s">
        <v>64</v>
      </c>
      <c r="S204" t="s">
        <v>29</v>
      </c>
      <c r="T204" t="s">
        <v>43</v>
      </c>
      <c r="U204">
        <v>9</v>
      </c>
      <c r="V204">
        <v>12</v>
      </c>
      <c r="W204" s="18">
        <f>IFERROR(Table1[[#This Row],[Staff Hours Worked]]/Table1[[#This Row],[Staff Available Hours]],0)</f>
        <v>0.75</v>
      </c>
      <c r="X204" t="s">
        <v>48</v>
      </c>
    </row>
    <row r="205" spans="1:24">
      <c r="A205" t="s">
        <v>262</v>
      </c>
      <c r="B205">
        <v>54</v>
      </c>
      <c r="C205" t="str" cm="1">
        <f t="array" ref="C205">_xlfn.IFS(B205&lt;=18,"0-18",B205&lt;=35,"19-35",B205&lt;=50,"36-50",B205&lt;=65,"51-65","True","65+")</f>
        <v>51-65</v>
      </c>
      <c r="D205" t="s">
        <v>33</v>
      </c>
      <c r="E205" s="6">
        <v>45400</v>
      </c>
      <c r="F205" s="6">
        <v>45406</v>
      </c>
      <c r="G205">
        <v>6</v>
      </c>
      <c r="H205" t="s">
        <v>50</v>
      </c>
      <c r="I205">
        <v>3</v>
      </c>
      <c r="J205" t="s">
        <v>66</v>
      </c>
      <c r="K205">
        <v>20248</v>
      </c>
      <c r="L205" t="s">
        <v>67</v>
      </c>
      <c r="M205" t="s">
        <v>26</v>
      </c>
      <c r="N205" t="s">
        <v>27</v>
      </c>
      <c r="O205" s="2">
        <v>45399</v>
      </c>
      <c r="P205" s="2">
        <v>45400.208333333336</v>
      </c>
      <c r="Q205" s="38">
        <f t="shared" si="3"/>
        <v>1.2083333333357587</v>
      </c>
      <c r="R205" t="s">
        <v>37</v>
      </c>
      <c r="S205" t="s">
        <v>29</v>
      </c>
      <c r="T205" t="s">
        <v>30</v>
      </c>
      <c r="U205">
        <v>5</v>
      </c>
      <c r="V205">
        <v>12</v>
      </c>
      <c r="W205" s="18">
        <f>IFERROR(Table1[[#This Row],[Staff Hours Worked]]/Table1[[#This Row],[Staff Available Hours]],0)</f>
        <v>0.41666666666666669</v>
      </c>
      <c r="X205" t="s">
        <v>48</v>
      </c>
    </row>
    <row r="206" spans="1:24">
      <c r="A206" t="s">
        <v>263</v>
      </c>
      <c r="B206">
        <v>87</v>
      </c>
      <c r="C206" t="str" cm="1">
        <f t="array" ref="C206">_xlfn.IFS(B206&lt;=18,"0-18",B206&lt;=35,"19-35",B206&lt;=50,"36-50",B206&lt;=65,"51-65","True","65+")</f>
        <v>65+</v>
      </c>
      <c r="D206" t="s">
        <v>45</v>
      </c>
      <c r="E206" s="6">
        <v>45182</v>
      </c>
      <c r="F206" s="6">
        <v>45189</v>
      </c>
      <c r="G206">
        <v>7</v>
      </c>
      <c r="H206" t="s">
        <v>34</v>
      </c>
      <c r="I206">
        <v>4</v>
      </c>
      <c r="J206" t="s">
        <v>71</v>
      </c>
      <c r="K206">
        <v>10773</v>
      </c>
      <c r="L206" t="s">
        <v>25</v>
      </c>
      <c r="M206" t="s">
        <v>54</v>
      </c>
      <c r="N206" t="s">
        <v>27</v>
      </c>
      <c r="O206" s="2">
        <v>45182</v>
      </c>
      <c r="P206" s="2">
        <v>45183.625</v>
      </c>
      <c r="Q206" s="38">
        <f t="shared" si="3"/>
        <v>1.625</v>
      </c>
      <c r="R206" t="s">
        <v>64</v>
      </c>
      <c r="S206" t="s">
        <v>29</v>
      </c>
      <c r="T206" t="s">
        <v>30</v>
      </c>
      <c r="U206">
        <v>6</v>
      </c>
      <c r="V206">
        <v>10</v>
      </c>
      <c r="W206" s="18">
        <f>IFERROR(Table1[[#This Row],[Staff Hours Worked]]/Table1[[#This Row],[Staff Available Hours]],0)</f>
        <v>0.6</v>
      </c>
      <c r="X206" t="s">
        <v>48</v>
      </c>
    </row>
    <row r="207" spans="1:24">
      <c r="A207" t="s">
        <v>264</v>
      </c>
      <c r="B207">
        <v>1</v>
      </c>
      <c r="C207" t="str" cm="1">
        <f t="array" ref="C207">_xlfn.IFS(B207&lt;=18,"0-18",B207&lt;=35,"19-35",B207&lt;=50,"36-50",B207&lt;=65,"51-65","True","65+")</f>
        <v>0-18</v>
      </c>
      <c r="D207" t="s">
        <v>33</v>
      </c>
      <c r="E207" s="6">
        <v>45004</v>
      </c>
      <c r="F207" s="6">
        <v>45010</v>
      </c>
      <c r="G207">
        <v>6</v>
      </c>
      <c r="H207" t="s">
        <v>40</v>
      </c>
      <c r="I207">
        <v>2</v>
      </c>
      <c r="J207" t="s">
        <v>35</v>
      </c>
      <c r="K207">
        <v>17786</v>
      </c>
      <c r="L207" t="s">
        <v>25</v>
      </c>
      <c r="M207" t="s">
        <v>26</v>
      </c>
      <c r="N207" t="s">
        <v>41</v>
      </c>
      <c r="O207" s="2">
        <v>45004</v>
      </c>
      <c r="P207" s="2">
        <v>45005.291666666664</v>
      </c>
      <c r="Q207" s="38">
        <f t="shared" si="3"/>
        <v>1.2916666666642413</v>
      </c>
      <c r="R207" t="s">
        <v>55</v>
      </c>
      <c r="S207" t="s">
        <v>38</v>
      </c>
      <c r="T207" t="s">
        <v>30</v>
      </c>
      <c r="U207">
        <v>4</v>
      </c>
      <c r="V207">
        <v>12</v>
      </c>
      <c r="W207" s="18">
        <f>IFERROR(Table1[[#This Row],[Staff Hours Worked]]/Table1[[#This Row],[Staff Available Hours]],0)</f>
        <v>0.33333333333333331</v>
      </c>
      <c r="X207" t="s">
        <v>48</v>
      </c>
    </row>
    <row r="208" spans="1:24">
      <c r="A208" t="s">
        <v>265</v>
      </c>
      <c r="B208">
        <v>19</v>
      </c>
      <c r="C208" t="str" cm="1">
        <f t="array" ref="C208">_xlfn.IFS(B208&lt;=18,"0-18",B208&lt;=35,"19-35",B208&lt;=50,"36-50",B208&lt;=65,"51-65","True","65+")</f>
        <v>19-35</v>
      </c>
      <c r="D208" t="s">
        <v>45</v>
      </c>
      <c r="E208" s="6">
        <v>45380</v>
      </c>
      <c r="F208" s="6">
        <v>45539</v>
      </c>
      <c r="G208">
        <v>11</v>
      </c>
      <c r="H208" t="s">
        <v>63</v>
      </c>
      <c r="I208">
        <v>4</v>
      </c>
      <c r="J208" t="s">
        <v>71</v>
      </c>
      <c r="K208">
        <v>20037</v>
      </c>
      <c r="L208" t="s">
        <v>25</v>
      </c>
      <c r="M208" t="s">
        <v>54</v>
      </c>
      <c r="N208" t="s">
        <v>41</v>
      </c>
      <c r="O208" s="2">
        <v>45378</v>
      </c>
      <c r="P208" s="2">
        <v>45379.583333333336</v>
      </c>
      <c r="Q208" s="38">
        <f t="shared" si="3"/>
        <v>1.5833333333357587</v>
      </c>
      <c r="R208" t="s">
        <v>55</v>
      </c>
      <c r="S208" t="s">
        <v>29</v>
      </c>
      <c r="T208" t="s">
        <v>47</v>
      </c>
      <c r="U208">
        <v>11</v>
      </c>
      <c r="V208">
        <v>8</v>
      </c>
      <c r="W208" s="18">
        <f>IFERROR(Table1[[#This Row],[Staff Hours Worked]]/Table1[[#This Row],[Staff Available Hours]],0)</f>
        <v>1.375</v>
      </c>
      <c r="X208" t="s">
        <v>48</v>
      </c>
    </row>
    <row r="209" spans="1:24">
      <c r="A209" t="s">
        <v>266</v>
      </c>
      <c r="B209">
        <v>2</v>
      </c>
      <c r="C209" t="str" cm="1">
        <f t="array" ref="C209">_xlfn.IFS(B209&lt;=18,"0-18",B209&lt;=35,"19-35",B209&lt;=50,"36-50",B209&lt;=65,"51-65","True","65+")</f>
        <v>0-18</v>
      </c>
      <c r="D209" t="s">
        <v>41</v>
      </c>
      <c r="E209" s="6">
        <v>45234</v>
      </c>
      <c r="F209" s="6">
        <v>45032</v>
      </c>
      <c r="G209">
        <v>5</v>
      </c>
      <c r="H209" t="s">
        <v>63</v>
      </c>
      <c r="I209">
        <v>5</v>
      </c>
      <c r="J209" t="s">
        <v>66</v>
      </c>
      <c r="K209">
        <v>6885</v>
      </c>
      <c r="L209" t="s">
        <v>53</v>
      </c>
      <c r="M209" t="s">
        <v>54</v>
      </c>
      <c r="N209" t="s">
        <v>41</v>
      </c>
      <c r="O209" s="2">
        <v>45142</v>
      </c>
      <c r="P209" s="2">
        <v>45173.083333333336</v>
      </c>
      <c r="Q209" s="38">
        <f t="shared" si="3"/>
        <v>31.083333333335759</v>
      </c>
      <c r="R209" t="s">
        <v>42</v>
      </c>
      <c r="S209" t="s">
        <v>29</v>
      </c>
      <c r="T209" t="s">
        <v>47</v>
      </c>
      <c r="U209">
        <v>8</v>
      </c>
      <c r="V209">
        <v>12</v>
      </c>
      <c r="W209" s="18">
        <f>IFERROR(Table1[[#This Row],[Staff Hours Worked]]/Table1[[#This Row],[Staff Available Hours]],0)</f>
        <v>0.66666666666666663</v>
      </c>
      <c r="X209" t="s">
        <v>68</v>
      </c>
    </row>
    <row r="210" spans="1:24">
      <c r="A210" t="s">
        <v>267</v>
      </c>
      <c r="B210">
        <v>53</v>
      </c>
      <c r="C210" t="str" cm="1">
        <f t="array" ref="C210">_xlfn.IFS(B210&lt;=18,"0-18",B210&lt;=35,"19-35",B210&lt;=50,"36-50",B210&lt;=65,"51-65","True","65+")</f>
        <v>51-65</v>
      </c>
      <c r="D210" t="s">
        <v>62</v>
      </c>
      <c r="E210" s="6">
        <v>44978</v>
      </c>
      <c r="F210" s="6">
        <v>44984</v>
      </c>
      <c r="G210">
        <v>6</v>
      </c>
      <c r="H210" t="s">
        <v>40</v>
      </c>
      <c r="I210">
        <v>4</v>
      </c>
      <c r="J210" t="s">
        <v>71</v>
      </c>
      <c r="K210">
        <v>44828</v>
      </c>
      <c r="L210" t="s">
        <v>53</v>
      </c>
      <c r="M210" t="s">
        <v>54</v>
      </c>
      <c r="N210" t="s">
        <v>41</v>
      </c>
      <c r="O210" s="2">
        <v>44974</v>
      </c>
      <c r="P210" s="2">
        <v>44975.458333333336</v>
      </c>
      <c r="Q210" s="38">
        <f t="shared" si="3"/>
        <v>1.4583333333357587</v>
      </c>
      <c r="R210" t="s">
        <v>55</v>
      </c>
      <c r="S210" t="s">
        <v>29</v>
      </c>
      <c r="T210" t="s">
        <v>30</v>
      </c>
      <c r="U210">
        <v>7</v>
      </c>
      <c r="V210">
        <v>8</v>
      </c>
      <c r="W210" s="18">
        <f>IFERROR(Table1[[#This Row],[Staff Hours Worked]]/Table1[[#This Row],[Staff Available Hours]],0)</f>
        <v>0.875</v>
      </c>
      <c r="X210" t="s">
        <v>48</v>
      </c>
    </row>
    <row r="211" spans="1:24">
      <c r="A211" t="s">
        <v>268</v>
      </c>
      <c r="B211">
        <v>44</v>
      </c>
      <c r="C211" t="str" cm="1">
        <f t="array" ref="C211">_xlfn.IFS(B211&lt;=18,"0-18",B211&lt;=35,"19-35",B211&lt;=50,"36-50",B211&lt;=65,"51-65","True","65+")</f>
        <v>36-50</v>
      </c>
      <c r="D211" t="s">
        <v>33</v>
      </c>
      <c r="E211" s="6">
        <v>44942</v>
      </c>
      <c r="F211" s="6">
        <v>44945</v>
      </c>
      <c r="G211">
        <v>3</v>
      </c>
      <c r="H211" t="s">
        <v>50</v>
      </c>
      <c r="I211">
        <v>5</v>
      </c>
      <c r="J211" t="s">
        <v>46</v>
      </c>
      <c r="K211">
        <v>21331</v>
      </c>
      <c r="L211" t="s">
        <v>67</v>
      </c>
      <c r="M211" t="s">
        <v>26</v>
      </c>
      <c r="N211" t="s">
        <v>27</v>
      </c>
      <c r="O211" s="2">
        <v>44939</v>
      </c>
      <c r="P211" s="2">
        <v>44940.375</v>
      </c>
      <c r="Q211" s="38">
        <f t="shared" si="3"/>
        <v>1.375</v>
      </c>
      <c r="R211" t="s">
        <v>28</v>
      </c>
      <c r="S211" t="s">
        <v>29</v>
      </c>
      <c r="T211" t="s">
        <v>47</v>
      </c>
      <c r="U211">
        <v>7</v>
      </c>
      <c r="V211">
        <v>8</v>
      </c>
      <c r="W211" s="18">
        <f>IFERROR(Table1[[#This Row],[Staff Hours Worked]]/Table1[[#This Row],[Staff Available Hours]],0)</f>
        <v>0.875</v>
      </c>
      <c r="X211" t="s">
        <v>31</v>
      </c>
    </row>
    <row r="212" spans="1:24">
      <c r="A212" t="s">
        <v>269</v>
      </c>
      <c r="B212">
        <v>32</v>
      </c>
      <c r="C212" t="str" cm="1">
        <f t="array" ref="C212">_xlfn.IFS(B212&lt;=18,"0-18",B212&lt;=35,"19-35",B212&lt;=50,"36-50",B212&lt;=65,"51-65","True","65+")</f>
        <v>19-35</v>
      </c>
      <c r="D212" t="s">
        <v>45</v>
      </c>
      <c r="E212" s="6">
        <v>45081</v>
      </c>
      <c r="F212" s="6">
        <v>45033</v>
      </c>
      <c r="G212">
        <v>11</v>
      </c>
      <c r="H212" t="s">
        <v>34</v>
      </c>
      <c r="I212">
        <v>1</v>
      </c>
      <c r="J212" t="s">
        <v>46</v>
      </c>
      <c r="K212">
        <v>45612</v>
      </c>
      <c r="L212" t="s">
        <v>36</v>
      </c>
      <c r="M212" t="s">
        <v>26</v>
      </c>
      <c r="N212" t="s">
        <v>27</v>
      </c>
      <c r="O212" s="2">
        <v>45050</v>
      </c>
      <c r="P212" s="2">
        <v>45081.875</v>
      </c>
      <c r="Q212" s="38">
        <f t="shared" si="3"/>
        <v>31.875</v>
      </c>
      <c r="R212" t="s">
        <v>28</v>
      </c>
      <c r="S212" t="s">
        <v>38</v>
      </c>
      <c r="T212" t="s">
        <v>47</v>
      </c>
      <c r="U212">
        <v>6</v>
      </c>
      <c r="V212">
        <v>12</v>
      </c>
      <c r="W212" s="18">
        <f>IFERROR(Table1[[#This Row],[Staff Hours Worked]]/Table1[[#This Row],[Staff Available Hours]],0)</f>
        <v>0.5</v>
      </c>
      <c r="X212" t="s">
        <v>31</v>
      </c>
    </row>
    <row r="213" spans="1:24">
      <c r="A213" t="s">
        <v>270</v>
      </c>
      <c r="B213">
        <v>70</v>
      </c>
      <c r="C213" t="str" cm="1">
        <f t="array" ref="C213">_xlfn.IFS(B213&lt;=18,"0-18",B213&lt;=35,"19-35",B213&lt;=50,"36-50",B213&lt;=65,"51-65","True","65+")</f>
        <v>65+</v>
      </c>
      <c r="D213" t="s">
        <v>62</v>
      </c>
      <c r="E213" s="6">
        <v>45169</v>
      </c>
      <c r="F213" s="6">
        <v>45184</v>
      </c>
      <c r="G213">
        <v>15</v>
      </c>
      <c r="H213" t="s">
        <v>34</v>
      </c>
      <c r="I213">
        <v>1</v>
      </c>
      <c r="J213" t="s">
        <v>71</v>
      </c>
      <c r="K213">
        <v>27495</v>
      </c>
      <c r="L213" t="s">
        <v>36</v>
      </c>
      <c r="M213" t="s">
        <v>54</v>
      </c>
      <c r="N213" t="s">
        <v>27</v>
      </c>
      <c r="O213" s="2">
        <v>45168</v>
      </c>
      <c r="P213" s="2">
        <v>45169.125</v>
      </c>
      <c r="Q213" s="38">
        <f t="shared" si="3"/>
        <v>1.125</v>
      </c>
      <c r="R213" t="s">
        <v>28</v>
      </c>
      <c r="S213" t="s">
        <v>29</v>
      </c>
      <c r="T213" t="s">
        <v>43</v>
      </c>
      <c r="U213">
        <v>5</v>
      </c>
      <c r="V213">
        <v>10</v>
      </c>
      <c r="W213" s="18">
        <f>IFERROR(Table1[[#This Row],[Staff Hours Worked]]/Table1[[#This Row],[Staff Available Hours]],0)</f>
        <v>0.5</v>
      </c>
      <c r="X213" t="s">
        <v>31</v>
      </c>
    </row>
    <row r="214" spans="1:24">
      <c r="A214" t="s">
        <v>271</v>
      </c>
      <c r="B214">
        <v>32</v>
      </c>
      <c r="C214" t="str" cm="1">
        <f t="array" ref="C214">_xlfn.IFS(B214&lt;=18,"0-18",B214&lt;=35,"19-35",B214&lt;=50,"36-50",B214&lt;=65,"51-65","True","65+")</f>
        <v>19-35</v>
      </c>
      <c r="D214" t="s">
        <v>22</v>
      </c>
      <c r="E214" s="6">
        <v>45097</v>
      </c>
      <c r="F214" s="6">
        <v>45105</v>
      </c>
      <c r="G214">
        <v>8</v>
      </c>
      <c r="H214" t="s">
        <v>63</v>
      </c>
      <c r="I214">
        <v>5</v>
      </c>
      <c r="J214" t="s">
        <v>35</v>
      </c>
      <c r="K214">
        <v>18450</v>
      </c>
      <c r="L214" t="s">
        <v>36</v>
      </c>
      <c r="M214" t="s">
        <v>26</v>
      </c>
      <c r="N214" t="s">
        <v>27</v>
      </c>
      <c r="O214" s="2">
        <v>45095</v>
      </c>
      <c r="P214" s="2">
        <v>45096.458333333336</v>
      </c>
      <c r="Q214" s="38">
        <f t="shared" si="3"/>
        <v>1.4583333333357587</v>
      </c>
      <c r="R214" t="s">
        <v>37</v>
      </c>
      <c r="S214" t="s">
        <v>29</v>
      </c>
      <c r="T214" t="s">
        <v>30</v>
      </c>
      <c r="U214">
        <v>5</v>
      </c>
      <c r="V214">
        <v>12</v>
      </c>
      <c r="W214" s="18">
        <f>IFERROR(Table1[[#This Row],[Staff Hours Worked]]/Table1[[#This Row],[Staff Available Hours]],0)</f>
        <v>0.41666666666666669</v>
      </c>
      <c r="X214" t="s">
        <v>48</v>
      </c>
    </row>
    <row r="215" spans="1:24">
      <c r="A215" t="s">
        <v>272</v>
      </c>
      <c r="B215">
        <v>68</v>
      </c>
      <c r="C215" t="str" cm="1">
        <f t="array" ref="C215">_xlfn.IFS(B215&lt;=18,"0-18",B215&lt;=35,"19-35",B215&lt;=50,"36-50",B215&lt;=65,"51-65","True","65+")</f>
        <v>65+</v>
      </c>
      <c r="D215" t="s">
        <v>45</v>
      </c>
      <c r="E215" s="6">
        <v>45343</v>
      </c>
      <c r="F215" s="6">
        <v>45345</v>
      </c>
      <c r="G215">
        <v>2</v>
      </c>
      <c r="H215" t="s">
        <v>34</v>
      </c>
      <c r="I215">
        <v>5</v>
      </c>
      <c r="J215" t="s">
        <v>35</v>
      </c>
      <c r="K215">
        <v>14491</v>
      </c>
      <c r="L215" t="s">
        <v>67</v>
      </c>
      <c r="M215" t="s">
        <v>54</v>
      </c>
      <c r="N215" t="s">
        <v>27</v>
      </c>
      <c r="O215" s="2">
        <v>45339</v>
      </c>
      <c r="P215" s="2">
        <v>45339.125</v>
      </c>
      <c r="Q215" s="38">
        <f t="shared" si="3"/>
        <v>0.125</v>
      </c>
      <c r="R215" t="s">
        <v>55</v>
      </c>
      <c r="S215" t="s">
        <v>29</v>
      </c>
      <c r="T215" t="s">
        <v>30</v>
      </c>
      <c r="U215">
        <v>5</v>
      </c>
      <c r="V215">
        <v>12</v>
      </c>
      <c r="W215" s="18">
        <f>IFERROR(Table1[[#This Row],[Staff Hours Worked]]/Table1[[#This Row],[Staff Available Hours]],0)</f>
        <v>0.41666666666666669</v>
      </c>
      <c r="X215" t="s">
        <v>31</v>
      </c>
    </row>
    <row r="216" spans="1:24">
      <c r="A216" t="s">
        <v>273</v>
      </c>
      <c r="B216">
        <v>55</v>
      </c>
      <c r="C216" t="str" cm="1">
        <f t="array" ref="C216">_xlfn.IFS(B216&lt;=18,"0-18",B216&lt;=35,"19-35",B216&lt;=50,"36-50",B216&lt;=65,"51-65","True","65+")</f>
        <v>51-65</v>
      </c>
      <c r="D216" t="s">
        <v>41</v>
      </c>
      <c r="E216" s="6">
        <v>45631</v>
      </c>
      <c r="F216" s="6">
        <v>45426</v>
      </c>
      <c r="G216">
        <v>2</v>
      </c>
      <c r="H216" t="s">
        <v>23</v>
      </c>
      <c r="I216">
        <v>4</v>
      </c>
      <c r="J216" t="s">
        <v>35</v>
      </c>
      <c r="K216">
        <v>14268</v>
      </c>
      <c r="L216" t="s">
        <v>36</v>
      </c>
      <c r="M216" t="s">
        <v>54</v>
      </c>
      <c r="N216" t="s">
        <v>41</v>
      </c>
      <c r="O216" s="2">
        <v>45478</v>
      </c>
      <c r="P216" s="2">
        <v>45509</v>
      </c>
      <c r="Q216" s="38">
        <f t="shared" si="3"/>
        <v>31</v>
      </c>
      <c r="R216" t="s">
        <v>28</v>
      </c>
      <c r="S216" t="s">
        <v>29</v>
      </c>
      <c r="T216" t="s">
        <v>47</v>
      </c>
      <c r="U216">
        <v>9</v>
      </c>
      <c r="V216">
        <v>10</v>
      </c>
      <c r="W216" s="18">
        <f>IFERROR(Table1[[#This Row],[Staff Hours Worked]]/Table1[[#This Row],[Staff Available Hours]],0)</f>
        <v>0.9</v>
      </c>
      <c r="X216" t="s">
        <v>68</v>
      </c>
    </row>
    <row r="217" spans="1:24">
      <c r="A217" t="s">
        <v>274</v>
      </c>
      <c r="B217">
        <v>75</v>
      </c>
      <c r="C217" t="str" cm="1">
        <f t="array" ref="C217">_xlfn.IFS(B217&lt;=18,"0-18",B217&lt;=35,"19-35",B217&lt;=50,"36-50",B217&lt;=65,"51-65","True","65+")</f>
        <v>65+</v>
      </c>
      <c r="D217" t="s">
        <v>22</v>
      </c>
      <c r="E217" s="6">
        <v>45478</v>
      </c>
      <c r="F217" s="6">
        <v>45433</v>
      </c>
      <c r="G217">
        <v>14</v>
      </c>
      <c r="H217" t="s">
        <v>40</v>
      </c>
      <c r="I217">
        <v>5</v>
      </c>
      <c r="J217" t="s">
        <v>71</v>
      </c>
      <c r="K217">
        <v>32757</v>
      </c>
      <c r="L217" t="s">
        <v>36</v>
      </c>
      <c r="M217" t="s">
        <v>54</v>
      </c>
      <c r="N217" t="s">
        <v>41</v>
      </c>
      <c r="O217" s="2">
        <v>45417</v>
      </c>
      <c r="P217" s="2">
        <v>45448.875</v>
      </c>
      <c r="Q217" s="38">
        <f t="shared" si="3"/>
        <v>31.875</v>
      </c>
      <c r="R217" t="s">
        <v>42</v>
      </c>
      <c r="S217" t="s">
        <v>29</v>
      </c>
      <c r="T217" t="s">
        <v>30</v>
      </c>
      <c r="U217">
        <v>10</v>
      </c>
      <c r="V217">
        <v>8</v>
      </c>
      <c r="W217" s="18">
        <f>IFERROR(Table1[[#This Row],[Staff Hours Worked]]/Table1[[#This Row],[Staff Available Hours]],0)</f>
        <v>1.25</v>
      </c>
      <c r="X217" t="s">
        <v>48</v>
      </c>
    </row>
    <row r="218" spans="1:24">
      <c r="A218" t="s">
        <v>275</v>
      </c>
      <c r="B218">
        <v>56</v>
      </c>
      <c r="C218" t="str" cm="1">
        <f t="array" ref="C218">_xlfn.IFS(B218&lt;=18,"0-18",B218&lt;=35,"19-35",B218&lt;=50,"36-50",B218&lt;=65,"51-65","True","65+")</f>
        <v>51-65</v>
      </c>
      <c r="D218" t="s">
        <v>22</v>
      </c>
      <c r="E218" s="6">
        <v>45115</v>
      </c>
      <c r="F218" s="6">
        <v>45177</v>
      </c>
      <c r="G218">
        <v>2</v>
      </c>
      <c r="H218" t="s">
        <v>50</v>
      </c>
      <c r="I218">
        <v>2</v>
      </c>
      <c r="J218" t="s">
        <v>35</v>
      </c>
      <c r="K218">
        <v>46907</v>
      </c>
      <c r="L218" t="s">
        <v>25</v>
      </c>
      <c r="M218" t="s">
        <v>26</v>
      </c>
      <c r="N218" t="s">
        <v>41</v>
      </c>
      <c r="O218" s="2">
        <v>45085</v>
      </c>
      <c r="P218" s="2">
        <v>45115.458333333336</v>
      </c>
      <c r="Q218" s="38">
        <f t="shared" si="3"/>
        <v>30.458333333335759</v>
      </c>
      <c r="R218" t="s">
        <v>37</v>
      </c>
      <c r="S218" t="s">
        <v>29</v>
      </c>
      <c r="T218" t="s">
        <v>30</v>
      </c>
      <c r="U218">
        <v>7</v>
      </c>
      <c r="V218">
        <v>12</v>
      </c>
      <c r="W218" s="18">
        <f>IFERROR(Table1[[#This Row],[Staff Hours Worked]]/Table1[[#This Row],[Staff Available Hours]],0)</f>
        <v>0.58333333333333337</v>
      </c>
      <c r="X218" t="s">
        <v>31</v>
      </c>
    </row>
    <row r="219" spans="1:24">
      <c r="A219" t="s">
        <v>276</v>
      </c>
      <c r="B219">
        <v>17</v>
      </c>
      <c r="C219" t="str" cm="1">
        <f t="array" ref="C219">_xlfn.IFS(B219&lt;=18,"0-18",B219&lt;=35,"19-35",B219&lt;=50,"36-50",B219&lt;=65,"51-65","True","65+")</f>
        <v>0-18</v>
      </c>
      <c r="D219" t="s">
        <v>52</v>
      </c>
      <c r="E219" s="6">
        <v>45337</v>
      </c>
      <c r="F219" s="6">
        <v>45339</v>
      </c>
      <c r="G219">
        <v>2</v>
      </c>
      <c r="H219" t="s">
        <v>23</v>
      </c>
      <c r="I219">
        <v>1</v>
      </c>
      <c r="J219" t="s">
        <v>66</v>
      </c>
      <c r="K219">
        <v>11791</v>
      </c>
      <c r="L219" t="s">
        <v>53</v>
      </c>
      <c r="M219" t="s">
        <v>26</v>
      </c>
      <c r="N219" t="s">
        <v>27</v>
      </c>
      <c r="O219" s="2">
        <v>45336</v>
      </c>
      <c r="P219" s="2">
        <v>45337.625</v>
      </c>
      <c r="Q219" s="38">
        <f t="shared" si="3"/>
        <v>1.625</v>
      </c>
      <c r="R219" t="s">
        <v>42</v>
      </c>
      <c r="S219" t="s">
        <v>29</v>
      </c>
      <c r="T219" t="s">
        <v>30</v>
      </c>
      <c r="U219">
        <v>5</v>
      </c>
      <c r="V219">
        <v>10</v>
      </c>
      <c r="W219" s="18">
        <f>IFERROR(Table1[[#This Row],[Staff Hours Worked]]/Table1[[#This Row],[Staff Available Hours]],0)</f>
        <v>0.5</v>
      </c>
      <c r="X219" t="s">
        <v>68</v>
      </c>
    </row>
    <row r="220" spans="1:24">
      <c r="A220" t="s">
        <v>277</v>
      </c>
      <c r="B220">
        <v>38</v>
      </c>
      <c r="C220" t="str" cm="1">
        <f t="array" ref="C220">_xlfn.IFS(B220&lt;=18,"0-18",B220&lt;=35,"19-35",B220&lt;=50,"36-50",B220&lt;=65,"51-65","True","65+")</f>
        <v>36-50</v>
      </c>
      <c r="D220" t="s">
        <v>33</v>
      </c>
      <c r="E220" s="6">
        <v>44960</v>
      </c>
      <c r="F220" s="6">
        <v>45172</v>
      </c>
      <c r="G220">
        <v>7</v>
      </c>
      <c r="H220" t="s">
        <v>40</v>
      </c>
      <c r="I220">
        <v>1</v>
      </c>
      <c r="J220" t="s">
        <v>46</v>
      </c>
      <c r="K220">
        <v>44939</v>
      </c>
      <c r="L220" t="s">
        <v>53</v>
      </c>
      <c r="M220" t="s">
        <v>54</v>
      </c>
      <c r="N220" t="s">
        <v>41</v>
      </c>
      <c r="O220" s="2">
        <v>44984</v>
      </c>
      <c r="P220" s="2">
        <v>44985.708333333336</v>
      </c>
      <c r="Q220" s="38">
        <f t="shared" si="3"/>
        <v>1.7083333333357587</v>
      </c>
      <c r="R220" t="s">
        <v>55</v>
      </c>
      <c r="S220" t="s">
        <v>29</v>
      </c>
      <c r="T220" t="s">
        <v>47</v>
      </c>
      <c r="U220">
        <v>7</v>
      </c>
      <c r="V220">
        <v>10</v>
      </c>
      <c r="W220" s="18">
        <f>IFERROR(Table1[[#This Row],[Staff Hours Worked]]/Table1[[#This Row],[Staff Available Hours]],0)</f>
        <v>0.7</v>
      </c>
      <c r="X220" t="s">
        <v>68</v>
      </c>
    </row>
    <row r="221" spans="1:24">
      <c r="A221" t="s">
        <v>278</v>
      </c>
      <c r="B221">
        <v>24</v>
      </c>
      <c r="C221" t="str" cm="1">
        <f t="array" ref="C221">_xlfn.IFS(B221&lt;=18,"0-18",B221&lt;=35,"19-35",B221&lt;=50,"36-50",B221&lt;=65,"51-65","True","65+")</f>
        <v>19-35</v>
      </c>
      <c r="D221" t="s">
        <v>45</v>
      </c>
      <c r="E221" s="6">
        <v>45095</v>
      </c>
      <c r="F221" s="6">
        <v>45097</v>
      </c>
      <c r="G221">
        <v>2</v>
      </c>
      <c r="H221" t="s">
        <v>57</v>
      </c>
      <c r="I221">
        <v>5</v>
      </c>
      <c r="J221" t="s">
        <v>66</v>
      </c>
      <c r="K221">
        <v>33314</v>
      </c>
      <c r="L221" t="s">
        <v>25</v>
      </c>
      <c r="M221" t="s">
        <v>54</v>
      </c>
      <c r="N221" t="s">
        <v>41</v>
      </c>
      <c r="O221" s="2">
        <v>45091</v>
      </c>
      <c r="P221" s="2">
        <v>45091.25</v>
      </c>
      <c r="Q221" s="38">
        <f t="shared" si="3"/>
        <v>0.25</v>
      </c>
      <c r="R221" t="s">
        <v>64</v>
      </c>
      <c r="S221" t="s">
        <v>29</v>
      </c>
      <c r="T221" t="s">
        <v>47</v>
      </c>
      <c r="U221">
        <v>6</v>
      </c>
      <c r="V221">
        <v>8</v>
      </c>
      <c r="W221" s="18">
        <f>IFERROR(Table1[[#This Row],[Staff Hours Worked]]/Table1[[#This Row],[Staff Available Hours]],0)</f>
        <v>0.75</v>
      </c>
      <c r="X221" t="s">
        <v>31</v>
      </c>
    </row>
    <row r="222" spans="1:24">
      <c r="A222" t="s">
        <v>279</v>
      </c>
      <c r="B222">
        <v>69</v>
      </c>
      <c r="C222" t="str" cm="1">
        <f t="array" ref="C222">_xlfn.IFS(B222&lt;=18,"0-18",B222&lt;=35,"19-35",B222&lt;=50,"36-50",B222&lt;=65,"51-65","True","65+")</f>
        <v>65+</v>
      </c>
      <c r="D222" t="s">
        <v>22</v>
      </c>
      <c r="E222" s="6">
        <v>45315</v>
      </c>
      <c r="F222" s="6">
        <v>45414</v>
      </c>
      <c r="G222">
        <v>12</v>
      </c>
      <c r="H222" t="s">
        <v>63</v>
      </c>
      <c r="I222">
        <v>3</v>
      </c>
      <c r="J222" t="s">
        <v>35</v>
      </c>
      <c r="K222">
        <v>33583</v>
      </c>
      <c r="L222" t="s">
        <v>25</v>
      </c>
      <c r="M222" t="s">
        <v>54</v>
      </c>
      <c r="N222" t="s">
        <v>27</v>
      </c>
      <c r="O222" s="2">
        <v>45312</v>
      </c>
      <c r="P222" s="2">
        <v>45312.291666666664</v>
      </c>
      <c r="Q222" s="38">
        <f t="shared" si="3"/>
        <v>0.29166666666424135</v>
      </c>
      <c r="R222" t="s">
        <v>42</v>
      </c>
      <c r="S222" t="s">
        <v>29</v>
      </c>
      <c r="T222" t="s">
        <v>47</v>
      </c>
      <c r="U222">
        <v>4</v>
      </c>
      <c r="V222">
        <v>10</v>
      </c>
      <c r="W222" s="18">
        <f>IFERROR(Table1[[#This Row],[Staff Hours Worked]]/Table1[[#This Row],[Staff Available Hours]],0)</f>
        <v>0.4</v>
      </c>
      <c r="X222" t="s">
        <v>68</v>
      </c>
    </row>
    <row r="223" spans="1:24">
      <c r="A223" t="s">
        <v>280</v>
      </c>
      <c r="B223">
        <v>70</v>
      </c>
      <c r="C223" t="str" cm="1">
        <f t="array" ref="C223">_xlfn.IFS(B223&lt;=18,"0-18",B223&lt;=35,"19-35",B223&lt;=50,"36-50",B223&lt;=65,"51-65","True","65+")</f>
        <v>65+</v>
      </c>
      <c r="D223" t="s">
        <v>52</v>
      </c>
      <c r="E223" s="6">
        <v>44986</v>
      </c>
      <c r="F223" s="6">
        <v>44941</v>
      </c>
      <c r="G223">
        <v>12</v>
      </c>
      <c r="H223" t="s">
        <v>34</v>
      </c>
      <c r="I223">
        <v>3</v>
      </c>
      <c r="J223" t="s">
        <v>66</v>
      </c>
      <c r="K223">
        <v>26550</v>
      </c>
      <c r="L223" t="s">
        <v>25</v>
      </c>
      <c r="M223" t="s">
        <v>54</v>
      </c>
      <c r="N223" t="s">
        <v>27</v>
      </c>
      <c r="O223" s="2">
        <v>44926</v>
      </c>
      <c r="P223" s="2">
        <v>44926.666666666664</v>
      </c>
      <c r="Q223" s="38">
        <f t="shared" si="3"/>
        <v>0.66666666666424135</v>
      </c>
      <c r="R223" t="s">
        <v>64</v>
      </c>
      <c r="S223" t="s">
        <v>29</v>
      </c>
      <c r="T223" t="s">
        <v>43</v>
      </c>
      <c r="U223">
        <v>10</v>
      </c>
      <c r="V223">
        <v>8</v>
      </c>
      <c r="W223" s="18">
        <f>IFERROR(Table1[[#This Row],[Staff Hours Worked]]/Table1[[#This Row],[Staff Available Hours]],0)</f>
        <v>1.25</v>
      </c>
      <c r="X223" t="s">
        <v>31</v>
      </c>
    </row>
    <row r="224" spans="1:24">
      <c r="A224" t="s">
        <v>281</v>
      </c>
      <c r="B224">
        <v>86</v>
      </c>
      <c r="C224" t="str" cm="1">
        <f t="array" ref="C224">_xlfn.IFS(B224&lt;=18,"0-18",B224&lt;=35,"19-35",B224&lt;=50,"36-50",B224&lt;=65,"51-65","True","65+")</f>
        <v>65+</v>
      </c>
      <c r="D224" t="s">
        <v>41</v>
      </c>
      <c r="E224" s="6">
        <v>45384</v>
      </c>
      <c r="F224" s="6">
        <v>45567</v>
      </c>
      <c r="G224">
        <v>6</v>
      </c>
      <c r="H224" t="s">
        <v>57</v>
      </c>
      <c r="I224">
        <v>5</v>
      </c>
      <c r="J224" t="s">
        <v>35</v>
      </c>
      <c r="K224">
        <v>5093</v>
      </c>
      <c r="L224" t="s">
        <v>53</v>
      </c>
      <c r="M224" t="s">
        <v>54</v>
      </c>
      <c r="N224" t="s">
        <v>41</v>
      </c>
      <c r="O224" s="2">
        <v>45324</v>
      </c>
      <c r="P224" s="2">
        <v>45353.791666666664</v>
      </c>
      <c r="Q224" s="38">
        <f t="shared" si="3"/>
        <v>29.791666666664241</v>
      </c>
      <c r="R224" t="s">
        <v>37</v>
      </c>
      <c r="S224" t="s">
        <v>29</v>
      </c>
      <c r="T224" t="s">
        <v>30</v>
      </c>
      <c r="U224">
        <v>9</v>
      </c>
      <c r="V224">
        <v>12</v>
      </c>
      <c r="W224" s="18">
        <f>IFERROR(Table1[[#This Row],[Staff Hours Worked]]/Table1[[#This Row],[Staff Available Hours]],0)</f>
        <v>0.75</v>
      </c>
      <c r="X224" t="s">
        <v>68</v>
      </c>
    </row>
    <row r="225" spans="1:24">
      <c r="A225" t="s">
        <v>282</v>
      </c>
      <c r="B225">
        <v>11</v>
      </c>
      <c r="C225" t="str" cm="1">
        <f t="array" ref="C225">_xlfn.IFS(B225&lt;=18,"0-18",B225&lt;=35,"19-35",B225&lt;=50,"36-50",B225&lt;=65,"51-65","True","65+")</f>
        <v>0-18</v>
      </c>
      <c r="D225" t="s">
        <v>62</v>
      </c>
      <c r="E225" s="6">
        <v>45198</v>
      </c>
      <c r="F225" s="6">
        <v>45270</v>
      </c>
      <c r="G225">
        <v>13</v>
      </c>
      <c r="H225" t="s">
        <v>34</v>
      </c>
      <c r="I225">
        <v>2</v>
      </c>
      <c r="J225" t="s">
        <v>71</v>
      </c>
      <c r="K225">
        <v>40755</v>
      </c>
      <c r="L225" t="s">
        <v>36</v>
      </c>
      <c r="M225" t="s">
        <v>54</v>
      </c>
      <c r="N225" t="s">
        <v>27</v>
      </c>
      <c r="O225" s="2">
        <v>45195</v>
      </c>
      <c r="P225" s="2">
        <v>45196.791666666664</v>
      </c>
      <c r="Q225" s="38">
        <f t="shared" si="3"/>
        <v>1.7916666666642413</v>
      </c>
      <c r="R225" t="s">
        <v>42</v>
      </c>
      <c r="S225" t="s">
        <v>29</v>
      </c>
      <c r="T225" t="s">
        <v>43</v>
      </c>
      <c r="U225">
        <v>8</v>
      </c>
      <c r="V225">
        <v>10</v>
      </c>
      <c r="W225" s="18">
        <f>IFERROR(Table1[[#This Row],[Staff Hours Worked]]/Table1[[#This Row],[Staff Available Hours]],0)</f>
        <v>0.8</v>
      </c>
      <c r="X225" t="s">
        <v>48</v>
      </c>
    </row>
    <row r="226" spans="1:24">
      <c r="A226" t="s">
        <v>283</v>
      </c>
      <c r="B226">
        <v>16</v>
      </c>
      <c r="C226" t="str" cm="1">
        <f t="array" ref="C226">_xlfn.IFS(B226&lt;=18,"0-18",B226&lt;=35,"19-35",B226&lt;=50,"36-50",B226&lt;=65,"51-65","True","65+")</f>
        <v>0-18</v>
      </c>
      <c r="D226" t="s">
        <v>45</v>
      </c>
      <c r="E226" s="6">
        <v>45569</v>
      </c>
      <c r="F226" s="6">
        <v>45395</v>
      </c>
      <c r="G226">
        <v>3</v>
      </c>
      <c r="H226" t="s">
        <v>23</v>
      </c>
      <c r="I226">
        <v>3</v>
      </c>
      <c r="J226" t="s">
        <v>66</v>
      </c>
      <c r="K226">
        <v>14967</v>
      </c>
      <c r="L226" t="s">
        <v>25</v>
      </c>
      <c r="M226" t="s">
        <v>54</v>
      </c>
      <c r="N226" t="s">
        <v>27</v>
      </c>
      <c r="O226" s="2">
        <v>45569</v>
      </c>
      <c r="P226" s="2">
        <v>45569.958333333336</v>
      </c>
      <c r="Q226" s="38">
        <f t="shared" si="3"/>
        <v>0.95833333333575865</v>
      </c>
      <c r="R226" t="s">
        <v>42</v>
      </c>
      <c r="S226" t="s">
        <v>29</v>
      </c>
      <c r="T226" t="s">
        <v>47</v>
      </c>
      <c r="U226">
        <v>6</v>
      </c>
      <c r="V226">
        <v>12</v>
      </c>
      <c r="W226" s="18">
        <f>IFERROR(Table1[[#This Row],[Staff Hours Worked]]/Table1[[#This Row],[Staff Available Hours]],0)</f>
        <v>0.5</v>
      </c>
      <c r="X226" t="s">
        <v>48</v>
      </c>
    </row>
    <row r="227" spans="1:24">
      <c r="A227" t="s">
        <v>284</v>
      </c>
      <c r="B227">
        <v>73</v>
      </c>
      <c r="C227" t="str" cm="1">
        <f t="array" ref="C227">_xlfn.IFS(B227&lt;=18,"0-18",B227&lt;=35,"19-35",B227&lt;=50,"36-50",B227&lt;=65,"51-65","True","65+")</f>
        <v>65+</v>
      </c>
      <c r="D227" t="s">
        <v>22</v>
      </c>
      <c r="E227" s="6">
        <v>45219</v>
      </c>
      <c r="F227" s="6">
        <v>45228</v>
      </c>
      <c r="G227">
        <v>9</v>
      </c>
      <c r="H227" t="s">
        <v>50</v>
      </c>
      <c r="I227">
        <v>5</v>
      </c>
      <c r="J227" t="s">
        <v>71</v>
      </c>
      <c r="K227">
        <v>21218</v>
      </c>
      <c r="L227" t="s">
        <v>67</v>
      </c>
      <c r="M227" t="s">
        <v>54</v>
      </c>
      <c r="N227" t="s">
        <v>27</v>
      </c>
      <c r="O227" s="2">
        <v>45219</v>
      </c>
      <c r="P227" s="2">
        <v>45219.458333333336</v>
      </c>
      <c r="Q227" s="38">
        <f t="shared" si="3"/>
        <v>0.45833333333575865</v>
      </c>
      <c r="R227" t="s">
        <v>37</v>
      </c>
      <c r="S227" t="s">
        <v>29</v>
      </c>
      <c r="T227" t="s">
        <v>43</v>
      </c>
      <c r="U227">
        <v>10</v>
      </c>
      <c r="V227">
        <v>10</v>
      </c>
      <c r="W227" s="18">
        <f>IFERROR(Table1[[#This Row],[Staff Hours Worked]]/Table1[[#This Row],[Staff Available Hours]],0)</f>
        <v>1</v>
      </c>
      <c r="X227" t="s">
        <v>48</v>
      </c>
    </row>
    <row r="228" spans="1:24">
      <c r="A228" t="s">
        <v>285</v>
      </c>
      <c r="B228">
        <v>59</v>
      </c>
      <c r="C228" t="str" cm="1">
        <f t="array" ref="C228">_xlfn.IFS(B228&lt;=18,"0-18",B228&lt;=35,"19-35",B228&lt;=50,"36-50",B228&lt;=65,"51-65","True","65+")</f>
        <v>51-65</v>
      </c>
      <c r="D228" t="s">
        <v>33</v>
      </c>
      <c r="E228" s="6">
        <v>45538</v>
      </c>
      <c r="F228" s="6">
        <v>45568</v>
      </c>
      <c r="G228">
        <v>1</v>
      </c>
      <c r="H228" t="s">
        <v>50</v>
      </c>
      <c r="I228">
        <v>2</v>
      </c>
      <c r="J228" t="s">
        <v>71</v>
      </c>
      <c r="K228">
        <v>48220</v>
      </c>
      <c r="L228" t="s">
        <v>25</v>
      </c>
      <c r="M228" t="s">
        <v>54</v>
      </c>
      <c r="N228" t="s">
        <v>27</v>
      </c>
      <c r="O228" s="2">
        <v>45446</v>
      </c>
      <c r="P228" s="2">
        <v>45476.75</v>
      </c>
      <c r="Q228" s="38">
        <f t="shared" si="3"/>
        <v>30.75</v>
      </c>
      <c r="R228" t="s">
        <v>37</v>
      </c>
      <c r="S228" t="s">
        <v>29</v>
      </c>
      <c r="T228" t="s">
        <v>30</v>
      </c>
      <c r="U228">
        <v>7</v>
      </c>
      <c r="V228">
        <v>10</v>
      </c>
      <c r="W228" s="18">
        <f>IFERROR(Table1[[#This Row],[Staff Hours Worked]]/Table1[[#This Row],[Staff Available Hours]],0)</f>
        <v>0.7</v>
      </c>
      <c r="X228" t="s">
        <v>48</v>
      </c>
    </row>
    <row r="229" spans="1:24">
      <c r="A229" t="s">
        <v>286</v>
      </c>
      <c r="B229">
        <v>70</v>
      </c>
      <c r="C229" t="str" cm="1">
        <f t="array" ref="C229">_xlfn.IFS(B229&lt;=18,"0-18",B229&lt;=35,"19-35",B229&lt;=50,"36-50",B229&lt;=65,"51-65","True","65+")</f>
        <v>65+</v>
      </c>
      <c r="D229" t="s">
        <v>52</v>
      </c>
      <c r="E229" s="6">
        <v>45425</v>
      </c>
      <c r="F229" s="6">
        <v>45435</v>
      </c>
      <c r="G229">
        <v>10</v>
      </c>
      <c r="H229" t="s">
        <v>50</v>
      </c>
      <c r="I229">
        <v>2</v>
      </c>
      <c r="J229" t="s">
        <v>24</v>
      </c>
      <c r="K229">
        <v>13627</v>
      </c>
      <c r="L229" t="s">
        <v>60</v>
      </c>
      <c r="M229" t="s">
        <v>54</v>
      </c>
      <c r="N229" t="s">
        <v>41</v>
      </c>
      <c r="O229" s="2">
        <v>45540</v>
      </c>
      <c r="P229" s="2">
        <v>45570.666666666664</v>
      </c>
      <c r="Q229" s="38">
        <f t="shared" si="3"/>
        <v>30.666666666664241</v>
      </c>
      <c r="R229" t="s">
        <v>28</v>
      </c>
      <c r="S229" t="s">
        <v>29</v>
      </c>
      <c r="T229" t="s">
        <v>30</v>
      </c>
      <c r="U229">
        <v>6</v>
      </c>
      <c r="V229">
        <v>12</v>
      </c>
      <c r="W229" s="18">
        <f>IFERROR(Table1[[#This Row],[Staff Hours Worked]]/Table1[[#This Row],[Staff Available Hours]],0)</f>
        <v>0.5</v>
      </c>
      <c r="X229" t="s">
        <v>48</v>
      </c>
    </row>
    <row r="230" spans="1:24">
      <c r="A230" t="s">
        <v>287</v>
      </c>
      <c r="B230">
        <v>80</v>
      </c>
      <c r="C230" t="str" cm="1">
        <f t="array" ref="C230">_xlfn.IFS(B230&lt;=18,"0-18",B230&lt;=35,"19-35",B230&lt;=50,"36-50",B230&lt;=65,"51-65","True","65+")</f>
        <v>65+</v>
      </c>
      <c r="D230" t="s">
        <v>22</v>
      </c>
      <c r="E230" s="6">
        <v>45144</v>
      </c>
      <c r="F230" s="6">
        <v>45094</v>
      </c>
      <c r="G230">
        <v>9</v>
      </c>
      <c r="H230" t="s">
        <v>34</v>
      </c>
      <c r="I230">
        <v>4</v>
      </c>
      <c r="J230" t="s">
        <v>35</v>
      </c>
      <c r="K230">
        <v>9947</v>
      </c>
      <c r="L230" t="s">
        <v>25</v>
      </c>
      <c r="M230" t="s">
        <v>54</v>
      </c>
      <c r="N230" t="s">
        <v>41</v>
      </c>
      <c r="O230" s="2">
        <v>45052</v>
      </c>
      <c r="P230" s="2">
        <v>45052.125</v>
      </c>
      <c r="Q230" s="38">
        <f t="shared" si="3"/>
        <v>0.125</v>
      </c>
      <c r="R230" t="s">
        <v>55</v>
      </c>
      <c r="S230" t="s">
        <v>29</v>
      </c>
      <c r="T230" t="s">
        <v>47</v>
      </c>
      <c r="U230">
        <v>8</v>
      </c>
      <c r="V230">
        <v>10</v>
      </c>
      <c r="W230" s="18">
        <f>IFERROR(Table1[[#This Row],[Staff Hours Worked]]/Table1[[#This Row],[Staff Available Hours]],0)</f>
        <v>0.8</v>
      </c>
      <c r="X230" t="s">
        <v>31</v>
      </c>
    </row>
    <row r="231" spans="1:24">
      <c r="A231" t="s">
        <v>288</v>
      </c>
      <c r="B231">
        <v>3</v>
      </c>
      <c r="C231" t="str" cm="1">
        <f t="array" ref="C231">_xlfn.IFS(B231&lt;=18,"0-18",B231&lt;=35,"19-35",B231&lt;=50,"36-50",B231&lt;=65,"51-65","True","65+")</f>
        <v>0-18</v>
      </c>
      <c r="D231" t="s">
        <v>33</v>
      </c>
      <c r="E231" s="6">
        <v>45121</v>
      </c>
      <c r="F231" s="6">
        <v>45130</v>
      </c>
      <c r="G231">
        <v>9</v>
      </c>
      <c r="H231" t="s">
        <v>57</v>
      </c>
      <c r="I231">
        <v>2</v>
      </c>
      <c r="J231" t="s">
        <v>46</v>
      </c>
      <c r="K231">
        <v>44419</v>
      </c>
      <c r="L231" t="s">
        <v>53</v>
      </c>
      <c r="M231" t="s">
        <v>26</v>
      </c>
      <c r="N231" t="s">
        <v>27</v>
      </c>
      <c r="O231" s="2">
        <v>45120</v>
      </c>
      <c r="P231" s="2">
        <v>45121.541666666664</v>
      </c>
      <c r="Q231" s="38">
        <f t="shared" si="3"/>
        <v>1.5416666666642413</v>
      </c>
      <c r="R231" t="s">
        <v>42</v>
      </c>
      <c r="S231" t="s">
        <v>38</v>
      </c>
      <c r="T231" t="s">
        <v>47</v>
      </c>
      <c r="U231">
        <v>10</v>
      </c>
      <c r="V231">
        <v>12</v>
      </c>
      <c r="W231" s="18">
        <f>IFERROR(Table1[[#This Row],[Staff Hours Worked]]/Table1[[#This Row],[Staff Available Hours]],0)</f>
        <v>0.83333333333333337</v>
      </c>
      <c r="X231" t="s">
        <v>48</v>
      </c>
    </row>
    <row r="232" spans="1:24">
      <c r="A232" t="s">
        <v>289</v>
      </c>
      <c r="B232">
        <v>20</v>
      </c>
      <c r="C232" t="str" cm="1">
        <f t="array" ref="C232">_xlfn.IFS(B232&lt;=18,"0-18",B232&lt;=35,"19-35",B232&lt;=50,"36-50",B232&lt;=65,"51-65","True","65+")</f>
        <v>19-35</v>
      </c>
      <c r="D232" t="s">
        <v>22</v>
      </c>
      <c r="E232" s="6">
        <v>45230</v>
      </c>
      <c r="F232" s="6">
        <v>45088</v>
      </c>
      <c r="G232">
        <v>6</v>
      </c>
      <c r="H232" t="s">
        <v>50</v>
      </c>
      <c r="I232">
        <v>3</v>
      </c>
      <c r="J232" t="s">
        <v>35</v>
      </c>
      <c r="K232">
        <v>28178</v>
      </c>
      <c r="L232" t="s">
        <v>25</v>
      </c>
      <c r="M232" t="s">
        <v>54</v>
      </c>
      <c r="N232" t="s">
        <v>27</v>
      </c>
      <c r="O232" s="2">
        <v>45229</v>
      </c>
      <c r="P232" s="2">
        <v>45230.75</v>
      </c>
      <c r="Q232" s="38">
        <f t="shared" si="3"/>
        <v>1.75</v>
      </c>
      <c r="R232" t="s">
        <v>42</v>
      </c>
      <c r="S232" t="s">
        <v>29</v>
      </c>
      <c r="T232" t="s">
        <v>43</v>
      </c>
      <c r="U232">
        <v>9</v>
      </c>
      <c r="V232">
        <v>12</v>
      </c>
      <c r="W232" s="18">
        <f>IFERROR(Table1[[#This Row],[Staff Hours Worked]]/Table1[[#This Row],[Staff Available Hours]],0)</f>
        <v>0.75</v>
      </c>
      <c r="X232" t="s">
        <v>48</v>
      </c>
    </row>
    <row r="233" spans="1:24">
      <c r="A233" t="s">
        <v>290</v>
      </c>
      <c r="B233">
        <v>59</v>
      </c>
      <c r="C233" t="str" cm="1">
        <f t="array" ref="C233">_xlfn.IFS(B233&lt;=18,"0-18",B233&lt;=35,"19-35",B233&lt;=50,"36-50",B233&lt;=65,"51-65","True","65+")</f>
        <v>51-65</v>
      </c>
      <c r="D233" t="s">
        <v>45</v>
      </c>
      <c r="E233" s="6">
        <v>45238</v>
      </c>
      <c r="F233" s="6">
        <v>45160</v>
      </c>
      <c r="G233">
        <v>11</v>
      </c>
      <c r="H233" t="s">
        <v>57</v>
      </c>
      <c r="I233">
        <v>3</v>
      </c>
      <c r="J233" t="s">
        <v>46</v>
      </c>
      <c r="K233">
        <v>33876</v>
      </c>
      <c r="L233" t="s">
        <v>60</v>
      </c>
      <c r="M233" t="s">
        <v>54</v>
      </c>
      <c r="N233" t="s">
        <v>27</v>
      </c>
      <c r="O233" s="2">
        <v>45115</v>
      </c>
      <c r="P233" s="2">
        <v>45146.833333333336</v>
      </c>
      <c r="Q233" s="38">
        <f t="shared" si="3"/>
        <v>31.833333333335759</v>
      </c>
      <c r="R233" t="s">
        <v>37</v>
      </c>
      <c r="S233" t="s">
        <v>29</v>
      </c>
      <c r="T233" t="s">
        <v>47</v>
      </c>
      <c r="U233">
        <v>11</v>
      </c>
      <c r="V233">
        <v>8</v>
      </c>
      <c r="W233" s="18">
        <f>IFERROR(Table1[[#This Row],[Staff Hours Worked]]/Table1[[#This Row],[Staff Available Hours]],0)</f>
        <v>1.375</v>
      </c>
      <c r="X233" t="s">
        <v>48</v>
      </c>
    </row>
    <row r="234" spans="1:24">
      <c r="A234" t="s">
        <v>291</v>
      </c>
      <c r="B234">
        <v>36</v>
      </c>
      <c r="C234" t="str" cm="1">
        <f t="array" ref="C234">_xlfn.IFS(B234&lt;=18,"0-18",B234&lt;=35,"19-35",B234&lt;=50,"36-50",B234&lt;=65,"51-65","True","65+")</f>
        <v>36-50</v>
      </c>
      <c r="D234" t="s">
        <v>45</v>
      </c>
      <c r="E234" s="6">
        <v>44929</v>
      </c>
      <c r="F234" s="6">
        <v>44988</v>
      </c>
      <c r="G234">
        <v>2</v>
      </c>
      <c r="H234" t="s">
        <v>34</v>
      </c>
      <c r="I234">
        <v>5</v>
      </c>
      <c r="J234" t="s">
        <v>35</v>
      </c>
      <c r="K234">
        <v>27908</v>
      </c>
      <c r="L234" t="s">
        <v>67</v>
      </c>
      <c r="M234" t="s">
        <v>54</v>
      </c>
      <c r="N234" t="s">
        <v>27</v>
      </c>
      <c r="O234" s="2">
        <v>44984</v>
      </c>
      <c r="P234" s="2">
        <v>44985.75</v>
      </c>
      <c r="Q234" s="38">
        <f t="shared" si="3"/>
        <v>1.75</v>
      </c>
      <c r="R234" t="s">
        <v>37</v>
      </c>
      <c r="S234" t="s">
        <v>29</v>
      </c>
      <c r="T234" t="s">
        <v>43</v>
      </c>
      <c r="U234">
        <v>4</v>
      </c>
      <c r="V234">
        <v>12</v>
      </c>
      <c r="W234" s="18">
        <f>IFERROR(Table1[[#This Row],[Staff Hours Worked]]/Table1[[#This Row],[Staff Available Hours]],0)</f>
        <v>0.33333333333333331</v>
      </c>
      <c r="X234" t="s">
        <v>48</v>
      </c>
    </row>
    <row r="235" spans="1:24">
      <c r="A235" t="s">
        <v>292</v>
      </c>
      <c r="B235">
        <v>19</v>
      </c>
      <c r="C235" t="str" cm="1">
        <f t="array" ref="C235">_xlfn.IFS(B235&lt;=18,"0-18",B235&lt;=35,"19-35",B235&lt;=50,"36-50",B235&lt;=65,"51-65","True","65+")</f>
        <v>19-35</v>
      </c>
      <c r="D235" t="s">
        <v>45</v>
      </c>
      <c r="E235" s="6">
        <v>45019</v>
      </c>
      <c r="F235" s="6">
        <v>45233</v>
      </c>
      <c r="G235">
        <v>7</v>
      </c>
      <c r="H235" t="s">
        <v>23</v>
      </c>
      <c r="I235">
        <v>5</v>
      </c>
      <c r="J235" t="s">
        <v>71</v>
      </c>
      <c r="K235">
        <v>40912</v>
      </c>
      <c r="L235" t="s">
        <v>36</v>
      </c>
      <c r="M235" t="s">
        <v>54</v>
      </c>
      <c r="N235" t="s">
        <v>27</v>
      </c>
      <c r="O235" s="2">
        <v>45019</v>
      </c>
      <c r="P235" s="2">
        <v>45049.083333333336</v>
      </c>
      <c r="Q235" s="38">
        <f t="shared" si="3"/>
        <v>30.083333333335759</v>
      </c>
      <c r="R235" t="s">
        <v>55</v>
      </c>
      <c r="S235" t="s">
        <v>29</v>
      </c>
      <c r="T235" t="s">
        <v>30</v>
      </c>
      <c r="U235">
        <v>8</v>
      </c>
      <c r="V235">
        <v>8</v>
      </c>
      <c r="W235" s="18">
        <f>IFERROR(Table1[[#This Row],[Staff Hours Worked]]/Table1[[#This Row],[Staff Available Hours]],0)</f>
        <v>1</v>
      </c>
      <c r="X235" t="s">
        <v>68</v>
      </c>
    </row>
    <row r="236" spans="1:24">
      <c r="A236" t="s">
        <v>293</v>
      </c>
      <c r="B236">
        <v>67</v>
      </c>
      <c r="C236" t="str" cm="1">
        <f t="array" ref="C236">_xlfn.IFS(B236&lt;=18,"0-18",B236&lt;=35,"19-35",B236&lt;=50,"36-50",B236&lt;=65,"51-65","True","65+")</f>
        <v>65+</v>
      </c>
      <c r="D236" t="s">
        <v>41</v>
      </c>
      <c r="E236" s="6">
        <v>45248</v>
      </c>
      <c r="F236" s="6">
        <v>45254</v>
      </c>
      <c r="G236">
        <v>6</v>
      </c>
      <c r="H236" t="s">
        <v>57</v>
      </c>
      <c r="I236">
        <v>2</v>
      </c>
      <c r="J236" t="s">
        <v>66</v>
      </c>
      <c r="K236">
        <v>24971</v>
      </c>
      <c r="L236" t="s">
        <v>25</v>
      </c>
      <c r="M236" t="s">
        <v>54</v>
      </c>
      <c r="N236" t="s">
        <v>27</v>
      </c>
      <c r="O236" s="2">
        <v>45248</v>
      </c>
      <c r="P236" s="2">
        <v>45248.916666666664</v>
      </c>
      <c r="Q236" s="38">
        <f t="shared" si="3"/>
        <v>0.91666666666424135</v>
      </c>
      <c r="R236" t="s">
        <v>37</v>
      </c>
      <c r="S236" t="s">
        <v>29</v>
      </c>
      <c r="T236" t="s">
        <v>30</v>
      </c>
      <c r="U236">
        <v>10</v>
      </c>
      <c r="V236">
        <v>12</v>
      </c>
      <c r="W236" s="18">
        <f>IFERROR(Table1[[#This Row],[Staff Hours Worked]]/Table1[[#This Row],[Staff Available Hours]],0)</f>
        <v>0.83333333333333337</v>
      </c>
      <c r="X236" t="s">
        <v>48</v>
      </c>
    </row>
    <row r="237" spans="1:24">
      <c r="A237" t="s">
        <v>294</v>
      </c>
      <c r="B237">
        <v>19</v>
      </c>
      <c r="C237" t="str" cm="1">
        <f t="array" ref="C237">_xlfn.IFS(B237&lt;=18,"0-18",B237&lt;=35,"19-35",B237&lt;=50,"36-50",B237&lt;=65,"51-65","True","65+")</f>
        <v>19-35</v>
      </c>
      <c r="D237" t="s">
        <v>41</v>
      </c>
      <c r="E237" s="6">
        <v>44985</v>
      </c>
      <c r="F237" s="6">
        <v>44999</v>
      </c>
      <c r="G237">
        <v>14</v>
      </c>
      <c r="H237" t="s">
        <v>23</v>
      </c>
      <c r="I237">
        <v>1</v>
      </c>
      <c r="J237" t="s">
        <v>66</v>
      </c>
      <c r="K237">
        <v>37584</v>
      </c>
      <c r="L237" t="s">
        <v>60</v>
      </c>
      <c r="M237" t="s">
        <v>54</v>
      </c>
      <c r="N237" t="s">
        <v>27</v>
      </c>
      <c r="O237" s="2">
        <v>44983</v>
      </c>
      <c r="P237" s="2">
        <v>44984.166666666664</v>
      </c>
      <c r="Q237" s="38">
        <f t="shared" si="3"/>
        <v>1.1666666666642413</v>
      </c>
      <c r="R237" t="s">
        <v>64</v>
      </c>
      <c r="S237" t="s">
        <v>38</v>
      </c>
      <c r="T237" t="s">
        <v>30</v>
      </c>
      <c r="U237">
        <v>9</v>
      </c>
      <c r="V237">
        <v>10</v>
      </c>
      <c r="W237" s="18">
        <f>IFERROR(Table1[[#This Row],[Staff Hours Worked]]/Table1[[#This Row],[Staff Available Hours]],0)</f>
        <v>0.9</v>
      </c>
      <c r="X237" t="s">
        <v>48</v>
      </c>
    </row>
    <row r="238" spans="1:24">
      <c r="A238" t="s">
        <v>295</v>
      </c>
      <c r="B238">
        <v>20</v>
      </c>
      <c r="C238" t="str" cm="1">
        <f t="array" ref="C238">_xlfn.IFS(B238&lt;=18,"0-18",B238&lt;=35,"19-35",B238&lt;=50,"36-50",B238&lt;=65,"51-65","True","65+")</f>
        <v>19-35</v>
      </c>
      <c r="D238" t="s">
        <v>52</v>
      </c>
      <c r="E238" s="6">
        <v>44978</v>
      </c>
      <c r="F238" s="6">
        <v>45019</v>
      </c>
      <c r="G238">
        <v>11</v>
      </c>
      <c r="H238" t="s">
        <v>34</v>
      </c>
      <c r="I238">
        <v>4</v>
      </c>
      <c r="J238" t="s">
        <v>24</v>
      </c>
      <c r="K238">
        <v>13959</v>
      </c>
      <c r="L238" t="s">
        <v>60</v>
      </c>
      <c r="M238" t="s">
        <v>54</v>
      </c>
      <c r="N238" t="s">
        <v>27</v>
      </c>
      <c r="O238" s="2">
        <v>44975</v>
      </c>
      <c r="P238" s="2">
        <v>44975.291666666664</v>
      </c>
      <c r="Q238" s="38">
        <f t="shared" si="3"/>
        <v>0.29166666666424135</v>
      </c>
      <c r="R238" t="s">
        <v>64</v>
      </c>
      <c r="S238" t="s">
        <v>38</v>
      </c>
      <c r="T238" t="s">
        <v>30</v>
      </c>
      <c r="U238">
        <v>7</v>
      </c>
      <c r="V238">
        <v>12</v>
      </c>
      <c r="W238" s="18">
        <f>IFERROR(Table1[[#This Row],[Staff Hours Worked]]/Table1[[#This Row],[Staff Available Hours]],0)</f>
        <v>0.58333333333333337</v>
      </c>
      <c r="X238" t="s">
        <v>31</v>
      </c>
    </row>
    <row r="239" spans="1:24">
      <c r="A239" t="s">
        <v>296</v>
      </c>
      <c r="B239">
        <v>71</v>
      </c>
      <c r="C239" t="str" cm="1">
        <f t="array" ref="C239">_xlfn.IFS(B239&lt;=18,"0-18",B239&lt;=35,"19-35",B239&lt;=50,"36-50",B239&lt;=65,"51-65","True","65+")</f>
        <v>65+</v>
      </c>
      <c r="D239" t="s">
        <v>45</v>
      </c>
      <c r="E239" s="6">
        <v>45356</v>
      </c>
      <c r="F239" s="6">
        <v>45428</v>
      </c>
      <c r="G239">
        <v>13</v>
      </c>
      <c r="H239" t="s">
        <v>34</v>
      </c>
      <c r="I239">
        <v>1</v>
      </c>
      <c r="J239" t="s">
        <v>46</v>
      </c>
      <c r="K239">
        <v>33261</v>
      </c>
      <c r="L239" t="s">
        <v>67</v>
      </c>
      <c r="M239" t="s">
        <v>26</v>
      </c>
      <c r="N239" t="s">
        <v>41</v>
      </c>
      <c r="O239" s="2">
        <v>45411</v>
      </c>
      <c r="P239" s="2">
        <v>45411.041666666664</v>
      </c>
      <c r="Q239" s="38">
        <f t="shared" si="3"/>
        <v>4.1666666664241347E-2</v>
      </c>
      <c r="R239" t="s">
        <v>64</v>
      </c>
      <c r="S239" t="s">
        <v>29</v>
      </c>
      <c r="T239" t="s">
        <v>30</v>
      </c>
      <c r="U239">
        <v>8</v>
      </c>
      <c r="V239">
        <v>10</v>
      </c>
      <c r="W239" s="18">
        <f>IFERROR(Table1[[#This Row],[Staff Hours Worked]]/Table1[[#This Row],[Staff Available Hours]],0)</f>
        <v>0.8</v>
      </c>
      <c r="X239" t="s">
        <v>68</v>
      </c>
    </row>
    <row r="240" spans="1:24">
      <c r="A240" t="s">
        <v>297</v>
      </c>
      <c r="B240">
        <v>52</v>
      </c>
      <c r="C240" t="str" cm="1">
        <f t="array" ref="C240">_xlfn.IFS(B240&lt;=18,"0-18",B240&lt;=35,"19-35",B240&lt;=50,"36-50",B240&lt;=65,"51-65","True","65+")</f>
        <v>51-65</v>
      </c>
      <c r="D240" t="s">
        <v>33</v>
      </c>
      <c r="E240" s="6">
        <v>45441</v>
      </c>
      <c r="F240" s="6">
        <v>45418</v>
      </c>
      <c r="G240">
        <v>7</v>
      </c>
      <c r="H240" t="s">
        <v>63</v>
      </c>
      <c r="I240">
        <v>2</v>
      </c>
      <c r="J240" t="s">
        <v>46</v>
      </c>
      <c r="K240">
        <v>46065</v>
      </c>
      <c r="L240" t="s">
        <v>53</v>
      </c>
      <c r="M240" t="s">
        <v>54</v>
      </c>
      <c r="N240" t="s">
        <v>27</v>
      </c>
      <c r="O240" s="2">
        <v>45436</v>
      </c>
      <c r="P240" s="2">
        <v>45436.291666666664</v>
      </c>
      <c r="Q240" s="38">
        <f t="shared" si="3"/>
        <v>0.29166666666424135</v>
      </c>
      <c r="R240" t="s">
        <v>64</v>
      </c>
      <c r="S240" t="s">
        <v>38</v>
      </c>
      <c r="T240" t="s">
        <v>43</v>
      </c>
      <c r="U240">
        <v>11</v>
      </c>
      <c r="V240">
        <v>8</v>
      </c>
      <c r="W240" s="18">
        <f>IFERROR(Table1[[#This Row],[Staff Hours Worked]]/Table1[[#This Row],[Staff Available Hours]],0)</f>
        <v>1.375</v>
      </c>
      <c r="X240" t="s">
        <v>31</v>
      </c>
    </row>
    <row r="241" spans="1:24">
      <c r="A241" t="s">
        <v>298</v>
      </c>
      <c r="B241">
        <v>33</v>
      </c>
      <c r="C241" t="str" cm="1">
        <f t="array" ref="C241">_xlfn.IFS(B241&lt;=18,"0-18",B241&lt;=35,"19-35",B241&lt;=50,"36-50",B241&lt;=65,"51-65","True","65+")</f>
        <v>19-35</v>
      </c>
      <c r="D241" t="s">
        <v>22</v>
      </c>
      <c r="E241" s="6">
        <v>45236</v>
      </c>
      <c r="F241" s="6">
        <v>45102</v>
      </c>
      <c r="G241">
        <v>14</v>
      </c>
      <c r="H241" t="s">
        <v>34</v>
      </c>
      <c r="I241">
        <v>2</v>
      </c>
      <c r="J241" t="s">
        <v>46</v>
      </c>
      <c r="K241">
        <v>44462</v>
      </c>
      <c r="L241" t="s">
        <v>25</v>
      </c>
      <c r="M241" t="s">
        <v>54</v>
      </c>
      <c r="N241" t="s">
        <v>41</v>
      </c>
      <c r="O241" s="2">
        <v>45083</v>
      </c>
      <c r="P241" s="2">
        <v>45083.708333333336</v>
      </c>
      <c r="Q241" s="38">
        <f t="shared" si="3"/>
        <v>0.70833333333575865</v>
      </c>
      <c r="R241" t="s">
        <v>55</v>
      </c>
      <c r="S241" t="s">
        <v>29</v>
      </c>
      <c r="T241" t="s">
        <v>30</v>
      </c>
      <c r="U241">
        <v>6</v>
      </c>
      <c r="V241">
        <v>10</v>
      </c>
      <c r="W241" s="18">
        <f>IFERROR(Table1[[#This Row],[Staff Hours Worked]]/Table1[[#This Row],[Staff Available Hours]],0)</f>
        <v>0.6</v>
      </c>
      <c r="X241" t="s">
        <v>48</v>
      </c>
    </row>
    <row r="242" spans="1:24">
      <c r="A242" t="s">
        <v>299</v>
      </c>
      <c r="B242">
        <v>40</v>
      </c>
      <c r="C242" t="str" cm="1">
        <f t="array" ref="C242">_xlfn.IFS(B242&lt;=18,"0-18",B242&lt;=35,"19-35",B242&lt;=50,"36-50",B242&lt;=65,"51-65","True","65+")</f>
        <v>36-50</v>
      </c>
      <c r="D242" t="s">
        <v>62</v>
      </c>
      <c r="E242" s="6">
        <v>44985</v>
      </c>
      <c r="F242" s="6">
        <v>45000</v>
      </c>
      <c r="G242">
        <v>15</v>
      </c>
      <c r="H242" t="s">
        <v>34</v>
      </c>
      <c r="I242">
        <v>1</v>
      </c>
      <c r="J242" t="s">
        <v>71</v>
      </c>
      <c r="K242">
        <v>20835</v>
      </c>
      <c r="L242" t="s">
        <v>60</v>
      </c>
      <c r="M242" t="s">
        <v>26</v>
      </c>
      <c r="N242" t="s">
        <v>41</v>
      </c>
      <c r="O242" s="2">
        <v>44982</v>
      </c>
      <c r="P242" s="2">
        <v>44982.625</v>
      </c>
      <c r="Q242" s="38">
        <f t="shared" si="3"/>
        <v>0.625</v>
      </c>
      <c r="R242" t="s">
        <v>42</v>
      </c>
      <c r="S242" t="s">
        <v>29</v>
      </c>
      <c r="T242" t="s">
        <v>43</v>
      </c>
      <c r="U242">
        <v>5</v>
      </c>
      <c r="V242">
        <v>12</v>
      </c>
      <c r="W242" s="18">
        <f>IFERROR(Table1[[#This Row],[Staff Hours Worked]]/Table1[[#This Row],[Staff Available Hours]],0)</f>
        <v>0.41666666666666669</v>
      </c>
      <c r="X242" t="s">
        <v>31</v>
      </c>
    </row>
    <row r="243" spans="1:24">
      <c r="A243" t="s">
        <v>300</v>
      </c>
      <c r="B243">
        <v>39</v>
      </c>
      <c r="C243" t="str" cm="1">
        <f t="array" ref="C243">_xlfn.IFS(B243&lt;=18,"0-18",B243&lt;=35,"19-35",B243&lt;=50,"36-50",B243&lt;=65,"51-65","True","65+")</f>
        <v>36-50</v>
      </c>
      <c r="D243" t="s">
        <v>33</v>
      </c>
      <c r="E243" s="6">
        <v>45388</v>
      </c>
      <c r="F243" s="6">
        <v>45459</v>
      </c>
      <c r="G243">
        <v>12</v>
      </c>
      <c r="H243" t="s">
        <v>40</v>
      </c>
      <c r="I243">
        <v>4</v>
      </c>
      <c r="J243" t="s">
        <v>46</v>
      </c>
      <c r="K243">
        <v>24257</v>
      </c>
      <c r="L243" t="s">
        <v>67</v>
      </c>
      <c r="M243" t="s">
        <v>54</v>
      </c>
      <c r="N243" t="s">
        <v>27</v>
      </c>
      <c r="O243" s="2">
        <v>45328</v>
      </c>
      <c r="P243" s="2">
        <v>45357.375</v>
      </c>
      <c r="Q243" s="38">
        <f t="shared" si="3"/>
        <v>29.375</v>
      </c>
      <c r="R243" t="s">
        <v>64</v>
      </c>
      <c r="S243" t="s">
        <v>29</v>
      </c>
      <c r="T243" t="s">
        <v>30</v>
      </c>
      <c r="U243">
        <v>6</v>
      </c>
      <c r="V243">
        <v>10</v>
      </c>
      <c r="W243" s="18">
        <f>IFERROR(Table1[[#This Row],[Staff Hours Worked]]/Table1[[#This Row],[Staff Available Hours]],0)</f>
        <v>0.6</v>
      </c>
      <c r="X243" t="s">
        <v>31</v>
      </c>
    </row>
    <row r="244" spans="1:24">
      <c r="A244" t="s">
        <v>301</v>
      </c>
      <c r="B244">
        <v>82</v>
      </c>
      <c r="C244" t="str" cm="1">
        <f t="array" ref="C244">_xlfn.IFS(B244&lt;=18,"0-18",B244&lt;=35,"19-35",B244&lt;=50,"36-50",B244&lt;=65,"51-65","True","65+")</f>
        <v>65+</v>
      </c>
      <c r="D244" t="s">
        <v>41</v>
      </c>
      <c r="E244" s="6">
        <v>45009</v>
      </c>
      <c r="F244" s="6">
        <v>45010</v>
      </c>
      <c r="G244">
        <v>1</v>
      </c>
      <c r="H244" t="s">
        <v>50</v>
      </c>
      <c r="I244">
        <v>1</v>
      </c>
      <c r="J244" t="s">
        <v>66</v>
      </c>
      <c r="K244">
        <v>8346</v>
      </c>
      <c r="L244" t="s">
        <v>36</v>
      </c>
      <c r="M244" t="s">
        <v>26</v>
      </c>
      <c r="N244" t="s">
        <v>41</v>
      </c>
      <c r="O244" s="2">
        <v>45005</v>
      </c>
      <c r="P244" s="2">
        <v>45007</v>
      </c>
      <c r="Q244" s="38">
        <f t="shared" si="3"/>
        <v>2</v>
      </c>
      <c r="R244" t="s">
        <v>37</v>
      </c>
      <c r="S244" t="s">
        <v>29</v>
      </c>
      <c r="T244" t="s">
        <v>43</v>
      </c>
      <c r="U244">
        <v>7</v>
      </c>
      <c r="V244">
        <v>8</v>
      </c>
      <c r="W244" s="18">
        <f>IFERROR(Table1[[#This Row],[Staff Hours Worked]]/Table1[[#This Row],[Staff Available Hours]],0)</f>
        <v>0.875</v>
      </c>
      <c r="X244" t="s">
        <v>48</v>
      </c>
    </row>
    <row r="245" spans="1:24">
      <c r="A245" t="s">
        <v>302</v>
      </c>
      <c r="B245">
        <v>1</v>
      </c>
      <c r="C245" t="str" cm="1">
        <f t="array" ref="C245">_xlfn.IFS(B245&lt;=18,"0-18",B245&lt;=35,"19-35",B245&lt;=50,"36-50",B245&lt;=65,"51-65","True","65+")</f>
        <v>0-18</v>
      </c>
      <c r="D245" t="s">
        <v>41</v>
      </c>
      <c r="E245" s="6">
        <v>45206</v>
      </c>
      <c r="F245" s="6">
        <v>45122</v>
      </c>
      <c r="G245">
        <v>5</v>
      </c>
      <c r="H245" t="s">
        <v>63</v>
      </c>
      <c r="I245">
        <v>5</v>
      </c>
      <c r="J245" t="s">
        <v>71</v>
      </c>
      <c r="K245">
        <v>35807</v>
      </c>
      <c r="L245" t="s">
        <v>60</v>
      </c>
      <c r="M245" t="s">
        <v>54</v>
      </c>
      <c r="N245" t="s">
        <v>41</v>
      </c>
      <c r="O245" s="2">
        <v>45206</v>
      </c>
      <c r="P245" s="2">
        <v>45237.416666666664</v>
      </c>
      <c r="Q245" s="38">
        <f t="shared" si="3"/>
        <v>31.416666666664241</v>
      </c>
      <c r="R245" t="s">
        <v>64</v>
      </c>
      <c r="S245" t="s">
        <v>29</v>
      </c>
      <c r="T245" t="s">
        <v>43</v>
      </c>
      <c r="U245">
        <v>10</v>
      </c>
      <c r="V245">
        <v>10</v>
      </c>
      <c r="W245" s="18">
        <f>IFERROR(Table1[[#This Row],[Staff Hours Worked]]/Table1[[#This Row],[Staff Available Hours]],0)</f>
        <v>1</v>
      </c>
      <c r="X245" t="s">
        <v>68</v>
      </c>
    </row>
    <row r="246" spans="1:24">
      <c r="A246" t="s">
        <v>303</v>
      </c>
      <c r="B246">
        <v>11</v>
      </c>
      <c r="C246" t="str" cm="1">
        <f t="array" ref="C246">_xlfn.IFS(B246&lt;=18,"0-18",B246&lt;=35,"19-35",B246&lt;=50,"36-50",B246&lt;=65,"51-65","True","65+")</f>
        <v>0-18</v>
      </c>
      <c r="D246" t="s">
        <v>33</v>
      </c>
      <c r="E246" s="6">
        <v>45263</v>
      </c>
      <c r="F246" s="6">
        <v>45007</v>
      </c>
      <c r="G246">
        <v>10</v>
      </c>
      <c r="H246" t="s">
        <v>63</v>
      </c>
      <c r="I246">
        <v>3</v>
      </c>
      <c r="J246" t="s">
        <v>35</v>
      </c>
      <c r="K246">
        <v>35418</v>
      </c>
      <c r="L246" t="s">
        <v>67</v>
      </c>
      <c r="M246" t="s">
        <v>26</v>
      </c>
      <c r="N246" t="s">
        <v>41</v>
      </c>
      <c r="O246" s="2">
        <v>45263</v>
      </c>
      <c r="P246" s="2">
        <v>44998.5</v>
      </c>
      <c r="Q246" s="38">
        <f t="shared" si="3"/>
        <v>264.5</v>
      </c>
      <c r="R246" t="s">
        <v>55</v>
      </c>
      <c r="S246" t="s">
        <v>29</v>
      </c>
      <c r="T246" t="s">
        <v>43</v>
      </c>
      <c r="U246">
        <v>11</v>
      </c>
      <c r="V246">
        <v>10</v>
      </c>
      <c r="W246" s="18">
        <f>IFERROR(Table1[[#This Row],[Staff Hours Worked]]/Table1[[#This Row],[Staff Available Hours]],0)</f>
        <v>1.1000000000000001</v>
      </c>
      <c r="X246" t="s">
        <v>68</v>
      </c>
    </row>
    <row r="247" spans="1:24">
      <c r="A247" t="s">
        <v>304</v>
      </c>
      <c r="B247">
        <v>57</v>
      </c>
      <c r="C247" t="str" cm="1">
        <f t="array" ref="C247">_xlfn.IFS(B247&lt;=18,"0-18",B247&lt;=35,"19-35",B247&lt;=50,"36-50",B247&lt;=65,"51-65","True","65+")</f>
        <v>51-65</v>
      </c>
      <c r="D247" t="s">
        <v>41</v>
      </c>
      <c r="E247" s="6">
        <v>45233</v>
      </c>
      <c r="F247" s="6">
        <v>45001</v>
      </c>
      <c r="G247">
        <v>5</v>
      </c>
      <c r="H247" t="s">
        <v>63</v>
      </c>
      <c r="I247">
        <v>5</v>
      </c>
      <c r="J247" t="s">
        <v>46</v>
      </c>
      <c r="K247">
        <v>16340</v>
      </c>
      <c r="L247" t="s">
        <v>53</v>
      </c>
      <c r="M247" t="s">
        <v>54</v>
      </c>
      <c r="N247" t="s">
        <v>27</v>
      </c>
      <c r="O247" s="2">
        <v>45141</v>
      </c>
      <c r="P247" s="2">
        <v>45172.583333333336</v>
      </c>
      <c r="Q247" s="38">
        <f t="shared" si="3"/>
        <v>31.583333333335759</v>
      </c>
      <c r="R247" t="s">
        <v>37</v>
      </c>
      <c r="S247" t="s">
        <v>29</v>
      </c>
      <c r="T247" t="s">
        <v>47</v>
      </c>
      <c r="U247">
        <v>4</v>
      </c>
      <c r="V247">
        <v>12</v>
      </c>
      <c r="W247" s="18">
        <f>IFERROR(Table1[[#This Row],[Staff Hours Worked]]/Table1[[#This Row],[Staff Available Hours]],0)</f>
        <v>0.33333333333333331</v>
      </c>
      <c r="X247" t="s">
        <v>31</v>
      </c>
    </row>
    <row r="248" spans="1:24">
      <c r="A248" t="s">
        <v>305</v>
      </c>
      <c r="B248">
        <v>89</v>
      </c>
      <c r="C248" t="str" cm="1">
        <f t="array" ref="C248">_xlfn.IFS(B248&lt;=18,"0-18",B248&lt;=35,"19-35",B248&lt;=50,"36-50",B248&lt;=65,"51-65","True","65+")</f>
        <v>65+</v>
      </c>
      <c r="D248" t="s">
        <v>45</v>
      </c>
      <c r="E248" s="6">
        <v>45167</v>
      </c>
      <c r="F248" s="6">
        <v>45025</v>
      </c>
      <c r="G248">
        <v>6</v>
      </c>
      <c r="H248" t="s">
        <v>40</v>
      </c>
      <c r="I248">
        <v>3</v>
      </c>
      <c r="J248" t="s">
        <v>46</v>
      </c>
      <c r="K248">
        <v>38012</v>
      </c>
      <c r="L248" t="s">
        <v>53</v>
      </c>
      <c r="M248" t="s">
        <v>54</v>
      </c>
      <c r="N248" t="s">
        <v>27</v>
      </c>
      <c r="O248" s="2">
        <v>45166</v>
      </c>
      <c r="P248" s="2">
        <v>45167.875</v>
      </c>
      <c r="Q248" s="38">
        <f t="shared" si="3"/>
        <v>1.875</v>
      </c>
      <c r="R248" t="s">
        <v>64</v>
      </c>
      <c r="S248" t="s">
        <v>29</v>
      </c>
      <c r="T248" t="s">
        <v>43</v>
      </c>
      <c r="U248">
        <v>8</v>
      </c>
      <c r="V248">
        <v>12</v>
      </c>
      <c r="W248" s="18">
        <f>IFERROR(Table1[[#This Row],[Staff Hours Worked]]/Table1[[#This Row],[Staff Available Hours]],0)</f>
        <v>0.66666666666666663</v>
      </c>
      <c r="X248" t="s">
        <v>48</v>
      </c>
    </row>
    <row r="249" spans="1:24">
      <c r="A249" t="s">
        <v>306</v>
      </c>
      <c r="B249">
        <v>50</v>
      </c>
      <c r="C249" t="str" cm="1">
        <f t="array" ref="C249">_xlfn.IFS(B249&lt;=18,"0-18",B249&lt;=35,"19-35",B249&lt;=50,"36-50",B249&lt;=65,"51-65","True","65+")</f>
        <v>36-50</v>
      </c>
      <c r="D249" t="s">
        <v>52</v>
      </c>
      <c r="E249" s="6">
        <v>45340</v>
      </c>
      <c r="F249" s="6">
        <v>45342</v>
      </c>
      <c r="G249">
        <v>2</v>
      </c>
      <c r="H249" t="s">
        <v>23</v>
      </c>
      <c r="I249">
        <v>2</v>
      </c>
      <c r="J249" t="s">
        <v>35</v>
      </c>
      <c r="K249">
        <v>40393</v>
      </c>
      <c r="L249" t="s">
        <v>60</v>
      </c>
      <c r="M249" t="s">
        <v>26</v>
      </c>
      <c r="N249" t="s">
        <v>27</v>
      </c>
      <c r="O249" s="2">
        <v>45338</v>
      </c>
      <c r="P249" s="2">
        <v>45339.541666666664</v>
      </c>
      <c r="Q249" s="38">
        <f t="shared" si="3"/>
        <v>1.5416666666642413</v>
      </c>
      <c r="R249" t="s">
        <v>42</v>
      </c>
      <c r="S249" t="s">
        <v>29</v>
      </c>
      <c r="T249" t="s">
        <v>43</v>
      </c>
      <c r="U249">
        <v>10</v>
      </c>
      <c r="V249">
        <v>10</v>
      </c>
      <c r="W249" s="18">
        <f>IFERROR(Table1[[#This Row],[Staff Hours Worked]]/Table1[[#This Row],[Staff Available Hours]],0)</f>
        <v>1</v>
      </c>
      <c r="X249" t="s">
        <v>31</v>
      </c>
    </row>
    <row r="250" spans="1:24">
      <c r="A250" t="s">
        <v>307</v>
      </c>
      <c r="B250">
        <v>23</v>
      </c>
      <c r="C250" t="str" cm="1">
        <f t="array" ref="C250">_xlfn.IFS(B250&lt;=18,"0-18",B250&lt;=35,"19-35",B250&lt;=50,"36-50",B250&lt;=65,"51-65","True","65+")</f>
        <v>19-35</v>
      </c>
      <c r="D250" t="s">
        <v>22</v>
      </c>
      <c r="E250" s="6">
        <v>44990</v>
      </c>
      <c r="F250" s="6">
        <v>45059</v>
      </c>
      <c r="G250">
        <v>10</v>
      </c>
      <c r="H250" t="s">
        <v>34</v>
      </c>
      <c r="I250">
        <v>4</v>
      </c>
      <c r="J250" t="s">
        <v>46</v>
      </c>
      <c r="K250">
        <v>41617</v>
      </c>
      <c r="L250" t="s">
        <v>60</v>
      </c>
      <c r="M250" t="s">
        <v>54</v>
      </c>
      <c r="N250" t="s">
        <v>41</v>
      </c>
      <c r="O250" s="2">
        <v>45044</v>
      </c>
      <c r="P250" s="2">
        <v>45044.625</v>
      </c>
      <c r="Q250" s="38">
        <f t="shared" si="3"/>
        <v>0.625</v>
      </c>
      <c r="R250" t="s">
        <v>37</v>
      </c>
      <c r="S250" t="s">
        <v>29</v>
      </c>
      <c r="T250" t="s">
        <v>30</v>
      </c>
      <c r="U250">
        <v>4</v>
      </c>
      <c r="V250">
        <v>8</v>
      </c>
      <c r="W250" s="18">
        <f>IFERROR(Table1[[#This Row],[Staff Hours Worked]]/Table1[[#This Row],[Staff Available Hours]],0)</f>
        <v>0.5</v>
      </c>
      <c r="X250" t="s">
        <v>31</v>
      </c>
    </row>
    <row r="251" spans="1:24">
      <c r="A251" t="s">
        <v>308</v>
      </c>
      <c r="B251">
        <v>31</v>
      </c>
      <c r="C251" t="str" cm="1">
        <f t="array" ref="C251">_xlfn.IFS(B251&lt;=18,"0-18",B251&lt;=35,"19-35",B251&lt;=50,"36-50",B251&lt;=65,"51-65","True","65+")</f>
        <v>19-35</v>
      </c>
      <c r="D251" t="s">
        <v>52</v>
      </c>
      <c r="E251" s="6">
        <v>45208</v>
      </c>
      <c r="F251" s="6">
        <v>45188</v>
      </c>
      <c r="G251">
        <v>9</v>
      </c>
      <c r="H251" t="s">
        <v>50</v>
      </c>
      <c r="I251">
        <v>1</v>
      </c>
      <c r="J251" t="s">
        <v>35</v>
      </c>
      <c r="K251">
        <v>14597</v>
      </c>
      <c r="L251" t="s">
        <v>25</v>
      </c>
      <c r="M251" t="s">
        <v>54</v>
      </c>
      <c r="N251" t="s">
        <v>27</v>
      </c>
      <c r="O251" s="2">
        <v>45147</v>
      </c>
      <c r="P251" s="2">
        <v>45178.208333333336</v>
      </c>
      <c r="Q251" s="38">
        <f t="shared" si="3"/>
        <v>31.208333333335759</v>
      </c>
      <c r="R251" t="s">
        <v>37</v>
      </c>
      <c r="S251" t="s">
        <v>29</v>
      </c>
      <c r="T251" t="s">
        <v>43</v>
      </c>
      <c r="U251">
        <v>7</v>
      </c>
      <c r="V251">
        <v>10</v>
      </c>
      <c r="W251" s="18">
        <f>IFERROR(Table1[[#This Row],[Staff Hours Worked]]/Table1[[#This Row],[Staff Available Hours]],0)</f>
        <v>0.7</v>
      </c>
      <c r="X251" t="s">
        <v>31</v>
      </c>
    </row>
    <row r="252" spans="1:24">
      <c r="A252" t="s">
        <v>309</v>
      </c>
      <c r="B252">
        <v>42</v>
      </c>
      <c r="C252" t="str" cm="1">
        <f t="array" ref="C252">_xlfn.IFS(B252&lt;=18,"0-18",B252&lt;=35,"19-35",B252&lt;=50,"36-50",B252&lt;=65,"51-65","True","65+")</f>
        <v>36-50</v>
      </c>
      <c r="D252" t="s">
        <v>22</v>
      </c>
      <c r="E252" s="6">
        <v>45201</v>
      </c>
      <c r="F252" s="6">
        <v>44971</v>
      </c>
      <c r="G252">
        <v>4</v>
      </c>
      <c r="H252" t="s">
        <v>57</v>
      </c>
      <c r="I252">
        <v>4</v>
      </c>
      <c r="J252" t="s">
        <v>71</v>
      </c>
      <c r="K252">
        <v>30557</v>
      </c>
      <c r="L252" t="s">
        <v>67</v>
      </c>
      <c r="M252" t="s">
        <v>26</v>
      </c>
      <c r="N252" t="s">
        <v>27</v>
      </c>
      <c r="O252" s="2">
        <v>45109</v>
      </c>
      <c r="P252" s="2">
        <v>45140</v>
      </c>
      <c r="Q252" s="38">
        <f t="shared" si="3"/>
        <v>31</v>
      </c>
      <c r="R252" t="s">
        <v>42</v>
      </c>
      <c r="S252" t="s">
        <v>29</v>
      </c>
      <c r="T252" t="s">
        <v>43</v>
      </c>
      <c r="U252">
        <v>8</v>
      </c>
      <c r="V252">
        <v>8</v>
      </c>
      <c r="W252" s="18">
        <f>IFERROR(Table1[[#This Row],[Staff Hours Worked]]/Table1[[#This Row],[Staff Available Hours]],0)</f>
        <v>1</v>
      </c>
      <c r="X252" t="s">
        <v>48</v>
      </c>
    </row>
    <row r="253" spans="1:24">
      <c r="A253" t="s">
        <v>310</v>
      </c>
      <c r="B253">
        <v>7</v>
      </c>
      <c r="C253" t="str" cm="1">
        <f t="array" ref="C253">_xlfn.IFS(B253&lt;=18,"0-18",B253&lt;=35,"19-35",B253&lt;=50,"36-50",B253&lt;=65,"51-65","True","65+")</f>
        <v>0-18</v>
      </c>
      <c r="D253" t="s">
        <v>22</v>
      </c>
      <c r="E253" s="6">
        <v>45010</v>
      </c>
      <c r="F253" s="6">
        <v>45013</v>
      </c>
      <c r="G253">
        <v>3</v>
      </c>
      <c r="H253" t="s">
        <v>23</v>
      </c>
      <c r="I253">
        <v>1</v>
      </c>
      <c r="J253" t="s">
        <v>66</v>
      </c>
      <c r="K253">
        <v>12737</v>
      </c>
      <c r="L253" t="s">
        <v>60</v>
      </c>
      <c r="M253" t="s">
        <v>54</v>
      </c>
      <c r="N253" t="s">
        <v>27</v>
      </c>
      <c r="O253" s="2">
        <v>45008</v>
      </c>
      <c r="P253" s="2">
        <v>45009.083333333336</v>
      </c>
      <c r="Q253" s="38">
        <f t="shared" si="3"/>
        <v>1.0833333333357587</v>
      </c>
      <c r="R253" t="s">
        <v>37</v>
      </c>
      <c r="S253" t="s">
        <v>29</v>
      </c>
      <c r="T253" t="s">
        <v>47</v>
      </c>
      <c r="U253">
        <v>9</v>
      </c>
      <c r="V253">
        <v>8</v>
      </c>
      <c r="W253" s="18">
        <f>IFERROR(Table1[[#This Row],[Staff Hours Worked]]/Table1[[#This Row],[Staff Available Hours]],0)</f>
        <v>1.125</v>
      </c>
      <c r="X253" t="s">
        <v>48</v>
      </c>
    </row>
    <row r="254" spans="1:24">
      <c r="A254" t="s">
        <v>311</v>
      </c>
      <c r="B254">
        <v>16</v>
      </c>
      <c r="C254" t="str" cm="1">
        <f t="array" ref="C254">_xlfn.IFS(B254&lt;=18,"0-18",B254&lt;=35,"19-35",B254&lt;=50,"36-50",B254&lt;=65,"51-65","True","65+")</f>
        <v>0-18</v>
      </c>
      <c r="D254" t="s">
        <v>52</v>
      </c>
      <c r="E254" s="6">
        <v>45415</v>
      </c>
      <c r="F254" s="6">
        <v>45367</v>
      </c>
      <c r="G254">
        <v>11</v>
      </c>
      <c r="H254" t="s">
        <v>34</v>
      </c>
      <c r="I254">
        <v>5</v>
      </c>
      <c r="J254" t="s">
        <v>35</v>
      </c>
      <c r="K254">
        <v>49768</v>
      </c>
      <c r="L254" t="s">
        <v>25</v>
      </c>
      <c r="M254" t="s">
        <v>54</v>
      </c>
      <c r="N254" t="s">
        <v>27</v>
      </c>
      <c r="O254" s="2">
        <v>45415</v>
      </c>
      <c r="P254" s="2">
        <v>45446.25</v>
      </c>
      <c r="Q254" s="38">
        <f t="shared" si="3"/>
        <v>31.25</v>
      </c>
      <c r="R254" t="s">
        <v>64</v>
      </c>
      <c r="S254" t="s">
        <v>29</v>
      </c>
      <c r="T254" t="s">
        <v>30</v>
      </c>
      <c r="U254">
        <v>9</v>
      </c>
      <c r="V254">
        <v>8</v>
      </c>
      <c r="W254" s="18">
        <f>IFERROR(Table1[[#This Row],[Staff Hours Worked]]/Table1[[#This Row],[Staff Available Hours]],0)</f>
        <v>1.125</v>
      </c>
      <c r="X254" t="s">
        <v>68</v>
      </c>
    </row>
    <row r="255" spans="1:24">
      <c r="A255" t="s">
        <v>312</v>
      </c>
      <c r="B255">
        <v>60</v>
      </c>
      <c r="C255" t="str" cm="1">
        <f t="array" ref="C255">_xlfn.IFS(B255&lt;=18,"0-18",B255&lt;=35,"19-35",B255&lt;=50,"36-50",B255&lt;=65,"51-65","True","65+")</f>
        <v>51-65</v>
      </c>
      <c r="D255" t="s">
        <v>33</v>
      </c>
      <c r="E255" s="6">
        <v>45462</v>
      </c>
      <c r="F255" s="6">
        <v>45470</v>
      </c>
      <c r="G255">
        <v>8</v>
      </c>
      <c r="H255" t="s">
        <v>40</v>
      </c>
      <c r="I255">
        <v>5</v>
      </c>
      <c r="J255" t="s">
        <v>24</v>
      </c>
      <c r="K255">
        <v>46101</v>
      </c>
      <c r="L255" t="s">
        <v>25</v>
      </c>
      <c r="M255" t="s">
        <v>26</v>
      </c>
      <c r="N255" t="s">
        <v>41</v>
      </c>
      <c r="O255" s="2">
        <v>45459</v>
      </c>
      <c r="P255" s="2">
        <v>45460.833333333336</v>
      </c>
      <c r="Q255" s="38">
        <f t="shared" si="3"/>
        <v>1.8333333333357587</v>
      </c>
      <c r="R255" t="s">
        <v>37</v>
      </c>
      <c r="S255" t="s">
        <v>29</v>
      </c>
      <c r="T255" t="s">
        <v>47</v>
      </c>
      <c r="U255">
        <v>10</v>
      </c>
      <c r="V255">
        <v>10</v>
      </c>
      <c r="W255" s="18">
        <f>IFERROR(Table1[[#This Row],[Staff Hours Worked]]/Table1[[#This Row],[Staff Available Hours]],0)</f>
        <v>1</v>
      </c>
      <c r="X255" t="s">
        <v>48</v>
      </c>
    </row>
    <row r="256" spans="1:24">
      <c r="A256" t="s">
        <v>313</v>
      </c>
      <c r="B256">
        <v>2</v>
      </c>
      <c r="C256" t="str" cm="1">
        <f t="array" ref="C256">_xlfn.IFS(B256&lt;=18,"0-18",B256&lt;=35,"19-35",B256&lt;=50,"36-50",B256&lt;=65,"51-65","True","65+")</f>
        <v>0-18</v>
      </c>
      <c r="D256" t="s">
        <v>22</v>
      </c>
      <c r="E256" s="6">
        <v>45250</v>
      </c>
      <c r="F256" s="6">
        <v>45254</v>
      </c>
      <c r="G256">
        <v>4</v>
      </c>
      <c r="H256" t="s">
        <v>34</v>
      </c>
      <c r="I256">
        <v>1</v>
      </c>
      <c r="J256" t="s">
        <v>35</v>
      </c>
      <c r="K256">
        <v>22276</v>
      </c>
      <c r="L256" t="s">
        <v>60</v>
      </c>
      <c r="M256" t="s">
        <v>54</v>
      </c>
      <c r="N256" t="s">
        <v>27</v>
      </c>
      <c r="O256" s="2">
        <v>45250</v>
      </c>
      <c r="P256" s="2">
        <v>45251.583333333336</v>
      </c>
      <c r="Q256" s="38">
        <f t="shared" si="3"/>
        <v>1.5833333333357587</v>
      </c>
      <c r="R256" t="s">
        <v>64</v>
      </c>
      <c r="S256" t="s">
        <v>29</v>
      </c>
      <c r="T256" t="s">
        <v>47</v>
      </c>
      <c r="U256">
        <v>6</v>
      </c>
      <c r="V256">
        <v>8</v>
      </c>
      <c r="W256" s="18">
        <f>IFERROR(Table1[[#This Row],[Staff Hours Worked]]/Table1[[#This Row],[Staff Available Hours]],0)</f>
        <v>0.75</v>
      </c>
      <c r="X256" t="s">
        <v>31</v>
      </c>
    </row>
    <row r="257" spans="1:24">
      <c r="A257" t="s">
        <v>314</v>
      </c>
      <c r="B257">
        <v>1</v>
      </c>
      <c r="C257" t="str" cm="1">
        <f t="array" ref="C257">_xlfn.IFS(B257&lt;=18,"0-18",B257&lt;=35,"19-35",B257&lt;=50,"36-50",B257&lt;=65,"51-65","True","65+")</f>
        <v>0-18</v>
      </c>
      <c r="D257" t="s">
        <v>52</v>
      </c>
      <c r="E257" s="6">
        <v>45194</v>
      </c>
      <c r="F257" s="6">
        <v>45179</v>
      </c>
      <c r="G257">
        <v>14</v>
      </c>
      <c r="H257" t="s">
        <v>34</v>
      </c>
      <c r="I257">
        <v>4</v>
      </c>
      <c r="J257" t="s">
        <v>46</v>
      </c>
      <c r="K257">
        <v>12310</v>
      </c>
      <c r="L257" t="s">
        <v>53</v>
      </c>
      <c r="M257" t="s">
        <v>26</v>
      </c>
      <c r="N257" t="s">
        <v>27</v>
      </c>
      <c r="O257" s="2">
        <v>45190</v>
      </c>
      <c r="P257" s="2">
        <v>45191.875</v>
      </c>
      <c r="Q257" s="38">
        <f t="shared" si="3"/>
        <v>1.875</v>
      </c>
      <c r="R257" t="s">
        <v>42</v>
      </c>
      <c r="S257" t="s">
        <v>29</v>
      </c>
      <c r="T257" t="s">
        <v>47</v>
      </c>
      <c r="U257">
        <v>10</v>
      </c>
      <c r="V257">
        <v>10</v>
      </c>
      <c r="W257" s="18">
        <f>IFERROR(Table1[[#This Row],[Staff Hours Worked]]/Table1[[#This Row],[Staff Available Hours]],0)</f>
        <v>1</v>
      </c>
      <c r="X257" t="s">
        <v>31</v>
      </c>
    </row>
    <row r="258" spans="1:24">
      <c r="A258" t="s">
        <v>315</v>
      </c>
      <c r="B258">
        <v>48</v>
      </c>
      <c r="C258" t="str" cm="1">
        <f t="array" ref="C258">_xlfn.IFS(B258&lt;=18,"0-18",B258&lt;=35,"19-35",B258&lt;=50,"36-50",B258&lt;=65,"51-65","True","65+")</f>
        <v>36-50</v>
      </c>
      <c r="D258" t="s">
        <v>22</v>
      </c>
      <c r="E258" s="6">
        <v>45136</v>
      </c>
      <c r="F258" s="6">
        <v>45138</v>
      </c>
      <c r="G258">
        <v>2</v>
      </c>
      <c r="H258" t="s">
        <v>40</v>
      </c>
      <c r="I258">
        <v>1</v>
      </c>
      <c r="J258" t="s">
        <v>71</v>
      </c>
      <c r="K258">
        <v>40167</v>
      </c>
      <c r="L258" t="s">
        <v>67</v>
      </c>
      <c r="M258" t="s">
        <v>26</v>
      </c>
      <c r="N258" t="s">
        <v>27</v>
      </c>
      <c r="O258" s="2">
        <v>45132</v>
      </c>
      <c r="P258" s="2">
        <v>45133.375</v>
      </c>
      <c r="Q258" s="38">
        <f t="shared" ref="Q258:Q321" si="4">IF(OR(O258="",P258=""),"",ABS(P258-O258))</f>
        <v>1.375</v>
      </c>
      <c r="R258" t="s">
        <v>28</v>
      </c>
      <c r="S258" t="s">
        <v>38</v>
      </c>
      <c r="T258" t="s">
        <v>43</v>
      </c>
      <c r="U258">
        <v>6</v>
      </c>
      <c r="V258">
        <v>8</v>
      </c>
      <c r="W258" s="18">
        <f>IFERROR(Table1[[#This Row],[Staff Hours Worked]]/Table1[[#This Row],[Staff Available Hours]],0)</f>
        <v>0.75</v>
      </c>
      <c r="X258" t="s">
        <v>68</v>
      </c>
    </row>
    <row r="259" spans="1:24">
      <c r="A259" t="s">
        <v>316</v>
      </c>
      <c r="B259">
        <v>12</v>
      </c>
      <c r="C259" t="str" cm="1">
        <f t="array" ref="C259">_xlfn.IFS(B259&lt;=18,"0-18",B259&lt;=35,"19-35",B259&lt;=50,"36-50",B259&lt;=65,"51-65","True","65+")</f>
        <v>0-18</v>
      </c>
      <c r="D259" t="s">
        <v>62</v>
      </c>
      <c r="E259" s="6">
        <v>45248</v>
      </c>
      <c r="F259" s="6">
        <v>45254</v>
      </c>
      <c r="G259">
        <v>6</v>
      </c>
      <c r="H259" t="s">
        <v>63</v>
      </c>
      <c r="I259">
        <v>2</v>
      </c>
      <c r="J259" t="s">
        <v>71</v>
      </c>
      <c r="K259">
        <v>42408</v>
      </c>
      <c r="L259" t="s">
        <v>67</v>
      </c>
      <c r="M259" t="s">
        <v>54</v>
      </c>
      <c r="N259" t="s">
        <v>27</v>
      </c>
      <c r="O259" s="2">
        <v>45247</v>
      </c>
      <c r="P259" s="2">
        <v>45247.416666666664</v>
      </c>
      <c r="Q259" s="38">
        <f t="shared" si="4"/>
        <v>0.41666666666424135</v>
      </c>
      <c r="R259" t="s">
        <v>42</v>
      </c>
      <c r="S259" t="s">
        <v>29</v>
      </c>
      <c r="T259" t="s">
        <v>47</v>
      </c>
      <c r="U259">
        <v>11</v>
      </c>
      <c r="V259">
        <v>8</v>
      </c>
      <c r="W259" s="18">
        <f>IFERROR(Table1[[#This Row],[Staff Hours Worked]]/Table1[[#This Row],[Staff Available Hours]],0)</f>
        <v>1.375</v>
      </c>
      <c r="X259" t="s">
        <v>48</v>
      </c>
    </row>
    <row r="260" spans="1:24">
      <c r="A260" t="s">
        <v>317</v>
      </c>
      <c r="B260">
        <v>69</v>
      </c>
      <c r="C260" t="str" cm="1">
        <f t="array" ref="C260">_xlfn.IFS(B260&lt;=18,"0-18",B260&lt;=35,"19-35",B260&lt;=50,"36-50",B260&lt;=65,"51-65","True","65+")</f>
        <v>65+</v>
      </c>
      <c r="D260" t="s">
        <v>33</v>
      </c>
      <c r="E260" s="6">
        <v>44966</v>
      </c>
      <c r="F260" s="6">
        <v>45185</v>
      </c>
      <c r="G260">
        <v>14</v>
      </c>
      <c r="H260" t="s">
        <v>63</v>
      </c>
      <c r="I260">
        <v>5</v>
      </c>
      <c r="J260" t="s">
        <v>35</v>
      </c>
      <c r="K260">
        <v>24344</v>
      </c>
      <c r="L260" t="s">
        <v>53</v>
      </c>
      <c r="M260" t="s">
        <v>54</v>
      </c>
      <c r="N260" t="s">
        <v>27</v>
      </c>
      <c r="O260" s="2">
        <v>45169</v>
      </c>
      <c r="P260" s="2">
        <v>45169.958333333336</v>
      </c>
      <c r="Q260" s="38">
        <f t="shared" si="4"/>
        <v>0.95833333333575865</v>
      </c>
      <c r="R260" t="s">
        <v>64</v>
      </c>
      <c r="S260" t="s">
        <v>38</v>
      </c>
      <c r="T260" t="s">
        <v>47</v>
      </c>
      <c r="U260">
        <v>7</v>
      </c>
      <c r="V260">
        <v>10</v>
      </c>
      <c r="W260" s="18">
        <f>IFERROR(Table1[[#This Row],[Staff Hours Worked]]/Table1[[#This Row],[Staff Available Hours]],0)</f>
        <v>0.7</v>
      </c>
      <c r="X260" t="s">
        <v>31</v>
      </c>
    </row>
    <row r="261" spans="1:24">
      <c r="A261" t="s">
        <v>318</v>
      </c>
      <c r="B261">
        <v>37</v>
      </c>
      <c r="C261" t="str" cm="1">
        <f t="array" ref="C261">_xlfn.IFS(B261&lt;=18,"0-18",B261&lt;=35,"19-35",B261&lt;=50,"36-50",B261&lt;=65,"51-65","True","65+")</f>
        <v>36-50</v>
      </c>
      <c r="D261" t="s">
        <v>45</v>
      </c>
      <c r="E261" s="6">
        <v>45198</v>
      </c>
      <c r="F261" s="6">
        <v>45148</v>
      </c>
      <c r="G261">
        <v>9</v>
      </c>
      <c r="H261" t="s">
        <v>50</v>
      </c>
      <c r="I261">
        <v>2</v>
      </c>
      <c r="J261" t="s">
        <v>66</v>
      </c>
      <c r="K261">
        <v>15391</v>
      </c>
      <c r="L261" t="s">
        <v>60</v>
      </c>
      <c r="M261" t="s">
        <v>54</v>
      </c>
      <c r="N261" t="s">
        <v>27</v>
      </c>
      <c r="O261" s="2">
        <v>45194</v>
      </c>
      <c r="P261" s="2">
        <v>45194.083333333336</v>
      </c>
      <c r="Q261" s="38">
        <f t="shared" si="4"/>
        <v>8.3333333335758653E-2</v>
      </c>
      <c r="R261" t="s">
        <v>55</v>
      </c>
      <c r="S261" t="s">
        <v>29</v>
      </c>
      <c r="T261" t="s">
        <v>30</v>
      </c>
      <c r="U261">
        <v>9</v>
      </c>
      <c r="V261">
        <v>12</v>
      </c>
      <c r="W261" s="18">
        <f>IFERROR(Table1[[#This Row],[Staff Hours Worked]]/Table1[[#This Row],[Staff Available Hours]],0)</f>
        <v>0.75</v>
      </c>
      <c r="X261" t="s">
        <v>68</v>
      </c>
    </row>
    <row r="262" spans="1:24">
      <c r="A262" t="s">
        <v>319</v>
      </c>
      <c r="B262">
        <v>32</v>
      </c>
      <c r="C262" t="str" cm="1">
        <f t="array" ref="C262">_xlfn.IFS(B262&lt;=18,"0-18",B262&lt;=35,"19-35",B262&lt;=50,"36-50",B262&lt;=65,"51-65","True","65+")</f>
        <v>19-35</v>
      </c>
      <c r="D262" t="s">
        <v>22</v>
      </c>
      <c r="E262" s="6">
        <v>45567</v>
      </c>
      <c r="F262" s="6">
        <v>45338</v>
      </c>
      <c r="G262">
        <v>6</v>
      </c>
      <c r="H262" t="s">
        <v>50</v>
      </c>
      <c r="I262">
        <v>5</v>
      </c>
      <c r="J262" t="s">
        <v>24</v>
      </c>
      <c r="K262">
        <v>15892</v>
      </c>
      <c r="L262" t="s">
        <v>67</v>
      </c>
      <c r="M262" t="s">
        <v>54</v>
      </c>
      <c r="N262" t="s">
        <v>27</v>
      </c>
      <c r="O262" s="2">
        <v>45506</v>
      </c>
      <c r="P262" s="2">
        <v>45537.291666666664</v>
      </c>
      <c r="Q262" s="38">
        <f t="shared" si="4"/>
        <v>31.291666666664241</v>
      </c>
      <c r="R262" t="s">
        <v>42</v>
      </c>
      <c r="S262" t="s">
        <v>29</v>
      </c>
      <c r="T262" t="s">
        <v>30</v>
      </c>
      <c r="U262">
        <v>11</v>
      </c>
      <c r="V262">
        <v>12</v>
      </c>
      <c r="W262" s="18">
        <f>IFERROR(Table1[[#This Row],[Staff Hours Worked]]/Table1[[#This Row],[Staff Available Hours]],0)</f>
        <v>0.91666666666666663</v>
      </c>
      <c r="X262" t="s">
        <v>68</v>
      </c>
    </row>
    <row r="263" spans="1:24">
      <c r="A263" t="s">
        <v>320</v>
      </c>
      <c r="B263">
        <v>9</v>
      </c>
      <c r="C263" t="str" cm="1">
        <f t="array" ref="C263">_xlfn.IFS(B263&lt;=18,"0-18",B263&lt;=35,"19-35",B263&lt;=50,"36-50",B263&lt;=65,"51-65","True","65+")</f>
        <v>0-18</v>
      </c>
      <c r="D263" t="s">
        <v>62</v>
      </c>
      <c r="E263" s="6">
        <v>45061</v>
      </c>
      <c r="F263" s="6">
        <v>45063</v>
      </c>
      <c r="G263">
        <v>2</v>
      </c>
      <c r="H263" t="s">
        <v>63</v>
      </c>
      <c r="I263">
        <v>5</v>
      </c>
      <c r="J263" t="s">
        <v>71</v>
      </c>
      <c r="K263">
        <v>16197</v>
      </c>
      <c r="L263" t="s">
        <v>60</v>
      </c>
      <c r="M263" t="s">
        <v>26</v>
      </c>
      <c r="N263" t="s">
        <v>27</v>
      </c>
      <c r="O263" s="2">
        <v>45061</v>
      </c>
      <c r="P263" s="2">
        <v>45061.291666666664</v>
      </c>
      <c r="Q263" s="38">
        <f t="shared" si="4"/>
        <v>0.29166666666424135</v>
      </c>
      <c r="R263" t="s">
        <v>55</v>
      </c>
      <c r="S263" t="s">
        <v>29</v>
      </c>
      <c r="T263" t="s">
        <v>30</v>
      </c>
      <c r="U263">
        <v>8</v>
      </c>
      <c r="V263">
        <v>10</v>
      </c>
      <c r="W263" s="18">
        <f>IFERROR(Table1[[#This Row],[Staff Hours Worked]]/Table1[[#This Row],[Staff Available Hours]],0)</f>
        <v>0.8</v>
      </c>
      <c r="X263" t="s">
        <v>31</v>
      </c>
    </row>
    <row r="264" spans="1:24">
      <c r="A264" t="s">
        <v>321</v>
      </c>
      <c r="B264">
        <v>19</v>
      </c>
      <c r="C264" t="str" cm="1">
        <f t="array" ref="C264">_xlfn.IFS(B264&lt;=18,"0-18",B264&lt;=35,"19-35",B264&lt;=50,"36-50",B264&lt;=65,"51-65","True","65+")</f>
        <v>19-35</v>
      </c>
      <c r="D264" t="s">
        <v>45</v>
      </c>
      <c r="E264" s="6">
        <v>45027</v>
      </c>
      <c r="F264" s="6">
        <v>45247</v>
      </c>
      <c r="G264">
        <v>13</v>
      </c>
      <c r="H264" t="s">
        <v>23</v>
      </c>
      <c r="I264">
        <v>3</v>
      </c>
      <c r="J264" t="s">
        <v>46</v>
      </c>
      <c r="K264">
        <v>18050</v>
      </c>
      <c r="L264" t="s">
        <v>60</v>
      </c>
      <c r="M264" t="s">
        <v>54</v>
      </c>
      <c r="N264" t="s">
        <v>27</v>
      </c>
      <c r="O264" s="2">
        <v>44937</v>
      </c>
      <c r="P264" s="2">
        <v>44937.791666666664</v>
      </c>
      <c r="Q264" s="38">
        <f t="shared" si="4"/>
        <v>0.79166666666424135</v>
      </c>
      <c r="R264" t="s">
        <v>55</v>
      </c>
      <c r="S264" t="s">
        <v>29</v>
      </c>
      <c r="T264" t="s">
        <v>30</v>
      </c>
      <c r="U264">
        <v>9</v>
      </c>
      <c r="V264">
        <v>10</v>
      </c>
      <c r="W264" s="18">
        <f>IFERROR(Table1[[#This Row],[Staff Hours Worked]]/Table1[[#This Row],[Staff Available Hours]],0)</f>
        <v>0.9</v>
      </c>
      <c r="X264" t="s">
        <v>31</v>
      </c>
    </row>
    <row r="265" spans="1:24">
      <c r="A265" t="s">
        <v>322</v>
      </c>
      <c r="B265">
        <v>48</v>
      </c>
      <c r="C265" t="str" cm="1">
        <f t="array" ref="C265">_xlfn.IFS(B265&lt;=18,"0-18",B265&lt;=35,"19-35",B265&lt;=50,"36-50",B265&lt;=65,"51-65","True","65+")</f>
        <v>36-50</v>
      </c>
      <c r="D265" t="s">
        <v>45</v>
      </c>
      <c r="E265" s="6">
        <v>45395</v>
      </c>
      <c r="F265" s="6">
        <v>45400</v>
      </c>
      <c r="G265">
        <v>5</v>
      </c>
      <c r="H265" t="s">
        <v>57</v>
      </c>
      <c r="I265">
        <v>2</v>
      </c>
      <c r="J265" t="s">
        <v>46</v>
      </c>
      <c r="K265">
        <v>41142</v>
      </c>
      <c r="L265" t="s">
        <v>25</v>
      </c>
      <c r="M265" t="s">
        <v>54</v>
      </c>
      <c r="N265" t="s">
        <v>41</v>
      </c>
      <c r="O265" s="2">
        <v>45539</v>
      </c>
      <c r="P265" s="2">
        <v>45569.125</v>
      </c>
      <c r="Q265" s="38">
        <f t="shared" si="4"/>
        <v>30.125</v>
      </c>
      <c r="R265" t="s">
        <v>64</v>
      </c>
      <c r="S265" t="s">
        <v>29</v>
      </c>
      <c r="T265" t="s">
        <v>47</v>
      </c>
      <c r="U265">
        <v>6</v>
      </c>
      <c r="V265">
        <v>12</v>
      </c>
      <c r="W265" s="18">
        <f>IFERROR(Table1[[#This Row],[Staff Hours Worked]]/Table1[[#This Row],[Staff Available Hours]],0)</f>
        <v>0.5</v>
      </c>
      <c r="X265" t="s">
        <v>48</v>
      </c>
    </row>
    <row r="266" spans="1:24">
      <c r="A266" t="s">
        <v>323</v>
      </c>
      <c r="B266">
        <v>80</v>
      </c>
      <c r="C266" t="str" cm="1">
        <f t="array" ref="C266">_xlfn.IFS(B266&lt;=18,"0-18",B266&lt;=35,"19-35",B266&lt;=50,"36-50",B266&lt;=65,"51-65","True","65+")</f>
        <v>65+</v>
      </c>
      <c r="D266" t="s">
        <v>22</v>
      </c>
      <c r="E266" s="6">
        <v>45250</v>
      </c>
      <c r="F266" s="6">
        <v>45260</v>
      </c>
      <c r="G266">
        <v>10</v>
      </c>
      <c r="H266" t="s">
        <v>34</v>
      </c>
      <c r="I266">
        <v>2</v>
      </c>
      <c r="J266" t="s">
        <v>66</v>
      </c>
      <c r="K266">
        <v>46615</v>
      </c>
      <c r="L266" t="s">
        <v>53</v>
      </c>
      <c r="M266" t="s">
        <v>26</v>
      </c>
      <c r="N266" t="s">
        <v>27</v>
      </c>
      <c r="O266" s="2">
        <v>45247</v>
      </c>
      <c r="P266" s="2">
        <v>45247.25</v>
      </c>
      <c r="Q266" s="38">
        <f t="shared" si="4"/>
        <v>0.25</v>
      </c>
      <c r="R266" t="s">
        <v>64</v>
      </c>
      <c r="S266" t="s">
        <v>29</v>
      </c>
      <c r="T266" t="s">
        <v>30</v>
      </c>
      <c r="U266">
        <v>10</v>
      </c>
      <c r="V266">
        <v>12</v>
      </c>
      <c r="W266" s="18">
        <f>IFERROR(Table1[[#This Row],[Staff Hours Worked]]/Table1[[#This Row],[Staff Available Hours]],0)</f>
        <v>0.83333333333333337</v>
      </c>
      <c r="X266" t="s">
        <v>68</v>
      </c>
    </row>
    <row r="267" spans="1:24">
      <c r="A267" t="s">
        <v>324</v>
      </c>
      <c r="B267">
        <v>3</v>
      </c>
      <c r="C267" t="str" cm="1">
        <f t="array" ref="C267">_xlfn.IFS(B267&lt;=18,"0-18",B267&lt;=35,"19-35",B267&lt;=50,"36-50",B267&lt;=65,"51-65","True","65+")</f>
        <v>0-18</v>
      </c>
      <c r="D267" t="s">
        <v>52</v>
      </c>
      <c r="E267" s="6">
        <v>45001</v>
      </c>
      <c r="F267" s="6">
        <v>45005</v>
      </c>
      <c r="G267">
        <v>4</v>
      </c>
      <c r="H267" t="s">
        <v>57</v>
      </c>
      <c r="I267">
        <v>3</v>
      </c>
      <c r="J267" t="s">
        <v>71</v>
      </c>
      <c r="K267">
        <v>48728</v>
      </c>
      <c r="L267" t="s">
        <v>60</v>
      </c>
      <c r="M267" t="s">
        <v>26</v>
      </c>
      <c r="N267" t="s">
        <v>27</v>
      </c>
      <c r="O267" s="2">
        <v>45263</v>
      </c>
      <c r="P267" s="2">
        <v>45263.333333333336</v>
      </c>
      <c r="Q267" s="38">
        <f t="shared" si="4"/>
        <v>0.33333333333575865</v>
      </c>
      <c r="R267" t="s">
        <v>28</v>
      </c>
      <c r="S267" t="s">
        <v>29</v>
      </c>
      <c r="T267" t="s">
        <v>43</v>
      </c>
      <c r="U267">
        <v>7</v>
      </c>
      <c r="V267">
        <v>12</v>
      </c>
      <c r="W267" s="18">
        <f>IFERROR(Table1[[#This Row],[Staff Hours Worked]]/Table1[[#This Row],[Staff Available Hours]],0)</f>
        <v>0.58333333333333337</v>
      </c>
      <c r="X267" t="s">
        <v>31</v>
      </c>
    </row>
    <row r="268" spans="1:24">
      <c r="A268" t="s">
        <v>325</v>
      </c>
      <c r="B268">
        <v>20</v>
      </c>
      <c r="C268" t="str" cm="1">
        <f t="array" ref="C268">_xlfn.IFS(B268&lt;=18,"0-18",B268&lt;=35,"19-35",B268&lt;=50,"36-50",B268&lt;=65,"51-65","True","65+")</f>
        <v>19-35</v>
      </c>
      <c r="D268" t="s">
        <v>22</v>
      </c>
      <c r="E268" s="6">
        <v>45200</v>
      </c>
      <c r="F268" s="6">
        <v>44949</v>
      </c>
      <c r="G268">
        <v>13</v>
      </c>
      <c r="H268" t="s">
        <v>34</v>
      </c>
      <c r="I268">
        <v>4</v>
      </c>
      <c r="J268" t="s">
        <v>35</v>
      </c>
      <c r="K268">
        <v>18535</v>
      </c>
      <c r="L268" t="s">
        <v>36</v>
      </c>
      <c r="M268" t="s">
        <v>54</v>
      </c>
      <c r="N268" t="s">
        <v>27</v>
      </c>
      <c r="O268" s="2">
        <v>45139</v>
      </c>
      <c r="P268" s="2">
        <v>45170.958333333336</v>
      </c>
      <c r="Q268" s="38">
        <f t="shared" si="4"/>
        <v>31.958333333335759</v>
      </c>
      <c r="R268" t="s">
        <v>37</v>
      </c>
      <c r="S268" t="s">
        <v>29</v>
      </c>
      <c r="T268" t="s">
        <v>47</v>
      </c>
      <c r="U268">
        <v>9</v>
      </c>
      <c r="V268">
        <v>10</v>
      </c>
      <c r="W268" s="18">
        <f>IFERROR(Table1[[#This Row],[Staff Hours Worked]]/Table1[[#This Row],[Staff Available Hours]],0)</f>
        <v>0.9</v>
      </c>
      <c r="X268" t="s">
        <v>68</v>
      </c>
    </row>
    <row r="269" spans="1:24">
      <c r="A269" t="s">
        <v>326</v>
      </c>
      <c r="B269">
        <v>24</v>
      </c>
      <c r="C269" t="str" cm="1">
        <f t="array" ref="C269">_xlfn.IFS(B269&lt;=18,"0-18",B269&lt;=35,"19-35",B269&lt;=50,"36-50",B269&lt;=65,"51-65","True","65+")</f>
        <v>19-35</v>
      </c>
      <c r="D269" t="s">
        <v>62</v>
      </c>
      <c r="E269" s="6">
        <v>45396</v>
      </c>
      <c r="F269" s="6">
        <v>45403</v>
      </c>
      <c r="G269">
        <v>7</v>
      </c>
      <c r="H269" t="s">
        <v>63</v>
      </c>
      <c r="I269">
        <v>2</v>
      </c>
      <c r="J269" t="s">
        <v>46</v>
      </c>
      <c r="K269">
        <v>46002</v>
      </c>
      <c r="L269" t="s">
        <v>53</v>
      </c>
      <c r="M269" t="s">
        <v>54</v>
      </c>
      <c r="N269" t="s">
        <v>41</v>
      </c>
      <c r="O269" s="2">
        <v>45569</v>
      </c>
      <c r="P269" s="2">
        <v>45569.416666666664</v>
      </c>
      <c r="Q269" s="38">
        <f t="shared" si="4"/>
        <v>0.41666666666424135</v>
      </c>
      <c r="R269" t="s">
        <v>42</v>
      </c>
      <c r="S269" t="s">
        <v>29</v>
      </c>
      <c r="T269" t="s">
        <v>30</v>
      </c>
      <c r="U269">
        <v>11</v>
      </c>
      <c r="V269">
        <v>8</v>
      </c>
      <c r="W269" s="18">
        <f>IFERROR(Table1[[#This Row],[Staff Hours Worked]]/Table1[[#This Row],[Staff Available Hours]],0)</f>
        <v>1.375</v>
      </c>
      <c r="X269" t="s">
        <v>48</v>
      </c>
    </row>
    <row r="270" spans="1:24">
      <c r="A270" t="s">
        <v>327</v>
      </c>
      <c r="B270">
        <v>54</v>
      </c>
      <c r="C270" t="str" cm="1">
        <f t="array" ref="C270">_xlfn.IFS(B270&lt;=18,"0-18",B270&lt;=35,"19-35",B270&lt;=50,"36-50",B270&lt;=65,"51-65","True","65+")</f>
        <v>51-65</v>
      </c>
      <c r="D270" t="s">
        <v>45</v>
      </c>
      <c r="E270" s="6">
        <v>45029</v>
      </c>
      <c r="F270" s="6">
        <v>45043</v>
      </c>
      <c r="G270">
        <v>14</v>
      </c>
      <c r="H270" t="s">
        <v>50</v>
      </c>
      <c r="I270">
        <v>1</v>
      </c>
      <c r="J270" t="s">
        <v>66</v>
      </c>
      <c r="K270">
        <v>48271</v>
      </c>
      <c r="L270" t="s">
        <v>67</v>
      </c>
      <c r="M270" t="s">
        <v>26</v>
      </c>
      <c r="N270" t="s">
        <v>27</v>
      </c>
      <c r="O270" s="2">
        <v>45142</v>
      </c>
      <c r="P270" s="2">
        <v>45142.958333333336</v>
      </c>
      <c r="Q270" s="38">
        <f t="shared" si="4"/>
        <v>0.95833333333575865</v>
      </c>
      <c r="R270" t="s">
        <v>64</v>
      </c>
      <c r="S270" t="s">
        <v>29</v>
      </c>
      <c r="T270" t="s">
        <v>47</v>
      </c>
      <c r="U270">
        <v>7</v>
      </c>
      <c r="V270">
        <v>10</v>
      </c>
      <c r="W270" s="18">
        <f>IFERROR(Table1[[#This Row],[Staff Hours Worked]]/Table1[[#This Row],[Staff Available Hours]],0)</f>
        <v>0.7</v>
      </c>
      <c r="X270" t="s">
        <v>31</v>
      </c>
    </row>
    <row r="271" spans="1:24">
      <c r="A271" t="s">
        <v>328</v>
      </c>
      <c r="B271">
        <v>33</v>
      </c>
      <c r="C271" t="str" cm="1">
        <f t="array" ref="C271">_xlfn.IFS(B271&lt;=18,"0-18",B271&lt;=35,"19-35",B271&lt;=50,"36-50",B271&lt;=65,"51-65","True","65+")</f>
        <v>19-35</v>
      </c>
      <c r="D271" t="s">
        <v>22</v>
      </c>
      <c r="E271" s="6">
        <v>45002</v>
      </c>
      <c r="F271" s="6">
        <v>45011</v>
      </c>
      <c r="G271">
        <v>9</v>
      </c>
      <c r="H271" t="s">
        <v>23</v>
      </c>
      <c r="I271">
        <v>3</v>
      </c>
      <c r="J271" t="s">
        <v>71</v>
      </c>
      <c r="K271">
        <v>10122</v>
      </c>
      <c r="L271" t="s">
        <v>25</v>
      </c>
      <c r="M271" t="s">
        <v>26</v>
      </c>
      <c r="N271" t="s">
        <v>27</v>
      </c>
      <c r="O271" s="2">
        <v>44998</v>
      </c>
      <c r="P271" s="2">
        <v>44998.833333333336</v>
      </c>
      <c r="Q271" s="38">
        <f t="shared" si="4"/>
        <v>0.83333333333575865</v>
      </c>
      <c r="R271" t="s">
        <v>42</v>
      </c>
      <c r="S271" t="s">
        <v>29</v>
      </c>
      <c r="T271" t="s">
        <v>30</v>
      </c>
      <c r="U271">
        <v>11</v>
      </c>
      <c r="V271">
        <v>12</v>
      </c>
      <c r="W271" s="18">
        <f>IFERROR(Table1[[#This Row],[Staff Hours Worked]]/Table1[[#This Row],[Staff Available Hours]],0)</f>
        <v>0.91666666666666663</v>
      </c>
      <c r="X271" t="s">
        <v>48</v>
      </c>
    </row>
    <row r="272" spans="1:24">
      <c r="A272" t="s">
        <v>329</v>
      </c>
      <c r="B272">
        <v>24</v>
      </c>
      <c r="C272" t="str" cm="1">
        <f t="array" ref="C272">_xlfn.IFS(B272&lt;=18,"0-18",B272&lt;=35,"19-35",B272&lt;=50,"36-50",B272&lt;=65,"51-65","True","65+")</f>
        <v>19-35</v>
      </c>
      <c r="D272" t="s">
        <v>52</v>
      </c>
      <c r="E272" s="6">
        <v>45115</v>
      </c>
      <c r="F272" s="6">
        <v>45158</v>
      </c>
      <c r="G272">
        <v>13</v>
      </c>
      <c r="H272" t="s">
        <v>50</v>
      </c>
      <c r="I272">
        <v>2</v>
      </c>
      <c r="J272" t="s">
        <v>71</v>
      </c>
      <c r="K272">
        <v>14852</v>
      </c>
      <c r="L272" t="s">
        <v>67</v>
      </c>
      <c r="M272" t="s">
        <v>54</v>
      </c>
      <c r="N272" t="s">
        <v>27</v>
      </c>
      <c r="O272" s="2">
        <v>45115</v>
      </c>
      <c r="P272" s="2">
        <v>45115.916666666664</v>
      </c>
      <c r="Q272" s="38">
        <f t="shared" si="4"/>
        <v>0.91666666666424135</v>
      </c>
      <c r="R272" t="s">
        <v>55</v>
      </c>
      <c r="S272" t="s">
        <v>29</v>
      </c>
      <c r="T272" t="s">
        <v>47</v>
      </c>
      <c r="U272">
        <v>9</v>
      </c>
      <c r="V272">
        <v>8</v>
      </c>
      <c r="W272" s="18">
        <f>IFERROR(Table1[[#This Row],[Staff Hours Worked]]/Table1[[#This Row],[Staff Available Hours]],0)</f>
        <v>1.125</v>
      </c>
      <c r="X272" t="s">
        <v>68</v>
      </c>
    </row>
    <row r="273" spans="1:24">
      <c r="A273" t="s">
        <v>330</v>
      </c>
      <c r="B273">
        <v>75</v>
      </c>
      <c r="C273" t="str" cm="1">
        <f t="array" ref="C273">_xlfn.IFS(B273&lt;=18,"0-18",B273&lt;=35,"19-35",B273&lt;=50,"36-50",B273&lt;=65,"51-65","True","65+")</f>
        <v>65+</v>
      </c>
      <c r="D273" t="s">
        <v>22</v>
      </c>
      <c r="E273" s="6">
        <v>45328</v>
      </c>
      <c r="F273" s="6">
        <v>45459</v>
      </c>
      <c r="G273">
        <v>14</v>
      </c>
      <c r="H273" t="s">
        <v>57</v>
      </c>
      <c r="I273">
        <v>4</v>
      </c>
      <c r="J273" t="s">
        <v>71</v>
      </c>
      <c r="K273">
        <v>10387</v>
      </c>
      <c r="L273" t="s">
        <v>67</v>
      </c>
      <c r="M273" t="s">
        <v>54</v>
      </c>
      <c r="N273" t="s">
        <v>27</v>
      </c>
      <c r="O273" s="2">
        <v>45297</v>
      </c>
      <c r="P273" s="2">
        <v>45328.25</v>
      </c>
      <c r="Q273" s="38">
        <f t="shared" si="4"/>
        <v>31.25</v>
      </c>
      <c r="R273" t="s">
        <v>37</v>
      </c>
      <c r="S273" t="s">
        <v>29</v>
      </c>
      <c r="T273" t="s">
        <v>30</v>
      </c>
      <c r="U273">
        <v>10</v>
      </c>
      <c r="V273">
        <v>10</v>
      </c>
      <c r="W273" s="18">
        <f>IFERROR(Table1[[#This Row],[Staff Hours Worked]]/Table1[[#This Row],[Staff Available Hours]],0)</f>
        <v>1</v>
      </c>
      <c r="X273" t="s">
        <v>48</v>
      </c>
    </row>
    <row r="274" spans="1:24">
      <c r="A274" t="s">
        <v>331</v>
      </c>
      <c r="B274">
        <v>72</v>
      </c>
      <c r="C274" t="str" cm="1">
        <f t="array" ref="C274">_xlfn.IFS(B274&lt;=18,"0-18",B274&lt;=35,"19-35",B274&lt;=50,"36-50",B274&lt;=65,"51-65","True","65+")</f>
        <v>65+</v>
      </c>
      <c r="D274" t="s">
        <v>33</v>
      </c>
      <c r="E274" s="6">
        <v>45198</v>
      </c>
      <c r="F274" s="6">
        <v>45179</v>
      </c>
      <c r="G274">
        <v>10</v>
      </c>
      <c r="H274" t="s">
        <v>50</v>
      </c>
      <c r="I274">
        <v>2</v>
      </c>
      <c r="J274" t="s">
        <v>71</v>
      </c>
      <c r="K274">
        <v>36759</v>
      </c>
      <c r="L274" t="s">
        <v>53</v>
      </c>
      <c r="M274" t="s">
        <v>54</v>
      </c>
      <c r="N274" t="s">
        <v>27</v>
      </c>
      <c r="O274" s="2">
        <v>45198</v>
      </c>
      <c r="P274" s="2">
        <v>45198.583333333336</v>
      </c>
      <c r="Q274" s="38">
        <f t="shared" si="4"/>
        <v>0.58333333333575865</v>
      </c>
      <c r="R274" t="s">
        <v>28</v>
      </c>
      <c r="S274" t="s">
        <v>29</v>
      </c>
      <c r="T274" t="s">
        <v>43</v>
      </c>
      <c r="U274">
        <v>4</v>
      </c>
      <c r="V274">
        <v>12</v>
      </c>
      <c r="W274" s="18">
        <f>IFERROR(Table1[[#This Row],[Staff Hours Worked]]/Table1[[#This Row],[Staff Available Hours]],0)</f>
        <v>0.33333333333333331</v>
      </c>
      <c r="X274" t="s">
        <v>48</v>
      </c>
    </row>
    <row r="275" spans="1:24">
      <c r="A275" t="s">
        <v>332</v>
      </c>
      <c r="B275">
        <v>36</v>
      </c>
      <c r="C275" t="str" cm="1">
        <f t="array" ref="C275">_xlfn.IFS(B275&lt;=18,"0-18",B275&lt;=35,"19-35",B275&lt;=50,"36-50",B275&lt;=65,"51-65","True","65+")</f>
        <v>36-50</v>
      </c>
      <c r="D275" t="s">
        <v>52</v>
      </c>
      <c r="E275" s="6">
        <v>45062</v>
      </c>
      <c r="F275" s="6">
        <v>45072</v>
      </c>
      <c r="G275">
        <v>10</v>
      </c>
      <c r="H275" t="s">
        <v>63</v>
      </c>
      <c r="I275">
        <v>5</v>
      </c>
      <c r="J275" t="s">
        <v>71</v>
      </c>
      <c r="K275">
        <v>45399</v>
      </c>
      <c r="L275" t="s">
        <v>67</v>
      </c>
      <c r="M275" t="s">
        <v>54</v>
      </c>
      <c r="N275" t="s">
        <v>41</v>
      </c>
      <c r="O275" s="2">
        <v>45059</v>
      </c>
      <c r="P275" s="2">
        <v>45060.416666666664</v>
      </c>
      <c r="Q275" s="38">
        <f t="shared" si="4"/>
        <v>1.4166666666642413</v>
      </c>
      <c r="R275" t="s">
        <v>42</v>
      </c>
      <c r="S275" t="s">
        <v>29</v>
      </c>
      <c r="T275" t="s">
        <v>30</v>
      </c>
      <c r="U275">
        <v>10</v>
      </c>
      <c r="V275">
        <v>10</v>
      </c>
      <c r="W275" s="18">
        <f>IFERROR(Table1[[#This Row],[Staff Hours Worked]]/Table1[[#This Row],[Staff Available Hours]],0)</f>
        <v>1</v>
      </c>
      <c r="X275" t="s">
        <v>68</v>
      </c>
    </row>
    <row r="276" spans="1:24">
      <c r="A276" t="s">
        <v>333</v>
      </c>
      <c r="B276">
        <v>38</v>
      </c>
      <c r="C276" t="str" cm="1">
        <f t="array" ref="C276">_xlfn.IFS(B276&lt;=18,"0-18",B276&lt;=35,"19-35",B276&lt;=50,"36-50",B276&lt;=65,"51-65","True","65+")</f>
        <v>36-50</v>
      </c>
      <c r="D276" t="s">
        <v>62</v>
      </c>
      <c r="E276" s="6">
        <v>45284</v>
      </c>
      <c r="F276" s="6">
        <v>45383</v>
      </c>
      <c r="G276">
        <v>11</v>
      </c>
      <c r="H276" t="s">
        <v>23</v>
      </c>
      <c r="I276">
        <v>1</v>
      </c>
      <c r="J276" t="s">
        <v>46</v>
      </c>
      <c r="K276">
        <v>44994</v>
      </c>
      <c r="L276" t="s">
        <v>60</v>
      </c>
      <c r="M276" t="s">
        <v>54</v>
      </c>
      <c r="N276" t="s">
        <v>27</v>
      </c>
      <c r="O276" s="2">
        <v>45282</v>
      </c>
      <c r="P276" s="2">
        <v>45283.291666666664</v>
      </c>
      <c r="Q276" s="38">
        <f t="shared" si="4"/>
        <v>1.2916666666642413</v>
      </c>
      <c r="R276" t="s">
        <v>37</v>
      </c>
      <c r="S276" t="s">
        <v>29</v>
      </c>
      <c r="T276" t="s">
        <v>47</v>
      </c>
      <c r="U276">
        <v>9</v>
      </c>
      <c r="V276">
        <v>8</v>
      </c>
      <c r="W276" s="18">
        <f>IFERROR(Table1[[#This Row],[Staff Hours Worked]]/Table1[[#This Row],[Staff Available Hours]],0)</f>
        <v>1.125</v>
      </c>
      <c r="X276" t="s">
        <v>48</v>
      </c>
    </row>
    <row r="277" spans="1:24">
      <c r="A277" t="s">
        <v>334</v>
      </c>
      <c r="B277">
        <v>84</v>
      </c>
      <c r="C277" t="str" cm="1">
        <f t="array" ref="C277">_xlfn.IFS(B277&lt;=18,"0-18",B277&lt;=35,"19-35",B277&lt;=50,"36-50",B277&lt;=65,"51-65","True","65+")</f>
        <v>65+</v>
      </c>
      <c r="D277" t="s">
        <v>45</v>
      </c>
      <c r="E277" s="6">
        <v>45263</v>
      </c>
      <c r="F277" s="6">
        <v>45008</v>
      </c>
      <c r="G277">
        <v>11</v>
      </c>
      <c r="H277" t="s">
        <v>57</v>
      </c>
      <c r="I277">
        <v>3</v>
      </c>
      <c r="J277" t="s">
        <v>66</v>
      </c>
      <c r="K277">
        <v>42876</v>
      </c>
      <c r="L277" t="s">
        <v>67</v>
      </c>
      <c r="M277" t="s">
        <v>26</v>
      </c>
      <c r="N277" t="s">
        <v>41</v>
      </c>
      <c r="O277" s="2">
        <v>45202</v>
      </c>
      <c r="P277" s="2">
        <v>45202.958333333336</v>
      </c>
      <c r="Q277" s="38">
        <f t="shared" si="4"/>
        <v>0.95833333333575865</v>
      </c>
      <c r="R277" t="s">
        <v>28</v>
      </c>
      <c r="S277" t="s">
        <v>29</v>
      </c>
      <c r="T277" t="s">
        <v>47</v>
      </c>
      <c r="U277">
        <v>6</v>
      </c>
      <c r="V277">
        <v>12</v>
      </c>
      <c r="W277" s="18">
        <f>IFERROR(Table1[[#This Row],[Staff Hours Worked]]/Table1[[#This Row],[Staff Available Hours]],0)</f>
        <v>0.5</v>
      </c>
      <c r="X277" t="s">
        <v>68</v>
      </c>
    </row>
    <row r="278" spans="1:24">
      <c r="A278" t="s">
        <v>335</v>
      </c>
      <c r="B278">
        <v>89</v>
      </c>
      <c r="C278" t="str" cm="1">
        <f t="array" ref="C278">_xlfn.IFS(B278&lt;=18,"0-18",B278&lt;=35,"19-35",B278&lt;=50,"36-50",B278&lt;=65,"51-65","True","65+")</f>
        <v>65+</v>
      </c>
      <c r="D278" t="s">
        <v>22</v>
      </c>
      <c r="E278" s="6">
        <v>45147</v>
      </c>
      <c r="F278" s="6">
        <v>45186</v>
      </c>
      <c r="G278">
        <v>9</v>
      </c>
      <c r="H278" t="s">
        <v>23</v>
      </c>
      <c r="I278">
        <v>5</v>
      </c>
      <c r="J278" t="s">
        <v>71</v>
      </c>
      <c r="K278">
        <v>39878</v>
      </c>
      <c r="L278" t="s">
        <v>25</v>
      </c>
      <c r="M278" t="s">
        <v>26</v>
      </c>
      <c r="N278" t="s">
        <v>41</v>
      </c>
      <c r="O278" s="2">
        <v>45025</v>
      </c>
      <c r="P278" s="2">
        <v>45055.291666666664</v>
      </c>
      <c r="Q278" s="38">
        <f t="shared" si="4"/>
        <v>30.291666666664241</v>
      </c>
      <c r="R278" t="s">
        <v>42</v>
      </c>
      <c r="S278" t="s">
        <v>29</v>
      </c>
      <c r="T278" t="s">
        <v>43</v>
      </c>
      <c r="U278">
        <v>10</v>
      </c>
      <c r="V278">
        <v>10</v>
      </c>
      <c r="W278" s="18">
        <f>IFERROR(Table1[[#This Row],[Staff Hours Worked]]/Table1[[#This Row],[Staff Available Hours]],0)</f>
        <v>1</v>
      </c>
      <c r="X278" t="s">
        <v>31</v>
      </c>
    </row>
    <row r="279" spans="1:24">
      <c r="A279" t="s">
        <v>336</v>
      </c>
      <c r="B279">
        <v>25</v>
      </c>
      <c r="C279" t="str" cm="1">
        <f t="array" ref="C279">_xlfn.IFS(B279&lt;=18,"0-18",B279&lt;=35,"19-35",B279&lt;=50,"36-50",B279&lt;=65,"51-65","True","65+")</f>
        <v>19-35</v>
      </c>
      <c r="D279" t="s">
        <v>52</v>
      </c>
      <c r="E279" s="6">
        <v>45305</v>
      </c>
      <c r="F279" s="6">
        <v>45306</v>
      </c>
      <c r="G279">
        <v>1</v>
      </c>
      <c r="H279" t="s">
        <v>34</v>
      </c>
      <c r="I279">
        <v>4</v>
      </c>
      <c r="J279" t="s">
        <v>24</v>
      </c>
      <c r="K279">
        <v>38725</v>
      </c>
      <c r="L279" t="s">
        <v>25</v>
      </c>
      <c r="M279" t="s">
        <v>26</v>
      </c>
      <c r="N279" t="s">
        <v>27</v>
      </c>
      <c r="O279" s="2">
        <v>45627</v>
      </c>
      <c r="P279" s="2">
        <v>45627.291666666664</v>
      </c>
      <c r="Q279" s="38">
        <f t="shared" si="4"/>
        <v>0.29166666666424135</v>
      </c>
      <c r="R279" t="s">
        <v>37</v>
      </c>
      <c r="S279" t="s">
        <v>29</v>
      </c>
      <c r="T279" t="s">
        <v>47</v>
      </c>
      <c r="U279">
        <v>8</v>
      </c>
      <c r="V279">
        <v>8</v>
      </c>
      <c r="W279" s="18">
        <f>IFERROR(Table1[[#This Row],[Staff Hours Worked]]/Table1[[#This Row],[Staff Available Hours]],0)</f>
        <v>1</v>
      </c>
      <c r="X279" t="s">
        <v>68</v>
      </c>
    </row>
    <row r="280" spans="1:24">
      <c r="A280" t="s">
        <v>337</v>
      </c>
      <c r="B280">
        <v>18</v>
      </c>
      <c r="C280" t="str" cm="1">
        <f t="array" ref="C280">_xlfn.IFS(B280&lt;=18,"0-18",B280&lt;=35,"19-35",B280&lt;=50,"36-50",B280&lt;=65,"51-65","True","65+")</f>
        <v>0-18</v>
      </c>
      <c r="D280" t="s">
        <v>33</v>
      </c>
      <c r="E280" s="6">
        <v>45218</v>
      </c>
      <c r="F280" s="6">
        <v>45228</v>
      </c>
      <c r="G280">
        <v>10</v>
      </c>
      <c r="H280" t="s">
        <v>50</v>
      </c>
      <c r="I280">
        <v>5</v>
      </c>
      <c r="J280" t="s">
        <v>24</v>
      </c>
      <c r="K280">
        <v>12146</v>
      </c>
      <c r="L280" t="s">
        <v>36</v>
      </c>
      <c r="M280" t="s">
        <v>54</v>
      </c>
      <c r="N280" t="s">
        <v>27</v>
      </c>
      <c r="O280" s="2">
        <v>45217</v>
      </c>
      <c r="P280" s="2">
        <v>45218.208333333336</v>
      </c>
      <c r="Q280" s="38">
        <f t="shared" si="4"/>
        <v>1.2083333333357587</v>
      </c>
      <c r="R280" t="s">
        <v>64</v>
      </c>
      <c r="S280" t="s">
        <v>29</v>
      </c>
      <c r="T280" t="s">
        <v>43</v>
      </c>
      <c r="U280">
        <v>6</v>
      </c>
      <c r="V280">
        <v>8</v>
      </c>
      <c r="W280" s="18">
        <f>IFERROR(Table1[[#This Row],[Staff Hours Worked]]/Table1[[#This Row],[Staff Available Hours]],0)</f>
        <v>0.75</v>
      </c>
      <c r="X280" t="s">
        <v>68</v>
      </c>
    </row>
    <row r="281" spans="1:24">
      <c r="A281" t="s">
        <v>338</v>
      </c>
      <c r="B281">
        <v>82</v>
      </c>
      <c r="C281" t="str" cm="1">
        <f t="array" ref="C281">_xlfn.IFS(B281&lt;=18,"0-18",B281&lt;=35,"19-35",B281&lt;=50,"36-50",B281&lt;=65,"51-65","True","65+")</f>
        <v>65+</v>
      </c>
      <c r="D281" t="s">
        <v>52</v>
      </c>
      <c r="E281" s="6">
        <v>45236</v>
      </c>
      <c r="F281" s="6">
        <v>45103</v>
      </c>
      <c r="G281">
        <v>15</v>
      </c>
      <c r="H281" t="s">
        <v>23</v>
      </c>
      <c r="I281">
        <v>5</v>
      </c>
      <c r="J281" t="s">
        <v>66</v>
      </c>
      <c r="K281">
        <v>5560</v>
      </c>
      <c r="L281" t="s">
        <v>25</v>
      </c>
      <c r="M281" t="s">
        <v>26</v>
      </c>
      <c r="N281" t="s">
        <v>27</v>
      </c>
      <c r="O281" s="2">
        <v>45205</v>
      </c>
      <c r="P281" s="2">
        <v>45236.958333333336</v>
      </c>
      <c r="Q281" s="38">
        <f t="shared" si="4"/>
        <v>31.958333333335759</v>
      </c>
      <c r="R281" t="s">
        <v>42</v>
      </c>
      <c r="S281" t="s">
        <v>29</v>
      </c>
      <c r="T281" t="s">
        <v>47</v>
      </c>
      <c r="U281">
        <v>6</v>
      </c>
      <c r="V281">
        <v>10</v>
      </c>
      <c r="W281" s="18">
        <f>IFERROR(Table1[[#This Row],[Staff Hours Worked]]/Table1[[#This Row],[Staff Available Hours]],0)</f>
        <v>0.6</v>
      </c>
      <c r="X281" t="s">
        <v>31</v>
      </c>
    </row>
    <row r="282" spans="1:24">
      <c r="A282" t="s">
        <v>339</v>
      </c>
      <c r="B282">
        <v>66</v>
      </c>
      <c r="C282" t="str" cm="1">
        <f t="array" ref="C282">_xlfn.IFS(B282&lt;=18,"0-18",B282&lt;=35,"19-35",B282&lt;=50,"36-50",B282&lt;=65,"51-65","True","65+")</f>
        <v>65+</v>
      </c>
      <c r="D282" t="s">
        <v>41</v>
      </c>
      <c r="E282" s="6">
        <v>45375</v>
      </c>
      <c r="F282" s="6">
        <v>45386</v>
      </c>
      <c r="G282">
        <v>11</v>
      </c>
      <c r="H282" t="s">
        <v>40</v>
      </c>
      <c r="I282">
        <v>4</v>
      </c>
      <c r="J282" t="s">
        <v>35</v>
      </c>
      <c r="K282">
        <v>6312</v>
      </c>
      <c r="L282" t="s">
        <v>67</v>
      </c>
      <c r="M282" t="s">
        <v>26</v>
      </c>
      <c r="N282" t="s">
        <v>27</v>
      </c>
      <c r="O282" s="2">
        <v>45371</v>
      </c>
      <c r="P282" s="2">
        <v>45372.875</v>
      </c>
      <c r="Q282" s="38">
        <f t="shared" si="4"/>
        <v>1.875</v>
      </c>
      <c r="R282" t="s">
        <v>37</v>
      </c>
      <c r="S282" t="s">
        <v>29</v>
      </c>
      <c r="T282" t="s">
        <v>47</v>
      </c>
      <c r="U282">
        <v>6</v>
      </c>
      <c r="V282">
        <v>8</v>
      </c>
      <c r="W282" s="18">
        <f>IFERROR(Table1[[#This Row],[Staff Hours Worked]]/Table1[[#This Row],[Staff Available Hours]],0)</f>
        <v>0.75</v>
      </c>
      <c r="X282" t="s">
        <v>68</v>
      </c>
    </row>
    <row r="283" spans="1:24">
      <c r="A283" t="s">
        <v>340</v>
      </c>
      <c r="B283">
        <v>54</v>
      </c>
      <c r="C283" t="str" cm="1">
        <f t="array" ref="C283">_xlfn.IFS(B283&lt;=18,"0-18",B283&lt;=35,"19-35",B283&lt;=50,"36-50",B283&lt;=65,"51-65","True","65+")</f>
        <v>51-65</v>
      </c>
      <c r="D283" t="s">
        <v>33</v>
      </c>
      <c r="E283" s="6">
        <v>45088</v>
      </c>
      <c r="F283" s="6">
        <v>45250</v>
      </c>
      <c r="G283">
        <v>14</v>
      </c>
      <c r="H283" t="s">
        <v>50</v>
      </c>
      <c r="I283">
        <v>5</v>
      </c>
      <c r="J283" t="s">
        <v>35</v>
      </c>
      <c r="K283">
        <v>23205</v>
      </c>
      <c r="L283" t="s">
        <v>25</v>
      </c>
      <c r="M283" t="s">
        <v>54</v>
      </c>
      <c r="N283" t="s">
        <v>27</v>
      </c>
      <c r="O283" s="2">
        <v>44968</v>
      </c>
      <c r="P283" s="2">
        <v>44996.208333333336</v>
      </c>
      <c r="Q283" s="38">
        <f t="shared" si="4"/>
        <v>28.208333333335759</v>
      </c>
      <c r="R283" t="s">
        <v>28</v>
      </c>
      <c r="S283" t="s">
        <v>29</v>
      </c>
      <c r="T283" t="s">
        <v>43</v>
      </c>
      <c r="U283">
        <v>7</v>
      </c>
      <c r="V283">
        <v>12</v>
      </c>
      <c r="W283" s="18">
        <f>IFERROR(Table1[[#This Row],[Staff Hours Worked]]/Table1[[#This Row],[Staff Available Hours]],0)</f>
        <v>0.58333333333333337</v>
      </c>
      <c r="X283" t="s">
        <v>31</v>
      </c>
    </row>
    <row r="284" spans="1:24">
      <c r="A284" t="s">
        <v>341</v>
      </c>
      <c r="B284">
        <v>35</v>
      </c>
      <c r="C284" t="str" cm="1">
        <f t="array" ref="C284">_xlfn.IFS(B284&lt;=18,"0-18",B284&lt;=35,"19-35",B284&lt;=50,"36-50",B284&lt;=65,"51-65","True","65+")</f>
        <v>19-35</v>
      </c>
      <c r="D284" t="s">
        <v>62</v>
      </c>
      <c r="E284" s="6">
        <v>45170</v>
      </c>
      <c r="F284" s="6">
        <v>44947</v>
      </c>
      <c r="G284">
        <v>12</v>
      </c>
      <c r="H284" t="s">
        <v>34</v>
      </c>
      <c r="I284">
        <v>3</v>
      </c>
      <c r="J284" t="s">
        <v>35</v>
      </c>
      <c r="K284">
        <v>16595</v>
      </c>
      <c r="L284" t="s">
        <v>53</v>
      </c>
      <c r="M284" t="s">
        <v>54</v>
      </c>
      <c r="N284" t="s">
        <v>27</v>
      </c>
      <c r="O284" s="2">
        <v>45078</v>
      </c>
      <c r="P284" s="2">
        <v>45078.875</v>
      </c>
      <c r="Q284" s="38">
        <f t="shared" si="4"/>
        <v>0.875</v>
      </c>
      <c r="R284" t="s">
        <v>37</v>
      </c>
      <c r="S284" t="s">
        <v>29</v>
      </c>
      <c r="T284" t="s">
        <v>47</v>
      </c>
      <c r="U284">
        <v>5</v>
      </c>
      <c r="V284">
        <v>8</v>
      </c>
      <c r="W284" s="18">
        <f>IFERROR(Table1[[#This Row],[Staff Hours Worked]]/Table1[[#This Row],[Staff Available Hours]],0)</f>
        <v>0.625</v>
      </c>
      <c r="X284" t="s">
        <v>31</v>
      </c>
    </row>
    <row r="285" spans="1:24">
      <c r="A285" t="s">
        <v>342</v>
      </c>
      <c r="B285">
        <v>80</v>
      </c>
      <c r="C285" t="str" cm="1">
        <f t="array" ref="C285">_xlfn.IFS(B285&lt;=18,"0-18",B285&lt;=35,"19-35",B285&lt;=50,"36-50",B285&lt;=65,"51-65","True","65+")</f>
        <v>65+</v>
      </c>
      <c r="D285" t="s">
        <v>45</v>
      </c>
      <c r="E285" s="6">
        <v>44996</v>
      </c>
      <c r="F285" s="6">
        <v>45149</v>
      </c>
      <c r="G285">
        <v>5</v>
      </c>
      <c r="H285" t="s">
        <v>23</v>
      </c>
      <c r="I285">
        <v>2</v>
      </c>
      <c r="J285" t="s">
        <v>24</v>
      </c>
      <c r="K285">
        <v>27030</v>
      </c>
      <c r="L285" t="s">
        <v>25</v>
      </c>
      <c r="M285" t="s">
        <v>54</v>
      </c>
      <c r="N285" t="s">
        <v>41</v>
      </c>
      <c r="O285" s="2">
        <v>45229</v>
      </c>
      <c r="P285" s="2">
        <v>45229.208333333336</v>
      </c>
      <c r="Q285" s="38">
        <f t="shared" si="4"/>
        <v>0.20833333333575865</v>
      </c>
      <c r="R285" t="s">
        <v>64</v>
      </c>
      <c r="S285" t="s">
        <v>29</v>
      </c>
      <c r="T285" t="s">
        <v>47</v>
      </c>
      <c r="U285">
        <v>5</v>
      </c>
      <c r="V285">
        <v>10</v>
      </c>
      <c r="W285" s="18">
        <f>IFERROR(Table1[[#This Row],[Staff Hours Worked]]/Table1[[#This Row],[Staff Available Hours]],0)</f>
        <v>0.5</v>
      </c>
      <c r="X285" t="s">
        <v>68</v>
      </c>
    </row>
    <row r="286" spans="1:24">
      <c r="A286" t="s">
        <v>343</v>
      </c>
      <c r="B286">
        <v>61</v>
      </c>
      <c r="C286" t="str" cm="1">
        <f t="array" ref="C286">_xlfn.IFS(B286&lt;=18,"0-18",B286&lt;=35,"19-35",B286&lt;=50,"36-50",B286&lt;=65,"51-65","True","65+")</f>
        <v>51-65</v>
      </c>
      <c r="D286" t="s">
        <v>62</v>
      </c>
      <c r="E286" s="6">
        <v>45033</v>
      </c>
      <c r="F286" s="6">
        <v>45034</v>
      </c>
      <c r="G286">
        <v>1</v>
      </c>
      <c r="H286" t="s">
        <v>57</v>
      </c>
      <c r="I286">
        <v>5</v>
      </c>
      <c r="J286" t="s">
        <v>35</v>
      </c>
      <c r="K286">
        <v>26329</v>
      </c>
      <c r="L286" t="s">
        <v>60</v>
      </c>
      <c r="M286" t="s">
        <v>26</v>
      </c>
      <c r="N286" t="s">
        <v>27</v>
      </c>
      <c r="O286" s="2">
        <v>45033</v>
      </c>
      <c r="P286" s="2">
        <v>45033.833333333336</v>
      </c>
      <c r="Q286" s="38">
        <f t="shared" si="4"/>
        <v>0.83333333333575865</v>
      </c>
      <c r="R286" t="s">
        <v>42</v>
      </c>
      <c r="S286" t="s">
        <v>29</v>
      </c>
      <c r="T286" t="s">
        <v>43</v>
      </c>
      <c r="U286">
        <v>4</v>
      </c>
      <c r="V286">
        <v>12</v>
      </c>
      <c r="W286" s="18">
        <f>IFERROR(Table1[[#This Row],[Staff Hours Worked]]/Table1[[#This Row],[Staff Available Hours]],0)</f>
        <v>0.33333333333333331</v>
      </c>
      <c r="X286" t="s">
        <v>48</v>
      </c>
    </row>
    <row r="287" spans="1:24">
      <c r="A287" t="s">
        <v>344</v>
      </c>
      <c r="B287">
        <v>41</v>
      </c>
      <c r="C287" t="str" cm="1">
        <f t="array" ref="C287">_xlfn.IFS(B287&lt;=18,"0-18",B287&lt;=35,"19-35",B287&lt;=50,"36-50",B287&lt;=65,"51-65","True","65+")</f>
        <v>36-50</v>
      </c>
      <c r="D287" t="s">
        <v>22</v>
      </c>
      <c r="E287" s="6">
        <v>45064</v>
      </c>
      <c r="F287" s="6">
        <v>45067</v>
      </c>
      <c r="G287">
        <v>3</v>
      </c>
      <c r="H287" t="s">
        <v>34</v>
      </c>
      <c r="I287">
        <v>3</v>
      </c>
      <c r="J287" t="s">
        <v>46</v>
      </c>
      <c r="K287">
        <v>43142</v>
      </c>
      <c r="L287" t="s">
        <v>53</v>
      </c>
      <c r="M287" t="s">
        <v>54</v>
      </c>
      <c r="N287" t="s">
        <v>27</v>
      </c>
      <c r="O287" s="2">
        <v>45064</v>
      </c>
      <c r="P287" s="2">
        <v>45064.125</v>
      </c>
      <c r="Q287" s="38">
        <f t="shared" si="4"/>
        <v>0.125</v>
      </c>
      <c r="R287" t="s">
        <v>42</v>
      </c>
      <c r="S287" t="s">
        <v>29</v>
      </c>
      <c r="T287" t="s">
        <v>30</v>
      </c>
      <c r="U287">
        <v>11</v>
      </c>
      <c r="V287">
        <v>8</v>
      </c>
      <c r="W287" s="18">
        <f>IFERROR(Table1[[#This Row],[Staff Hours Worked]]/Table1[[#This Row],[Staff Available Hours]],0)</f>
        <v>1.375</v>
      </c>
      <c r="X287" t="s">
        <v>48</v>
      </c>
    </row>
    <row r="288" spans="1:24">
      <c r="A288" t="s">
        <v>345</v>
      </c>
      <c r="B288">
        <v>33</v>
      </c>
      <c r="C288" t="str" cm="1">
        <f t="array" ref="C288">_xlfn.IFS(B288&lt;=18,"0-18",B288&lt;=35,"19-35",B288&lt;=50,"36-50",B288&lt;=65,"51-65","True","65+")</f>
        <v>19-35</v>
      </c>
      <c r="D288" t="s">
        <v>52</v>
      </c>
      <c r="E288" s="6">
        <v>45197</v>
      </c>
      <c r="F288" s="6">
        <v>44995</v>
      </c>
      <c r="G288">
        <v>5</v>
      </c>
      <c r="H288" t="s">
        <v>40</v>
      </c>
      <c r="I288">
        <v>2</v>
      </c>
      <c r="J288" t="s">
        <v>71</v>
      </c>
      <c r="K288">
        <v>7651</v>
      </c>
      <c r="L288" t="s">
        <v>36</v>
      </c>
      <c r="M288" t="s">
        <v>26</v>
      </c>
      <c r="N288" t="s">
        <v>27</v>
      </c>
      <c r="O288" s="2">
        <v>45197</v>
      </c>
      <c r="P288" s="2">
        <v>45198.916666666664</v>
      </c>
      <c r="Q288" s="38">
        <f t="shared" si="4"/>
        <v>1.9166666666642413</v>
      </c>
      <c r="R288" t="s">
        <v>42</v>
      </c>
      <c r="S288" t="s">
        <v>29</v>
      </c>
      <c r="T288" t="s">
        <v>43</v>
      </c>
      <c r="U288">
        <v>11</v>
      </c>
      <c r="V288">
        <v>8</v>
      </c>
      <c r="W288" s="18">
        <f>IFERROR(Table1[[#This Row],[Staff Hours Worked]]/Table1[[#This Row],[Staff Available Hours]],0)</f>
        <v>1.375</v>
      </c>
      <c r="X288" t="s">
        <v>31</v>
      </c>
    </row>
    <row r="289" spans="1:24">
      <c r="A289" t="s">
        <v>346</v>
      </c>
      <c r="B289">
        <v>68</v>
      </c>
      <c r="C289" t="str" cm="1">
        <f t="array" ref="C289">_xlfn.IFS(B289&lt;=18,"0-18",B289&lt;=35,"19-35",B289&lt;=50,"36-50",B289&lt;=65,"51-65","True","65+")</f>
        <v>65+</v>
      </c>
      <c r="D289" t="s">
        <v>41</v>
      </c>
      <c r="E289" s="6">
        <v>45045</v>
      </c>
      <c r="F289" s="6">
        <v>45235</v>
      </c>
      <c r="G289">
        <v>12</v>
      </c>
      <c r="H289" t="s">
        <v>23</v>
      </c>
      <c r="I289">
        <v>2</v>
      </c>
      <c r="J289" t="s">
        <v>24</v>
      </c>
      <c r="K289">
        <v>15006</v>
      </c>
      <c r="L289" t="s">
        <v>60</v>
      </c>
      <c r="M289" t="s">
        <v>54</v>
      </c>
      <c r="N289" t="s">
        <v>41</v>
      </c>
      <c r="O289" s="2">
        <v>45044</v>
      </c>
      <c r="P289" s="2">
        <v>45044.333333333336</v>
      </c>
      <c r="Q289" s="38">
        <f t="shared" si="4"/>
        <v>0.33333333333575865</v>
      </c>
      <c r="R289" t="s">
        <v>64</v>
      </c>
      <c r="S289" t="s">
        <v>29</v>
      </c>
      <c r="T289" t="s">
        <v>47</v>
      </c>
      <c r="U289">
        <v>6</v>
      </c>
      <c r="V289">
        <v>12</v>
      </c>
      <c r="W289" s="18">
        <f>IFERROR(Table1[[#This Row],[Staff Hours Worked]]/Table1[[#This Row],[Staff Available Hours]],0)</f>
        <v>0.5</v>
      </c>
      <c r="X289" t="s">
        <v>48</v>
      </c>
    </row>
    <row r="290" spans="1:24">
      <c r="A290" t="s">
        <v>347</v>
      </c>
      <c r="B290">
        <v>33</v>
      </c>
      <c r="C290" t="str" cm="1">
        <f t="array" ref="C290">_xlfn.IFS(B290&lt;=18,"0-18",B290&lt;=35,"19-35",B290&lt;=50,"36-50",B290&lt;=65,"51-65","True","65+")</f>
        <v>19-35</v>
      </c>
      <c r="D290" t="s">
        <v>33</v>
      </c>
      <c r="E290" s="6">
        <v>45036</v>
      </c>
      <c r="F290" s="6">
        <v>44990</v>
      </c>
      <c r="G290">
        <v>13</v>
      </c>
      <c r="H290" t="s">
        <v>63</v>
      </c>
      <c r="I290">
        <v>5</v>
      </c>
      <c r="J290" t="s">
        <v>66</v>
      </c>
      <c r="K290">
        <v>47701</v>
      </c>
      <c r="L290" t="s">
        <v>67</v>
      </c>
      <c r="M290" t="s">
        <v>26</v>
      </c>
      <c r="N290" t="s">
        <v>27</v>
      </c>
      <c r="O290" s="2">
        <v>45031</v>
      </c>
      <c r="P290" s="2">
        <v>45031.083333333336</v>
      </c>
      <c r="Q290" s="38">
        <f t="shared" si="4"/>
        <v>8.3333333335758653E-2</v>
      </c>
      <c r="R290" t="s">
        <v>28</v>
      </c>
      <c r="S290" t="s">
        <v>29</v>
      </c>
      <c r="T290" t="s">
        <v>30</v>
      </c>
      <c r="U290">
        <v>5</v>
      </c>
      <c r="V290">
        <v>12</v>
      </c>
      <c r="W290" s="18">
        <f>IFERROR(Table1[[#This Row],[Staff Hours Worked]]/Table1[[#This Row],[Staff Available Hours]],0)</f>
        <v>0.41666666666666669</v>
      </c>
      <c r="X290" t="s">
        <v>48</v>
      </c>
    </row>
    <row r="291" spans="1:24">
      <c r="A291" t="s">
        <v>348</v>
      </c>
      <c r="B291">
        <v>14</v>
      </c>
      <c r="C291" t="str" cm="1">
        <f t="array" ref="C291">_xlfn.IFS(B291&lt;=18,"0-18",B291&lt;=35,"19-35",B291&lt;=50,"36-50",B291&lt;=65,"51-65","True","65+")</f>
        <v>0-18</v>
      </c>
      <c r="D291" t="s">
        <v>33</v>
      </c>
      <c r="E291" s="6">
        <v>45175</v>
      </c>
      <c r="F291" s="6">
        <v>45091</v>
      </c>
      <c r="G291">
        <v>5</v>
      </c>
      <c r="H291" t="s">
        <v>50</v>
      </c>
      <c r="I291">
        <v>3</v>
      </c>
      <c r="J291" t="s">
        <v>66</v>
      </c>
      <c r="K291">
        <v>40645</v>
      </c>
      <c r="L291" t="s">
        <v>67</v>
      </c>
      <c r="M291" t="s">
        <v>54</v>
      </c>
      <c r="N291" t="s">
        <v>41</v>
      </c>
      <c r="O291" s="2">
        <v>45113</v>
      </c>
      <c r="P291" s="2">
        <v>45113.916666666664</v>
      </c>
      <c r="Q291" s="38">
        <f t="shared" si="4"/>
        <v>0.91666666666424135</v>
      </c>
      <c r="R291" t="s">
        <v>42</v>
      </c>
      <c r="S291" t="s">
        <v>29</v>
      </c>
      <c r="T291" t="s">
        <v>30</v>
      </c>
      <c r="U291">
        <v>4</v>
      </c>
      <c r="V291">
        <v>8</v>
      </c>
      <c r="W291" s="18">
        <f>IFERROR(Table1[[#This Row],[Staff Hours Worked]]/Table1[[#This Row],[Staff Available Hours]],0)</f>
        <v>0.5</v>
      </c>
      <c r="X291" t="s">
        <v>68</v>
      </c>
    </row>
    <row r="292" spans="1:24">
      <c r="A292" t="s">
        <v>349</v>
      </c>
      <c r="B292">
        <v>21</v>
      </c>
      <c r="C292" t="str" cm="1">
        <f t="array" ref="C292">_xlfn.IFS(B292&lt;=18,"0-18",B292&lt;=35,"19-35",B292&lt;=50,"36-50",B292&lt;=65,"51-65","True","65+")</f>
        <v>19-35</v>
      </c>
      <c r="D292" t="s">
        <v>52</v>
      </c>
      <c r="E292" s="6">
        <v>45087</v>
      </c>
      <c r="F292" s="6">
        <v>45220</v>
      </c>
      <c r="G292">
        <v>15</v>
      </c>
      <c r="H292" t="s">
        <v>57</v>
      </c>
      <c r="I292">
        <v>5</v>
      </c>
      <c r="J292" t="s">
        <v>71</v>
      </c>
      <c r="K292">
        <v>26966</v>
      </c>
      <c r="L292" t="s">
        <v>67</v>
      </c>
      <c r="M292" t="s">
        <v>26</v>
      </c>
      <c r="N292" t="s">
        <v>41</v>
      </c>
      <c r="O292" s="2">
        <v>44995</v>
      </c>
      <c r="P292" s="2">
        <v>45026.75</v>
      </c>
      <c r="Q292" s="38">
        <f t="shared" si="4"/>
        <v>31.75</v>
      </c>
      <c r="R292" t="s">
        <v>28</v>
      </c>
      <c r="S292" t="s">
        <v>29</v>
      </c>
      <c r="T292" t="s">
        <v>30</v>
      </c>
      <c r="U292">
        <v>7</v>
      </c>
      <c r="V292">
        <v>12</v>
      </c>
      <c r="W292" s="18">
        <f>IFERROR(Table1[[#This Row],[Staff Hours Worked]]/Table1[[#This Row],[Staff Available Hours]],0)</f>
        <v>0.58333333333333337</v>
      </c>
      <c r="X292" t="s">
        <v>31</v>
      </c>
    </row>
    <row r="293" spans="1:24">
      <c r="A293" t="s">
        <v>350</v>
      </c>
      <c r="B293">
        <v>48</v>
      </c>
      <c r="C293" t="str" cm="1">
        <f t="array" ref="C293">_xlfn.IFS(B293&lt;=18,"0-18",B293&lt;=35,"19-35",B293&lt;=50,"36-50",B293&lt;=65,"51-65","True","65+")</f>
        <v>36-50</v>
      </c>
      <c r="D293" t="s">
        <v>41</v>
      </c>
      <c r="E293" s="6">
        <v>45215</v>
      </c>
      <c r="F293" s="6">
        <v>45221</v>
      </c>
      <c r="G293">
        <v>6</v>
      </c>
      <c r="H293" t="s">
        <v>63</v>
      </c>
      <c r="I293">
        <v>4</v>
      </c>
      <c r="J293" t="s">
        <v>24</v>
      </c>
      <c r="K293">
        <v>32846</v>
      </c>
      <c r="L293" t="s">
        <v>60</v>
      </c>
      <c r="M293" t="s">
        <v>54</v>
      </c>
      <c r="N293" t="s">
        <v>27</v>
      </c>
      <c r="O293" s="2">
        <v>45270</v>
      </c>
      <c r="P293" s="2">
        <v>45270.291666666664</v>
      </c>
      <c r="Q293" s="38">
        <f t="shared" si="4"/>
        <v>0.29166666666424135</v>
      </c>
      <c r="R293" t="s">
        <v>37</v>
      </c>
      <c r="S293" t="s">
        <v>38</v>
      </c>
      <c r="T293" t="s">
        <v>43</v>
      </c>
      <c r="U293">
        <v>6</v>
      </c>
      <c r="V293">
        <v>10</v>
      </c>
      <c r="W293" s="18">
        <f>IFERROR(Table1[[#This Row],[Staff Hours Worked]]/Table1[[#This Row],[Staff Available Hours]],0)</f>
        <v>0.6</v>
      </c>
      <c r="X293" t="s">
        <v>31</v>
      </c>
    </row>
    <row r="294" spans="1:24">
      <c r="A294" t="s">
        <v>351</v>
      </c>
      <c r="B294">
        <v>20</v>
      </c>
      <c r="C294" t="str" cm="1">
        <f t="array" ref="C294">_xlfn.IFS(B294&lt;=18,"0-18",B294&lt;=35,"19-35",B294&lt;=50,"36-50",B294&lt;=65,"51-65","True","65+")</f>
        <v>19-35</v>
      </c>
      <c r="D294" t="s">
        <v>52</v>
      </c>
      <c r="E294" s="6">
        <v>45024</v>
      </c>
      <c r="F294" s="6">
        <v>45207</v>
      </c>
      <c r="G294">
        <v>6</v>
      </c>
      <c r="H294" t="s">
        <v>23</v>
      </c>
      <c r="I294">
        <v>2</v>
      </c>
      <c r="J294" t="s">
        <v>35</v>
      </c>
      <c r="K294">
        <v>26774</v>
      </c>
      <c r="L294" t="s">
        <v>60</v>
      </c>
      <c r="M294" t="s">
        <v>26</v>
      </c>
      <c r="N294" t="s">
        <v>27</v>
      </c>
      <c r="O294" s="2">
        <v>44934</v>
      </c>
      <c r="P294" s="2">
        <v>44965.833333333336</v>
      </c>
      <c r="Q294" s="38">
        <f t="shared" si="4"/>
        <v>31.833333333335759</v>
      </c>
      <c r="R294" t="s">
        <v>28</v>
      </c>
      <c r="S294" t="s">
        <v>29</v>
      </c>
      <c r="T294" t="s">
        <v>30</v>
      </c>
      <c r="U294">
        <v>8</v>
      </c>
      <c r="V294">
        <v>8</v>
      </c>
      <c r="W294" s="18">
        <f>IFERROR(Table1[[#This Row],[Staff Hours Worked]]/Table1[[#This Row],[Staff Available Hours]],0)</f>
        <v>1</v>
      </c>
      <c r="X294" t="s">
        <v>68</v>
      </c>
    </row>
    <row r="295" spans="1:24">
      <c r="A295" t="s">
        <v>352</v>
      </c>
      <c r="B295">
        <v>8</v>
      </c>
      <c r="C295" t="str" cm="1">
        <f t="array" ref="C295">_xlfn.IFS(B295&lt;=18,"0-18",B295&lt;=35,"19-35",B295&lt;=50,"36-50",B295&lt;=65,"51-65","True","65+")</f>
        <v>0-18</v>
      </c>
      <c r="D295" t="s">
        <v>22</v>
      </c>
      <c r="E295" s="6">
        <v>45278</v>
      </c>
      <c r="F295" s="6">
        <v>45279</v>
      </c>
      <c r="G295">
        <v>1</v>
      </c>
      <c r="H295" t="s">
        <v>23</v>
      </c>
      <c r="I295">
        <v>5</v>
      </c>
      <c r="J295" t="s">
        <v>35</v>
      </c>
      <c r="K295">
        <v>9083</v>
      </c>
      <c r="L295" t="s">
        <v>60</v>
      </c>
      <c r="M295" t="s">
        <v>54</v>
      </c>
      <c r="N295" t="s">
        <v>27</v>
      </c>
      <c r="O295" s="2">
        <v>45277</v>
      </c>
      <c r="P295" s="2">
        <v>45277.458333333336</v>
      </c>
      <c r="Q295" s="38">
        <f t="shared" si="4"/>
        <v>0.45833333333575865</v>
      </c>
      <c r="R295" t="s">
        <v>28</v>
      </c>
      <c r="S295" t="s">
        <v>29</v>
      </c>
      <c r="T295" t="s">
        <v>30</v>
      </c>
      <c r="U295">
        <v>7</v>
      </c>
      <c r="V295">
        <v>10</v>
      </c>
      <c r="W295" s="18">
        <f>IFERROR(Table1[[#This Row],[Staff Hours Worked]]/Table1[[#This Row],[Staff Available Hours]],0)</f>
        <v>0.7</v>
      </c>
      <c r="X295" t="s">
        <v>48</v>
      </c>
    </row>
    <row r="296" spans="1:24">
      <c r="A296" t="s">
        <v>353</v>
      </c>
      <c r="B296">
        <v>7</v>
      </c>
      <c r="C296" t="str" cm="1">
        <f t="array" ref="C296">_xlfn.IFS(B296&lt;=18,"0-18",B296&lt;=35,"19-35",B296&lt;=50,"36-50",B296&lt;=65,"51-65","True","65+")</f>
        <v>0-18</v>
      </c>
      <c r="D296" t="s">
        <v>62</v>
      </c>
      <c r="E296" s="6">
        <v>45135</v>
      </c>
      <c r="F296" s="6">
        <v>45138</v>
      </c>
      <c r="G296">
        <v>3</v>
      </c>
      <c r="H296" t="s">
        <v>34</v>
      </c>
      <c r="I296">
        <v>2</v>
      </c>
      <c r="J296" t="s">
        <v>46</v>
      </c>
      <c r="K296">
        <v>38513</v>
      </c>
      <c r="L296" t="s">
        <v>53</v>
      </c>
      <c r="M296" t="s">
        <v>54</v>
      </c>
      <c r="N296" t="s">
        <v>27</v>
      </c>
      <c r="O296" s="2">
        <v>45131</v>
      </c>
      <c r="P296" s="2">
        <v>45133</v>
      </c>
      <c r="Q296" s="38">
        <f t="shared" si="4"/>
        <v>2</v>
      </c>
      <c r="R296" t="s">
        <v>42</v>
      </c>
      <c r="S296" t="s">
        <v>29</v>
      </c>
      <c r="T296" t="s">
        <v>30</v>
      </c>
      <c r="U296">
        <v>4</v>
      </c>
      <c r="V296">
        <v>8</v>
      </c>
      <c r="W296" s="18">
        <f>IFERROR(Table1[[#This Row],[Staff Hours Worked]]/Table1[[#This Row],[Staff Available Hours]],0)</f>
        <v>0.5</v>
      </c>
      <c r="X296" t="s">
        <v>31</v>
      </c>
    </row>
    <row r="297" spans="1:24">
      <c r="A297" t="s">
        <v>354</v>
      </c>
      <c r="B297">
        <v>67</v>
      </c>
      <c r="C297" t="str" cm="1">
        <f t="array" ref="C297">_xlfn.IFS(B297&lt;=18,"0-18",B297&lt;=35,"19-35",B297&lt;=50,"36-50",B297&lt;=65,"51-65","True","65+")</f>
        <v>65+</v>
      </c>
      <c r="D297" t="s">
        <v>33</v>
      </c>
      <c r="E297" s="6">
        <v>45197</v>
      </c>
      <c r="F297" s="6">
        <v>45270</v>
      </c>
      <c r="G297">
        <v>14</v>
      </c>
      <c r="H297" t="s">
        <v>23</v>
      </c>
      <c r="I297">
        <v>3</v>
      </c>
      <c r="J297" t="s">
        <v>46</v>
      </c>
      <c r="K297">
        <v>13749</v>
      </c>
      <c r="L297" t="s">
        <v>53</v>
      </c>
      <c r="M297" t="s">
        <v>54</v>
      </c>
      <c r="N297" t="s">
        <v>27</v>
      </c>
      <c r="O297" s="2">
        <v>45193</v>
      </c>
      <c r="P297" s="2">
        <v>45193.666666666664</v>
      </c>
      <c r="Q297" s="38">
        <f t="shared" si="4"/>
        <v>0.66666666666424135</v>
      </c>
      <c r="R297" t="s">
        <v>55</v>
      </c>
      <c r="S297" t="s">
        <v>29</v>
      </c>
      <c r="T297" t="s">
        <v>47</v>
      </c>
      <c r="U297">
        <v>7</v>
      </c>
      <c r="V297">
        <v>10</v>
      </c>
      <c r="W297" s="18">
        <f>IFERROR(Table1[[#This Row],[Staff Hours Worked]]/Table1[[#This Row],[Staff Available Hours]],0)</f>
        <v>0.7</v>
      </c>
      <c r="X297" t="s">
        <v>48</v>
      </c>
    </row>
    <row r="298" spans="1:24">
      <c r="A298" t="s">
        <v>355</v>
      </c>
      <c r="B298">
        <v>17</v>
      </c>
      <c r="C298" t="str" cm="1">
        <f t="array" ref="C298">_xlfn.IFS(B298&lt;=18,"0-18",B298&lt;=35,"19-35",B298&lt;=50,"36-50",B298&lt;=65,"51-65","True","65+")</f>
        <v>0-18</v>
      </c>
      <c r="D298" t="s">
        <v>22</v>
      </c>
      <c r="E298" s="6">
        <v>45297</v>
      </c>
      <c r="F298" s="6">
        <v>45388</v>
      </c>
      <c r="G298">
        <v>3</v>
      </c>
      <c r="H298" t="s">
        <v>57</v>
      </c>
      <c r="I298">
        <v>1</v>
      </c>
      <c r="J298" t="s">
        <v>35</v>
      </c>
      <c r="K298">
        <v>35783</v>
      </c>
      <c r="L298" t="s">
        <v>67</v>
      </c>
      <c r="M298" t="s">
        <v>54</v>
      </c>
      <c r="N298" t="s">
        <v>27</v>
      </c>
      <c r="O298" s="2">
        <v>45443</v>
      </c>
      <c r="P298" s="2">
        <v>45297.416666666664</v>
      </c>
      <c r="Q298" s="38">
        <f t="shared" si="4"/>
        <v>145.58333333333576</v>
      </c>
      <c r="R298" t="s">
        <v>55</v>
      </c>
      <c r="S298" t="s">
        <v>29</v>
      </c>
      <c r="T298" t="s">
        <v>43</v>
      </c>
      <c r="U298">
        <v>8</v>
      </c>
      <c r="V298">
        <v>10</v>
      </c>
      <c r="W298" s="18">
        <f>IFERROR(Table1[[#This Row],[Staff Hours Worked]]/Table1[[#This Row],[Staff Available Hours]],0)</f>
        <v>0.8</v>
      </c>
      <c r="X298" t="s">
        <v>31</v>
      </c>
    </row>
    <row r="299" spans="1:24">
      <c r="A299" t="s">
        <v>356</v>
      </c>
      <c r="B299">
        <v>33</v>
      </c>
      <c r="C299" t="str" cm="1">
        <f t="array" ref="C299">_xlfn.IFS(B299&lt;=18,"0-18",B299&lt;=35,"19-35",B299&lt;=50,"36-50",B299&lt;=65,"51-65","True","65+")</f>
        <v>19-35</v>
      </c>
      <c r="D299" t="s">
        <v>62</v>
      </c>
      <c r="E299" s="6">
        <v>45427</v>
      </c>
      <c r="F299" s="6">
        <v>45437</v>
      </c>
      <c r="G299">
        <v>10</v>
      </c>
      <c r="H299" t="s">
        <v>63</v>
      </c>
      <c r="I299">
        <v>5</v>
      </c>
      <c r="J299" t="s">
        <v>66</v>
      </c>
      <c r="K299">
        <v>22325</v>
      </c>
      <c r="L299" t="s">
        <v>25</v>
      </c>
      <c r="M299" t="s">
        <v>54</v>
      </c>
      <c r="N299" t="s">
        <v>27</v>
      </c>
      <c r="O299" s="2">
        <v>45425</v>
      </c>
      <c r="P299" s="2">
        <v>45425.5</v>
      </c>
      <c r="Q299" s="38">
        <f t="shared" si="4"/>
        <v>0.5</v>
      </c>
      <c r="R299" t="s">
        <v>64</v>
      </c>
      <c r="S299" t="s">
        <v>29</v>
      </c>
      <c r="T299" t="s">
        <v>43</v>
      </c>
      <c r="U299">
        <v>11</v>
      </c>
      <c r="V299">
        <v>12</v>
      </c>
      <c r="W299" s="18">
        <f>IFERROR(Table1[[#This Row],[Staff Hours Worked]]/Table1[[#This Row],[Staff Available Hours]],0)</f>
        <v>0.91666666666666663</v>
      </c>
      <c r="X299" t="s">
        <v>31</v>
      </c>
    </row>
    <row r="300" spans="1:24">
      <c r="A300" t="s">
        <v>357</v>
      </c>
      <c r="B300">
        <v>48</v>
      </c>
      <c r="C300" t="str" cm="1">
        <f t="array" ref="C300">_xlfn.IFS(B300&lt;=18,"0-18",B300&lt;=35,"19-35",B300&lt;=50,"36-50",B300&lt;=65,"51-65","True","65+")</f>
        <v>36-50</v>
      </c>
      <c r="D300" t="s">
        <v>22</v>
      </c>
      <c r="E300" s="6">
        <v>45184</v>
      </c>
      <c r="F300" s="6">
        <v>45195</v>
      </c>
      <c r="G300">
        <v>11</v>
      </c>
      <c r="H300" t="s">
        <v>57</v>
      </c>
      <c r="I300">
        <v>5</v>
      </c>
      <c r="J300" t="s">
        <v>66</v>
      </c>
      <c r="K300">
        <v>23680</v>
      </c>
      <c r="L300" t="s">
        <v>67</v>
      </c>
      <c r="M300" t="s">
        <v>54</v>
      </c>
      <c r="N300" t="s">
        <v>41</v>
      </c>
      <c r="O300" s="2">
        <v>45239</v>
      </c>
      <c r="P300" s="2">
        <v>45269.5</v>
      </c>
      <c r="Q300" s="38">
        <f t="shared" si="4"/>
        <v>30.5</v>
      </c>
      <c r="R300" t="s">
        <v>64</v>
      </c>
      <c r="S300" t="s">
        <v>29</v>
      </c>
      <c r="T300" t="s">
        <v>47</v>
      </c>
      <c r="U300">
        <v>7</v>
      </c>
      <c r="V300">
        <v>8</v>
      </c>
      <c r="W300" s="18">
        <f>IFERROR(Table1[[#This Row],[Staff Hours Worked]]/Table1[[#This Row],[Staff Available Hours]],0)</f>
        <v>0.875</v>
      </c>
      <c r="X300" t="s">
        <v>31</v>
      </c>
    </row>
    <row r="301" spans="1:24">
      <c r="A301" t="s">
        <v>358</v>
      </c>
      <c r="B301">
        <v>76</v>
      </c>
      <c r="C301" t="str" cm="1">
        <f t="array" ref="C301">_xlfn.IFS(B301&lt;=18,"0-18",B301&lt;=35,"19-35",B301&lt;=50,"36-50",B301&lt;=65,"51-65","True","65+")</f>
        <v>65+</v>
      </c>
      <c r="D301" t="s">
        <v>41</v>
      </c>
      <c r="E301" s="6">
        <v>44979</v>
      </c>
      <c r="F301" s="6">
        <v>44929</v>
      </c>
      <c r="G301">
        <v>7</v>
      </c>
      <c r="H301" t="s">
        <v>40</v>
      </c>
      <c r="I301">
        <v>2</v>
      </c>
      <c r="J301" t="s">
        <v>46</v>
      </c>
      <c r="K301">
        <v>22323</v>
      </c>
      <c r="L301" t="s">
        <v>36</v>
      </c>
      <c r="M301" t="s">
        <v>26</v>
      </c>
      <c r="N301" t="s">
        <v>27</v>
      </c>
      <c r="O301" s="2">
        <v>44977</v>
      </c>
      <c r="P301" s="2">
        <v>44977.458333333336</v>
      </c>
      <c r="Q301" s="38">
        <f t="shared" si="4"/>
        <v>0.45833333333575865</v>
      </c>
      <c r="R301" t="s">
        <v>55</v>
      </c>
      <c r="S301" t="s">
        <v>29</v>
      </c>
      <c r="T301" t="s">
        <v>30</v>
      </c>
      <c r="U301">
        <v>4</v>
      </c>
      <c r="V301">
        <v>12</v>
      </c>
      <c r="W301" s="18">
        <f>IFERROR(Table1[[#This Row],[Staff Hours Worked]]/Table1[[#This Row],[Staff Available Hours]],0)</f>
        <v>0.33333333333333331</v>
      </c>
      <c r="X301" t="s">
        <v>31</v>
      </c>
    </row>
    <row r="302" spans="1:24">
      <c r="A302" t="s">
        <v>359</v>
      </c>
      <c r="B302">
        <v>59</v>
      </c>
      <c r="C302" t="str" cm="1">
        <f t="array" ref="C302">_xlfn.IFS(B302&lt;=18,"0-18",B302&lt;=35,"19-35",B302&lt;=50,"36-50",B302&lt;=65,"51-65","True","65+")</f>
        <v>51-65</v>
      </c>
      <c r="D302" t="s">
        <v>33</v>
      </c>
      <c r="E302" s="6">
        <v>45050</v>
      </c>
      <c r="F302" s="6">
        <v>45111</v>
      </c>
      <c r="G302">
        <v>2</v>
      </c>
      <c r="H302" t="s">
        <v>40</v>
      </c>
      <c r="I302">
        <v>3</v>
      </c>
      <c r="J302" t="s">
        <v>71</v>
      </c>
      <c r="K302">
        <v>27684</v>
      </c>
      <c r="L302" t="s">
        <v>53</v>
      </c>
      <c r="M302" t="s">
        <v>54</v>
      </c>
      <c r="N302" t="s">
        <v>27</v>
      </c>
      <c r="O302" s="2">
        <v>45020</v>
      </c>
      <c r="P302" s="2">
        <v>45020.916666666664</v>
      </c>
      <c r="Q302" s="38">
        <f t="shared" si="4"/>
        <v>0.91666666666424135</v>
      </c>
      <c r="R302" t="s">
        <v>37</v>
      </c>
      <c r="S302" t="s">
        <v>29</v>
      </c>
      <c r="T302" t="s">
        <v>47</v>
      </c>
      <c r="U302">
        <v>11</v>
      </c>
      <c r="V302">
        <v>12</v>
      </c>
      <c r="W302" s="18">
        <f>IFERROR(Table1[[#This Row],[Staff Hours Worked]]/Table1[[#This Row],[Staff Available Hours]],0)</f>
        <v>0.91666666666666663</v>
      </c>
      <c r="X302" t="s">
        <v>48</v>
      </c>
    </row>
    <row r="303" spans="1:24">
      <c r="A303" t="s">
        <v>360</v>
      </c>
      <c r="B303">
        <v>86</v>
      </c>
      <c r="C303" t="str" cm="1">
        <f t="array" ref="C303">_xlfn.IFS(B303&lt;=18,"0-18",B303&lt;=35,"19-35",B303&lt;=50,"36-50",B303&lt;=65,"51-65","True","65+")</f>
        <v>65+</v>
      </c>
      <c r="D303" t="s">
        <v>52</v>
      </c>
      <c r="E303" s="6">
        <v>45538</v>
      </c>
      <c r="F303" s="6">
        <v>45629</v>
      </c>
      <c r="G303">
        <v>3</v>
      </c>
      <c r="H303" t="s">
        <v>50</v>
      </c>
      <c r="I303">
        <v>4</v>
      </c>
      <c r="J303" t="s">
        <v>35</v>
      </c>
      <c r="K303">
        <v>39493</v>
      </c>
      <c r="L303" t="s">
        <v>60</v>
      </c>
      <c r="M303" t="s">
        <v>26</v>
      </c>
      <c r="N303" t="s">
        <v>27</v>
      </c>
      <c r="O303" s="2">
        <v>45446</v>
      </c>
      <c r="P303" s="2">
        <v>45476.5</v>
      </c>
      <c r="Q303" s="38">
        <f t="shared" si="4"/>
        <v>30.5</v>
      </c>
      <c r="R303" t="s">
        <v>42</v>
      </c>
      <c r="S303" t="s">
        <v>29</v>
      </c>
      <c r="T303" t="s">
        <v>47</v>
      </c>
      <c r="U303">
        <v>11</v>
      </c>
      <c r="V303">
        <v>8</v>
      </c>
      <c r="W303" s="18">
        <f>IFERROR(Table1[[#This Row],[Staff Hours Worked]]/Table1[[#This Row],[Staff Available Hours]],0)</f>
        <v>1.375</v>
      </c>
      <c r="X303" t="s">
        <v>48</v>
      </c>
    </row>
    <row r="304" spans="1:24">
      <c r="A304" t="s">
        <v>361</v>
      </c>
      <c r="B304">
        <v>22</v>
      </c>
      <c r="C304" t="str" cm="1">
        <f t="array" ref="C304">_xlfn.IFS(B304&lt;=18,"0-18",B304&lt;=35,"19-35",B304&lt;=50,"36-50",B304&lt;=65,"51-65","True","65+")</f>
        <v>19-35</v>
      </c>
      <c r="D304" t="s">
        <v>52</v>
      </c>
      <c r="E304" s="6">
        <v>45240</v>
      </c>
      <c r="F304" s="6">
        <v>45222</v>
      </c>
      <c r="G304">
        <v>12</v>
      </c>
      <c r="H304" t="s">
        <v>50</v>
      </c>
      <c r="I304">
        <v>3</v>
      </c>
      <c r="J304" t="s">
        <v>46</v>
      </c>
      <c r="K304">
        <v>17213</v>
      </c>
      <c r="L304" t="s">
        <v>53</v>
      </c>
      <c r="M304" t="s">
        <v>54</v>
      </c>
      <c r="N304" t="s">
        <v>27</v>
      </c>
      <c r="O304" s="2">
        <v>45117</v>
      </c>
      <c r="P304" s="2">
        <v>45148.166666666664</v>
      </c>
      <c r="Q304" s="38">
        <f t="shared" si="4"/>
        <v>31.166666666664241</v>
      </c>
      <c r="R304" t="s">
        <v>42</v>
      </c>
      <c r="S304" t="s">
        <v>29</v>
      </c>
      <c r="T304" t="s">
        <v>30</v>
      </c>
      <c r="U304">
        <v>11</v>
      </c>
      <c r="V304">
        <v>10</v>
      </c>
      <c r="W304" s="18">
        <f>IFERROR(Table1[[#This Row],[Staff Hours Worked]]/Table1[[#This Row],[Staff Available Hours]],0)</f>
        <v>1.1000000000000001</v>
      </c>
      <c r="X304" t="s">
        <v>48</v>
      </c>
    </row>
    <row r="305" spans="1:24">
      <c r="A305" t="s">
        <v>362</v>
      </c>
      <c r="B305">
        <v>30</v>
      </c>
      <c r="C305" t="str" cm="1">
        <f t="array" ref="C305">_xlfn.IFS(B305&lt;=18,"0-18",B305&lt;=35,"19-35",B305&lt;=50,"36-50",B305&lt;=65,"51-65","True","65+")</f>
        <v>19-35</v>
      </c>
      <c r="D305" t="s">
        <v>62</v>
      </c>
      <c r="E305" s="6">
        <v>44972</v>
      </c>
      <c r="F305" s="6">
        <v>44983</v>
      </c>
      <c r="G305">
        <v>11</v>
      </c>
      <c r="H305" t="s">
        <v>40</v>
      </c>
      <c r="I305">
        <v>5</v>
      </c>
      <c r="J305" t="s">
        <v>46</v>
      </c>
      <c r="K305">
        <v>36831</v>
      </c>
      <c r="L305" t="s">
        <v>60</v>
      </c>
      <c r="M305" t="s">
        <v>54</v>
      </c>
      <c r="N305" t="s">
        <v>27</v>
      </c>
      <c r="O305" s="2">
        <v>45201</v>
      </c>
      <c r="P305" s="2">
        <v>45232.25</v>
      </c>
      <c r="Q305" s="38">
        <f t="shared" si="4"/>
        <v>31.25</v>
      </c>
      <c r="R305" t="s">
        <v>37</v>
      </c>
      <c r="S305" t="s">
        <v>29</v>
      </c>
      <c r="T305" t="s">
        <v>30</v>
      </c>
      <c r="U305">
        <v>8</v>
      </c>
      <c r="V305">
        <v>8</v>
      </c>
      <c r="W305" s="18">
        <f>IFERROR(Table1[[#This Row],[Staff Hours Worked]]/Table1[[#This Row],[Staff Available Hours]],0)</f>
        <v>1</v>
      </c>
      <c r="X305" t="s">
        <v>48</v>
      </c>
    </row>
    <row r="306" spans="1:24">
      <c r="A306" t="s">
        <v>363</v>
      </c>
      <c r="B306">
        <v>38</v>
      </c>
      <c r="C306" t="str" cm="1">
        <f t="array" ref="C306">_xlfn.IFS(B306&lt;=18,"0-18",B306&lt;=35,"19-35",B306&lt;=50,"36-50",B306&lt;=65,"51-65","True","65+")</f>
        <v>36-50</v>
      </c>
      <c r="D306" t="s">
        <v>45</v>
      </c>
      <c r="E306" s="6">
        <v>45017</v>
      </c>
      <c r="F306" s="6">
        <v>45047</v>
      </c>
      <c r="G306">
        <v>1</v>
      </c>
      <c r="H306" t="s">
        <v>23</v>
      </c>
      <c r="I306">
        <v>4</v>
      </c>
      <c r="J306" t="s">
        <v>35</v>
      </c>
      <c r="K306">
        <v>47296</v>
      </c>
      <c r="L306" t="s">
        <v>36</v>
      </c>
      <c r="M306" t="s">
        <v>26</v>
      </c>
      <c r="N306" t="s">
        <v>27</v>
      </c>
      <c r="O306" s="2">
        <v>44958</v>
      </c>
      <c r="P306" s="2">
        <v>44958.625</v>
      </c>
      <c r="Q306" s="38">
        <f t="shared" si="4"/>
        <v>0.625</v>
      </c>
      <c r="R306" t="s">
        <v>37</v>
      </c>
      <c r="S306" t="s">
        <v>29</v>
      </c>
      <c r="T306" t="s">
        <v>43</v>
      </c>
      <c r="U306">
        <v>8</v>
      </c>
      <c r="V306">
        <v>8</v>
      </c>
      <c r="W306" s="18">
        <f>IFERROR(Table1[[#This Row],[Staff Hours Worked]]/Table1[[#This Row],[Staff Available Hours]],0)</f>
        <v>1</v>
      </c>
      <c r="X306" t="s">
        <v>68</v>
      </c>
    </row>
    <row r="307" spans="1:24">
      <c r="A307" t="s">
        <v>364</v>
      </c>
      <c r="B307">
        <v>51</v>
      </c>
      <c r="C307" t="str" cm="1">
        <f t="array" ref="C307">_xlfn.IFS(B307&lt;=18,"0-18",B307&lt;=35,"19-35",B307&lt;=50,"36-50",B307&lt;=65,"51-65","True","65+")</f>
        <v>51-65</v>
      </c>
      <c r="D307" t="s">
        <v>41</v>
      </c>
      <c r="E307" s="6">
        <v>45150</v>
      </c>
      <c r="F307" s="6">
        <v>45211</v>
      </c>
      <c r="G307">
        <v>2</v>
      </c>
      <c r="H307" t="s">
        <v>57</v>
      </c>
      <c r="I307">
        <v>3</v>
      </c>
      <c r="J307" t="s">
        <v>35</v>
      </c>
      <c r="K307">
        <v>32713</v>
      </c>
      <c r="L307" t="s">
        <v>36</v>
      </c>
      <c r="M307" t="s">
        <v>54</v>
      </c>
      <c r="N307" t="s">
        <v>27</v>
      </c>
      <c r="O307" s="2">
        <v>45028</v>
      </c>
      <c r="P307" s="2">
        <v>45058.083333333336</v>
      </c>
      <c r="Q307" s="38">
        <f t="shared" si="4"/>
        <v>30.083333333335759</v>
      </c>
      <c r="R307" t="s">
        <v>55</v>
      </c>
      <c r="S307" t="s">
        <v>29</v>
      </c>
      <c r="T307" t="s">
        <v>30</v>
      </c>
      <c r="U307">
        <v>11</v>
      </c>
      <c r="V307">
        <v>8</v>
      </c>
      <c r="W307" s="18">
        <f>IFERROR(Table1[[#This Row],[Staff Hours Worked]]/Table1[[#This Row],[Staff Available Hours]],0)</f>
        <v>1.375</v>
      </c>
      <c r="X307" t="s">
        <v>31</v>
      </c>
    </row>
    <row r="308" spans="1:24">
      <c r="A308" t="s">
        <v>365</v>
      </c>
      <c r="B308">
        <v>54</v>
      </c>
      <c r="C308" t="str" cm="1">
        <f t="array" ref="C308">_xlfn.IFS(B308&lt;=18,"0-18",B308&lt;=35,"19-35",B308&lt;=50,"36-50",B308&lt;=65,"51-65","True","65+")</f>
        <v>51-65</v>
      </c>
      <c r="D308" t="s">
        <v>62</v>
      </c>
      <c r="E308" s="6">
        <v>45060</v>
      </c>
      <c r="F308" s="6">
        <v>45072</v>
      </c>
      <c r="G308">
        <v>12</v>
      </c>
      <c r="H308" t="s">
        <v>40</v>
      </c>
      <c r="I308">
        <v>1</v>
      </c>
      <c r="J308" t="s">
        <v>66</v>
      </c>
      <c r="K308">
        <v>46621</v>
      </c>
      <c r="L308" t="s">
        <v>53</v>
      </c>
      <c r="M308" t="s">
        <v>26</v>
      </c>
      <c r="N308" t="s">
        <v>41</v>
      </c>
      <c r="O308" s="2">
        <v>45265</v>
      </c>
      <c r="P308" s="2">
        <v>45059.708333333336</v>
      </c>
      <c r="Q308" s="38">
        <f t="shared" si="4"/>
        <v>205.29166666666424</v>
      </c>
      <c r="R308" t="s">
        <v>64</v>
      </c>
      <c r="S308" t="s">
        <v>29</v>
      </c>
      <c r="T308" t="s">
        <v>47</v>
      </c>
      <c r="U308">
        <v>7</v>
      </c>
      <c r="V308">
        <v>12</v>
      </c>
      <c r="W308" s="18">
        <f>IFERROR(Table1[[#This Row],[Staff Hours Worked]]/Table1[[#This Row],[Staff Available Hours]],0)</f>
        <v>0.58333333333333337</v>
      </c>
      <c r="X308" t="s">
        <v>31</v>
      </c>
    </row>
    <row r="309" spans="1:24">
      <c r="A309" t="s">
        <v>366</v>
      </c>
      <c r="B309">
        <v>8</v>
      </c>
      <c r="C309" t="str" cm="1">
        <f t="array" ref="C309">_xlfn.IFS(B309&lt;=18,"0-18",B309&lt;=35,"19-35",B309&lt;=50,"36-50",B309&lt;=65,"51-65","True","65+")</f>
        <v>0-18</v>
      </c>
      <c r="D309" t="s">
        <v>45</v>
      </c>
      <c r="E309" s="6">
        <v>45195</v>
      </c>
      <c r="F309" s="6">
        <v>45056</v>
      </c>
      <c r="G309">
        <v>9</v>
      </c>
      <c r="H309" t="s">
        <v>50</v>
      </c>
      <c r="I309">
        <v>2</v>
      </c>
      <c r="J309" t="s">
        <v>71</v>
      </c>
      <c r="K309">
        <v>12187</v>
      </c>
      <c r="L309" t="s">
        <v>60</v>
      </c>
      <c r="M309" t="s">
        <v>54</v>
      </c>
      <c r="N309" t="s">
        <v>27</v>
      </c>
      <c r="O309" s="2">
        <v>45191</v>
      </c>
      <c r="P309" s="2">
        <v>45191.5</v>
      </c>
      <c r="Q309" s="38">
        <f t="shared" si="4"/>
        <v>0.5</v>
      </c>
      <c r="R309" t="s">
        <v>37</v>
      </c>
      <c r="S309" t="s">
        <v>29</v>
      </c>
      <c r="T309" t="s">
        <v>47</v>
      </c>
      <c r="U309">
        <v>8</v>
      </c>
      <c r="V309">
        <v>8</v>
      </c>
      <c r="W309" s="18">
        <f>IFERROR(Table1[[#This Row],[Staff Hours Worked]]/Table1[[#This Row],[Staff Available Hours]],0)</f>
        <v>1</v>
      </c>
      <c r="X309" t="s">
        <v>31</v>
      </c>
    </row>
    <row r="310" spans="1:24">
      <c r="A310" t="s">
        <v>367</v>
      </c>
      <c r="B310">
        <v>27</v>
      </c>
      <c r="C310" t="str" cm="1">
        <f t="array" ref="C310">_xlfn.IFS(B310&lt;=18,"0-18",B310&lt;=35,"19-35",B310&lt;=50,"36-50",B310&lt;=65,"51-65","True","65+")</f>
        <v>19-35</v>
      </c>
      <c r="D310" t="s">
        <v>22</v>
      </c>
      <c r="E310" s="6">
        <v>45092</v>
      </c>
      <c r="F310" s="6">
        <v>45096</v>
      </c>
      <c r="G310">
        <v>4</v>
      </c>
      <c r="H310" t="s">
        <v>40</v>
      </c>
      <c r="I310">
        <v>3</v>
      </c>
      <c r="J310" t="s">
        <v>71</v>
      </c>
      <c r="K310">
        <v>37800</v>
      </c>
      <c r="L310" t="s">
        <v>36</v>
      </c>
      <c r="M310" t="s">
        <v>54</v>
      </c>
      <c r="N310" t="s">
        <v>27</v>
      </c>
      <c r="O310" s="2">
        <v>45236</v>
      </c>
      <c r="P310" s="2">
        <v>45236.5</v>
      </c>
      <c r="Q310" s="38">
        <f t="shared" si="4"/>
        <v>0.5</v>
      </c>
      <c r="R310" t="s">
        <v>64</v>
      </c>
      <c r="S310" t="s">
        <v>29</v>
      </c>
      <c r="T310" t="s">
        <v>30</v>
      </c>
      <c r="U310">
        <v>10</v>
      </c>
      <c r="V310">
        <v>8</v>
      </c>
      <c r="W310" s="18">
        <f>IFERROR(Table1[[#This Row],[Staff Hours Worked]]/Table1[[#This Row],[Staff Available Hours]],0)</f>
        <v>1.25</v>
      </c>
      <c r="X310" t="s">
        <v>68</v>
      </c>
    </row>
    <row r="311" spans="1:24">
      <c r="A311" t="s">
        <v>368</v>
      </c>
      <c r="B311">
        <v>27</v>
      </c>
      <c r="C311" t="str" cm="1">
        <f t="array" ref="C311">_xlfn.IFS(B311&lt;=18,"0-18",B311&lt;=35,"19-35",B311&lt;=50,"36-50",B311&lt;=65,"51-65","True","65+")</f>
        <v>19-35</v>
      </c>
      <c r="D311" t="s">
        <v>41</v>
      </c>
      <c r="E311" s="6">
        <v>45379</v>
      </c>
      <c r="F311" s="6">
        <v>45386</v>
      </c>
      <c r="G311">
        <v>7</v>
      </c>
      <c r="H311" t="s">
        <v>23</v>
      </c>
      <c r="I311">
        <v>3</v>
      </c>
      <c r="J311" t="s">
        <v>35</v>
      </c>
      <c r="K311">
        <v>37583</v>
      </c>
      <c r="L311" t="s">
        <v>67</v>
      </c>
      <c r="M311" t="s">
        <v>26</v>
      </c>
      <c r="N311" t="s">
        <v>27</v>
      </c>
      <c r="O311" s="2">
        <v>45375</v>
      </c>
      <c r="P311" s="2">
        <v>45376.708333333336</v>
      </c>
      <c r="Q311" s="38">
        <f t="shared" si="4"/>
        <v>1.7083333333357587</v>
      </c>
      <c r="R311" t="s">
        <v>28</v>
      </c>
      <c r="S311" t="s">
        <v>29</v>
      </c>
      <c r="T311" t="s">
        <v>43</v>
      </c>
      <c r="U311">
        <v>7</v>
      </c>
      <c r="V311">
        <v>8</v>
      </c>
      <c r="W311" s="18">
        <f>IFERROR(Table1[[#This Row],[Staff Hours Worked]]/Table1[[#This Row],[Staff Available Hours]],0)</f>
        <v>0.875</v>
      </c>
      <c r="X311" t="s">
        <v>48</v>
      </c>
    </row>
    <row r="312" spans="1:24">
      <c r="A312" t="s">
        <v>369</v>
      </c>
      <c r="B312">
        <v>21</v>
      </c>
      <c r="C312" t="str" cm="1">
        <f t="array" ref="C312">_xlfn.IFS(B312&lt;=18,"0-18",B312&lt;=35,"19-35",B312&lt;=50,"36-50",B312&lt;=65,"51-65","True","65+")</f>
        <v>19-35</v>
      </c>
      <c r="D312" t="s">
        <v>22</v>
      </c>
      <c r="E312" s="6">
        <v>45364</v>
      </c>
      <c r="F312" s="6">
        <v>45371</v>
      </c>
      <c r="G312">
        <v>7</v>
      </c>
      <c r="H312" t="s">
        <v>40</v>
      </c>
      <c r="I312">
        <v>1</v>
      </c>
      <c r="J312" t="s">
        <v>24</v>
      </c>
      <c r="K312">
        <v>19408</v>
      </c>
      <c r="L312" t="s">
        <v>67</v>
      </c>
      <c r="M312" t="s">
        <v>26</v>
      </c>
      <c r="N312" t="s">
        <v>41</v>
      </c>
      <c r="O312" s="2">
        <v>45568</v>
      </c>
      <c r="P312" s="2">
        <v>45599.791666666664</v>
      </c>
      <c r="Q312" s="38">
        <f t="shared" si="4"/>
        <v>31.791666666664241</v>
      </c>
      <c r="R312" t="s">
        <v>42</v>
      </c>
      <c r="S312" t="s">
        <v>29</v>
      </c>
      <c r="T312" t="s">
        <v>47</v>
      </c>
      <c r="U312">
        <v>6</v>
      </c>
      <c r="V312">
        <v>10</v>
      </c>
      <c r="W312" s="18">
        <f>IFERROR(Table1[[#This Row],[Staff Hours Worked]]/Table1[[#This Row],[Staff Available Hours]],0)</f>
        <v>0.6</v>
      </c>
      <c r="X312" t="s">
        <v>31</v>
      </c>
    </row>
    <row r="313" spans="1:24">
      <c r="A313" t="s">
        <v>370</v>
      </c>
      <c r="B313">
        <v>30</v>
      </c>
      <c r="C313" t="str" cm="1">
        <f t="array" ref="C313">_xlfn.IFS(B313&lt;=18,"0-18",B313&lt;=35,"19-35",B313&lt;=50,"36-50",B313&lt;=65,"51-65","True","65+")</f>
        <v>19-35</v>
      </c>
      <c r="D313" t="s">
        <v>33</v>
      </c>
      <c r="E313" s="6">
        <v>45200</v>
      </c>
      <c r="F313" s="6">
        <v>44944</v>
      </c>
      <c r="G313">
        <v>8</v>
      </c>
      <c r="H313" t="s">
        <v>57</v>
      </c>
      <c r="I313">
        <v>5</v>
      </c>
      <c r="J313" t="s">
        <v>46</v>
      </c>
      <c r="K313">
        <v>27369</v>
      </c>
      <c r="L313" t="s">
        <v>60</v>
      </c>
      <c r="M313" t="s">
        <v>54</v>
      </c>
      <c r="N313" t="s">
        <v>27</v>
      </c>
      <c r="O313" s="2">
        <v>45047</v>
      </c>
      <c r="P313" s="2">
        <v>45078.166666666664</v>
      </c>
      <c r="Q313" s="38">
        <f t="shared" si="4"/>
        <v>31.166666666664241</v>
      </c>
      <c r="R313" t="s">
        <v>55</v>
      </c>
      <c r="S313" t="s">
        <v>29</v>
      </c>
      <c r="T313" t="s">
        <v>30</v>
      </c>
      <c r="U313">
        <v>8</v>
      </c>
      <c r="V313">
        <v>10</v>
      </c>
      <c r="W313" s="18">
        <f>IFERROR(Table1[[#This Row],[Staff Hours Worked]]/Table1[[#This Row],[Staff Available Hours]],0)</f>
        <v>0.8</v>
      </c>
      <c r="X313" t="s">
        <v>48</v>
      </c>
    </row>
    <row r="314" spans="1:24">
      <c r="A314" t="s">
        <v>371</v>
      </c>
      <c r="B314">
        <v>28</v>
      </c>
      <c r="C314" t="str" cm="1">
        <f t="array" ref="C314">_xlfn.IFS(B314&lt;=18,"0-18",B314&lt;=35,"19-35",B314&lt;=50,"36-50",B314&lt;=65,"51-65","True","65+")</f>
        <v>19-35</v>
      </c>
      <c r="D314" t="s">
        <v>41</v>
      </c>
      <c r="E314" s="6">
        <v>45041</v>
      </c>
      <c r="F314" s="6">
        <v>44931</v>
      </c>
      <c r="G314">
        <v>6</v>
      </c>
      <c r="H314" t="s">
        <v>63</v>
      </c>
      <c r="I314">
        <v>2</v>
      </c>
      <c r="J314" t="s">
        <v>46</v>
      </c>
      <c r="K314">
        <v>8414</v>
      </c>
      <c r="L314" t="s">
        <v>53</v>
      </c>
      <c r="M314" t="s">
        <v>54</v>
      </c>
      <c r="N314" t="s">
        <v>27</v>
      </c>
      <c r="O314" s="2">
        <v>45037</v>
      </c>
      <c r="P314" s="2">
        <v>45038.083333333336</v>
      </c>
      <c r="Q314" s="38">
        <f t="shared" si="4"/>
        <v>1.0833333333357587</v>
      </c>
      <c r="R314" t="s">
        <v>42</v>
      </c>
      <c r="S314" t="s">
        <v>29</v>
      </c>
      <c r="T314" t="s">
        <v>43</v>
      </c>
      <c r="U314">
        <v>7</v>
      </c>
      <c r="V314">
        <v>10</v>
      </c>
      <c r="W314" s="18">
        <f>IFERROR(Table1[[#This Row],[Staff Hours Worked]]/Table1[[#This Row],[Staff Available Hours]],0)</f>
        <v>0.7</v>
      </c>
      <c r="X314" t="s">
        <v>48</v>
      </c>
    </row>
    <row r="315" spans="1:24">
      <c r="A315" t="s">
        <v>372</v>
      </c>
      <c r="B315">
        <v>64</v>
      </c>
      <c r="C315" t="str" cm="1">
        <f t="array" ref="C315">_xlfn.IFS(B315&lt;=18,"0-18",B315&lt;=35,"19-35",B315&lt;=50,"36-50",B315&lt;=65,"51-65","True","65+")</f>
        <v>51-65</v>
      </c>
      <c r="D315" t="s">
        <v>45</v>
      </c>
      <c r="E315" s="6">
        <v>45004</v>
      </c>
      <c r="F315" s="6">
        <v>45007</v>
      </c>
      <c r="G315">
        <v>3</v>
      </c>
      <c r="H315" t="s">
        <v>23</v>
      </c>
      <c r="I315">
        <v>3</v>
      </c>
      <c r="J315" t="s">
        <v>35</v>
      </c>
      <c r="K315">
        <v>24510</v>
      </c>
      <c r="L315" t="s">
        <v>36</v>
      </c>
      <c r="M315" t="s">
        <v>26</v>
      </c>
      <c r="N315" t="s">
        <v>27</v>
      </c>
      <c r="O315" s="2">
        <v>45002</v>
      </c>
      <c r="P315" s="2">
        <v>45002.083333333336</v>
      </c>
      <c r="Q315" s="38">
        <f t="shared" si="4"/>
        <v>8.3333333335758653E-2</v>
      </c>
      <c r="R315" t="s">
        <v>55</v>
      </c>
      <c r="S315" t="s">
        <v>29</v>
      </c>
      <c r="T315" t="s">
        <v>43</v>
      </c>
      <c r="U315">
        <v>6</v>
      </c>
      <c r="V315">
        <v>10</v>
      </c>
      <c r="W315" s="18">
        <f>IFERROR(Table1[[#This Row],[Staff Hours Worked]]/Table1[[#This Row],[Staff Available Hours]],0)</f>
        <v>0.6</v>
      </c>
      <c r="X315" t="s">
        <v>68</v>
      </c>
    </row>
    <row r="316" spans="1:24">
      <c r="A316" t="s">
        <v>373</v>
      </c>
      <c r="B316">
        <v>69</v>
      </c>
      <c r="C316" t="str" cm="1">
        <f t="array" ref="C316">_xlfn.IFS(B316&lt;=18,"0-18",B316&lt;=35,"19-35",B316&lt;=50,"36-50",B316&lt;=65,"51-65","True","65+")</f>
        <v>65+</v>
      </c>
      <c r="D316" t="s">
        <v>33</v>
      </c>
      <c r="E316" s="6">
        <v>44963</v>
      </c>
      <c r="F316" s="6">
        <v>45144</v>
      </c>
      <c r="G316">
        <v>6</v>
      </c>
      <c r="H316" t="s">
        <v>50</v>
      </c>
      <c r="I316">
        <v>4</v>
      </c>
      <c r="J316" t="s">
        <v>24</v>
      </c>
      <c r="K316">
        <v>17120</v>
      </c>
      <c r="L316" t="s">
        <v>53</v>
      </c>
      <c r="M316" t="s">
        <v>54</v>
      </c>
      <c r="N316" t="s">
        <v>27</v>
      </c>
      <c r="O316" s="2">
        <v>45076</v>
      </c>
      <c r="P316" s="2">
        <v>44932</v>
      </c>
      <c r="Q316" s="38">
        <f t="shared" si="4"/>
        <v>144</v>
      </c>
      <c r="R316" t="s">
        <v>28</v>
      </c>
      <c r="S316" t="s">
        <v>29</v>
      </c>
      <c r="T316" t="s">
        <v>47</v>
      </c>
      <c r="U316">
        <v>8</v>
      </c>
      <c r="V316">
        <v>12</v>
      </c>
      <c r="W316" s="18">
        <f>IFERROR(Table1[[#This Row],[Staff Hours Worked]]/Table1[[#This Row],[Staff Available Hours]],0)</f>
        <v>0.66666666666666663</v>
      </c>
      <c r="X316" t="s">
        <v>68</v>
      </c>
    </row>
    <row r="317" spans="1:24">
      <c r="A317" t="s">
        <v>374</v>
      </c>
      <c r="B317">
        <v>61</v>
      </c>
      <c r="C317" t="str" cm="1">
        <f t="array" ref="C317">_xlfn.IFS(B317&lt;=18,"0-18",B317&lt;=35,"19-35",B317&lt;=50,"36-50",B317&lt;=65,"51-65","True","65+")</f>
        <v>51-65</v>
      </c>
      <c r="D317" t="s">
        <v>52</v>
      </c>
      <c r="E317" s="6">
        <v>45079</v>
      </c>
      <c r="F317" s="6">
        <v>45232</v>
      </c>
      <c r="G317">
        <v>5</v>
      </c>
      <c r="H317" t="s">
        <v>57</v>
      </c>
      <c r="I317">
        <v>3</v>
      </c>
      <c r="J317" t="s">
        <v>66</v>
      </c>
      <c r="K317">
        <v>39311</v>
      </c>
      <c r="L317" t="s">
        <v>67</v>
      </c>
      <c r="M317" t="s">
        <v>26</v>
      </c>
      <c r="N317" t="s">
        <v>27</v>
      </c>
      <c r="O317" s="2">
        <v>45079</v>
      </c>
      <c r="P317" s="2">
        <v>45109.666666666664</v>
      </c>
      <c r="Q317" s="38">
        <f t="shared" si="4"/>
        <v>30.666666666664241</v>
      </c>
      <c r="R317" t="s">
        <v>42</v>
      </c>
      <c r="S317" t="s">
        <v>29</v>
      </c>
      <c r="T317" t="s">
        <v>47</v>
      </c>
      <c r="U317">
        <v>6</v>
      </c>
      <c r="V317">
        <v>12</v>
      </c>
      <c r="W317" s="18">
        <f>IFERROR(Table1[[#This Row],[Staff Hours Worked]]/Table1[[#This Row],[Staff Available Hours]],0)</f>
        <v>0.5</v>
      </c>
      <c r="X317" t="s">
        <v>48</v>
      </c>
    </row>
    <row r="318" spans="1:24">
      <c r="A318" t="s">
        <v>375</v>
      </c>
      <c r="B318">
        <v>48</v>
      </c>
      <c r="C318" t="str" cm="1">
        <f t="array" ref="C318">_xlfn.IFS(B318&lt;=18,"0-18",B318&lt;=35,"19-35",B318&lt;=50,"36-50",B318&lt;=65,"51-65","True","65+")</f>
        <v>36-50</v>
      </c>
      <c r="D318" t="s">
        <v>45</v>
      </c>
      <c r="E318" s="6">
        <v>45305</v>
      </c>
      <c r="F318" s="6">
        <v>45317</v>
      </c>
      <c r="G318">
        <v>12</v>
      </c>
      <c r="H318" t="s">
        <v>40</v>
      </c>
      <c r="I318">
        <v>2</v>
      </c>
      <c r="J318" t="s">
        <v>35</v>
      </c>
      <c r="K318">
        <v>38039</v>
      </c>
      <c r="L318" t="s">
        <v>36</v>
      </c>
      <c r="M318" t="s">
        <v>54</v>
      </c>
      <c r="N318" t="s">
        <v>27</v>
      </c>
      <c r="O318" s="2">
        <v>45627</v>
      </c>
      <c r="P318" s="2">
        <v>45627.541666666664</v>
      </c>
      <c r="Q318" s="38">
        <f t="shared" si="4"/>
        <v>0.54166666666424135</v>
      </c>
      <c r="R318" t="s">
        <v>28</v>
      </c>
      <c r="S318" t="s">
        <v>29</v>
      </c>
      <c r="T318" t="s">
        <v>43</v>
      </c>
      <c r="U318">
        <v>9</v>
      </c>
      <c r="V318">
        <v>8</v>
      </c>
      <c r="W318" s="18">
        <f>IFERROR(Table1[[#This Row],[Staff Hours Worked]]/Table1[[#This Row],[Staff Available Hours]],0)</f>
        <v>1.125</v>
      </c>
      <c r="X318" t="s">
        <v>31</v>
      </c>
    </row>
    <row r="319" spans="1:24">
      <c r="A319" t="s">
        <v>376</v>
      </c>
      <c r="B319">
        <v>19</v>
      </c>
      <c r="C319" t="str" cm="1">
        <f t="array" ref="C319">_xlfn.IFS(B319&lt;=18,"0-18",B319&lt;=35,"19-35",B319&lt;=50,"36-50",B319&lt;=65,"51-65","True","65+")</f>
        <v>19-35</v>
      </c>
      <c r="D319" t="s">
        <v>62</v>
      </c>
      <c r="E319" s="6">
        <v>44932</v>
      </c>
      <c r="F319" s="6">
        <v>45113</v>
      </c>
      <c r="G319">
        <v>6</v>
      </c>
      <c r="H319" t="s">
        <v>40</v>
      </c>
      <c r="I319">
        <v>3</v>
      </c>
      <c r="J319" t="s">
        <v>35</v>
      </c>
      <c r="K319">
        <v>10295</v>
      </c>
      <c r="L319" t="s">
        <v>53</v>
      </c>
      <c r="M319" t="s">
        <v>54</v>
      </c>
      <c r="N319" t="s">
        <v>27</v>
      </c>
      <c r="O319" s="2">
        <v>45076</v>
      </c>
      <c r="P319" s="2">
        <v>45077.208333333336</v>
      </c>
      <c r="Q319" s="38">
        <f t="shared" si="4"/>
        <v>1.2083333333357587</v>
      </c>
      <c r="R319" t="s">
        <v>55</v>
      </c>
      <c r="S319" t="s">
        <v>29</v>
      </c>
      <c r="T319" t="s">
        <v>43</v>
      </c>
      <c r="U319">
        <v>8</v>
      </c>
      <c r="V319">
        <v>12</v>
      </c>
      <c r="W319" s="18">
        <f>IFERROR(Table1[[#This Row],[Staff Hours Worked]]/Table1[[#This Row],[Staff Available Hours]],0)</f>
        <v>0.66666666666666663</v>
      </c>
      <c r="X319" t="s">
        <v>31</v>
      </c>
    </row>
    <row r="320" spans="1:24">
      <c r="A320" t="s">
        <v>377</v>
      </c>
      <c r="B320">
        <v>4</v>
      </c>
      <c r="C320" t="str" cm="1">
        <f t="array" ref="C320">_xlfn.IFS(B320&lt;=18,"0-18",B320&lt;=35,"19-35",B320&lt;=50,"36-50",B320&lt;=65,"51-65","True","65+")</f>
        <v>0-18</v>
      </c>
      <c r="D320" t="s">
        <v>52</v>
      </c>
      <c r="E320" s="6">
        <v>45367</v>
      </c>
      <c r="F320" s="6">
        <v>45380</v>
      </c>
      <c r="G320">
        <v>13</v>
      </c>
      <c r="H320" t="s">
        <v>63</v>
      </c>
      <c r="I320">
        <v>1</v>
      </c>
      <c r="J320" t="s">
        <v>46</v>
      </c>
      <c r="K320">
        <v>25460</v>
      </c>
      <c r="L320" t="s">
        <v>25</v>
      </c>
      <c r="M320" t="s">
        <v>26</v>
      </c>
      <c r="N320" t="s">
        <v>27</v>
      </c>
      <c r="O320" s="2">
        <v>45599</v>
      </c>
      <c r="P320" s="2">
        <v>45629.583333333336</v>
      </c>
      <c r="Q320" s="38">
        <f t="shared" si="4"/>
        <v>30.583333333335759</v>
      </c>
      <c r="R320" t="s">
        <v>37</v>
      </c>
      <c r="S320" t="s">
        <v>29</v>
      </c>
      <c r="T320" t="s">
        <v>43</v>
      </c>
      <c r="U320">
        <v>9</v>
      </c>
      <c r="V320">
        <v>10</v>
      </c>
      <c r="W320" s="18">
        <f>IFERROR(Table1[[#This Row],[Staff Hours Worked]]/Table1[[#This Row],[Staff Available Hours]],0)</f>
        <v>0.9</v>
      </c>
      <c r="X320" t="s">
        <v>68</v>
      </c>
    </row>
    <row r="321" spans="1:24">
      <c r="A321" t="s">
        <v>378</v>
      </c>
      <c r="B321">
        <v>35</v>
      </c>
      <c r="C321" t="str" cm="1">
        <f t="array" ref="C321">_xlfn.IFS(B321&lt;=18,"0-18",B321&lt;=35,"19-35",B321&lt;=50,"36-50",B321&lt;=65,"51-65","True","65+")</f>
        <v>19-35</v>
      </c>
      <c r="D321" t="s">
        <v>52</v>
      </c>
      <c r="E321" s="6">
        <v>45235</v>
      </c>
      <c r="F321" s="6">
        <v>45067</v>
      </c>
      <c r="G321">
        <v>10</v>
      </c>
      <c r="H321" t="s">
        <v>50</v>
      </c>
      <c r="I321">
        <v>3</v>
      </c>
      <c r="J321" t="s">
        <v>35</v>
      </c>
      <c r="K321">
        <v>19963</v>
      </c>
      <c r="L321" t="s">
        <v>60</v>
      </c>
      <c r="M321" t="s">
        <v>54</v>
      </c>
      <c r="N321" t="s">
        <v>41</v>
      </c>
      <c r="O321" s="2">
        <v>45235</v>
      </c>
      <c r="P321" s="2">
        <v>45265.166666666664</v>
      </c>
      <c r="Q321" s="38">
        <f t="shared" si="4"/>
        <v>30.166666666664241</v>
      </c>
      <c r="R321" t="s">
        <v>42</v>
      </c>
      <c r="S321" t="s">
        <v>38</v>
      </c>
      <c r="T321" t="s">
        <v>30</v>
      </c>
      <c r="U321">
        <v>4</v>
      </c>
      <c r="V321">
        <v>8</v>
      </c>
      <c r="W321" s="18">
        <f>IFERROR(Table1[[#This Row],[Staff Hours Worked]]/Table1[[#This Row],[Staff Available Hours]],0)</f>
        <v>0.5</v>
      </c>
      <c r="X321" t="s">
        <v>68</v>
      </c>
    </row>
    <row r="322" spans="1:24">
      <c r="A322" t="s">
        <v>379</v>
      </c>
      <c r="B322">
        <v>64</v>
      </c>
      <c r="C322" t="str" cm="1">
        <f t="array" ref="C322">_xlfn.IFS(B322&lt;=18,"0-18",B322&lt;=35,"19-35",B322&lt;=50,"36-50",B322&lt;=65,"51-65","True","65+")</f>
        <v>51-65</v>
      </c>
      <c r="D322" t="s">
        <v>62</v>
      </c>
      <c r="E322" s="6">
        <v>45262</v>
      </c>
      <c r="F322" s="6">
        <v>44979</v>
      </c>
      <c r="G322">
        <v>10</v>
      </c>
      <c r="H322" t="s">
        <v>50</v>
      </c>
      <c r="I322">
        <v>3</v>
      </c>
      <c r="J322" t="s">
        <v>35</v>
      </c>
      <c r="K322">
        <v>16580</v>
      </c>
      <c r="L322" t="s">
        <v>60</v>
      </c>
      <c r="M322" t="s">
        <v>54</v>
      </c>
      <c r="N322" t="s">
        <v>27</v>
      </c>
      <c r="O322" s="2">
        <v>45171</v>
      </c>
      <c r="P322" s="2">
        <v>45201.041666666664</v>
      </c>
      <c r="Q322" s="38">
        <f t="shared" ref="Q322:Q385" si="5">IF(OR(O322="",P322=""),"",ABS(P322-O322))</f>
        <v>30.041666666664241</v>
      </c>
      <c r="R322" t="s">
        <v>28</v>
      </c>
      <c r="S322" t="s">
        <v>29</v>
      </c>
      <c r="T322" t="s">
        <v>47</v>
      </c>
      <c r="U322">
        <v>4</v>
      </c>
      <c r="V322">
        <v>8</v>
      </c>
      <c r="W322" s="18">
        <f>IFERROR(Table1[[#This Row],[Staff Hours Worked]]/Table1[[#This Row],[Staff Available Hours]],0)</f>
        <v>0.5</v>
      </c>
      <c r="X322" t="s">
        <v>68</v>
      </c>
    </row>
    <row r="323" spans="1:24">
      <c r="A323" t="s">
        <v>380</v>
      </c>
      <c r="B323">
        <v>49</v>
      </c>
      <c r="C323" t="str" cm="1">
        <f t="array" ref="C323">_xlfn.IFS(B323&lt;=18,"0-18",B323&lt;=35,"19-35",B323&lt;=50,"36-50",B323&lt;=65,"51-65","True","65+")</f>
        <v>36-50</v>
      </c>
      <c r="D323" t="s">
        <v>41</v>
      </c>
      <c r="E323" s="6">
        <v>45271</v>
      </c>
      <c r="F323" s="6">
        <v>45244</v>
      </c>
      <c r="G323">
        <v>2</v>
      </c>
      <c r="H323" t="s">
        <v>34</v>
      </c>
      <c r="I323">
        <v>4</v>
      </c>
      <c r="J323" t="s">
        <v>35</v>
      </c>
      <c r="K323">
        <v>27286</v>
      </c>
      <c r="L323" t="s">
        <v>25</v>
      </c>
      <c r="M323" t="s">
        <v>26</v>
      </c>
      <c r="N323" t="s">
        <v>27</v>
      </c>
      <c r="O323" s="2">
        <v>45149</v>
      </c>
      <c r="P323" s="2">
        <v>45149.041666666664</v>
      </c>
      <c r="Q323" s="38">
        <f t="shared" si="5"/>
        <v>4.1666666664241347E-2</v>
      </c>
      <c r="R323" t="s">
        <v>42</v>
      </c>
      <c r="S323" t="s">
        <v>38</v>
      </c>
      <c r="T323" t="s">
        <v>43</v>
      </c>
      <c r="U323">
        <v>7</v>
      </c>
      <c r="V323">
        <v>10</v>
      </c>
      <c r="W323" s="18">
        <f>IFERROR(Table1[[#This Row],[Staff Hours Worked]]/Table1[[#This Row],[Staff Available Hours]],0)</f>
        <v>0.7</v>
      </c>
      <c r="X323" t="s">
        <v>68</v>
      </c>
    </row>
    <row r="324" spans="1:24">
      <c r="A324" t="s">
        <v>381</v>
      </c>
      <c r="B324">
        <v>17</v>
      </c>
      <c r="C324" t="str" cm="1">
        <f t="array" ref="C324">_xlfn.IFS(B324&lt;=18,"0-18",B324&lt;=35,"19-35",B324&lt;=50,"36-50",B324&lt;=65,"51-65","True","65+")</f>
        <v>0-18</v>
      </c>
      <c r="D324" t="s">
        <v>52</v>
      </c>
      <c r="E324" s="6">
        <v>45536</v>
      </c>
      <c r="F324" s="6">
        <v>45315</v>
      </c>
      <c r="G324">
        <v>15</v>
      </c>
      <c r="H324" t="s">
        <v>50</v>
      </c>
      <c r="I324">
        <v>1</v>
      </c>
      <c r="J324" t="s">
        <v>46</v>
      </c>
      <c r="K324">
        <v>32328</v>
      </c>
      <c r="L324" t="s">
        <v>67</v>
      </c>
      <c r="M324" t="s">
        <v>54</v>
      </c>
      <c r="N324" t="s">
        <v>27</v>
      </c>
      <c r="O324" s="2">
        <v>45474</v>
      </c>
      <c r="P324" s="2">
        <v>45505.916666666664</v>
      </c>
      <c r="Q324" s="38">
        <f t="shared" si="5"/>
        <v>31.916666666664241</v>
      </c>
      <c r="R324" t="s">
        <v>42</v>
      </c>
      <c r="S324" t="s">
        <v>29</v>
      </c>
      <c r="T324" t="s">
        <v>47</v>
      </c>
      <c r="U324">
        <v>5</v>
      </c>
      <c r="V324">
        <v>10</v>
      </c>
      <c r="W324" s="18">
        <f>IFERROR(Table1[[#This Row],[Staff Hours Worked]]/Table1[[#This Row],[Staff Available Hours]],0)</f>
        <v>0.5</v>
      </c>
      <c r="X324" t="s">
        <v>68</v>
      </c>
    </row>
    <row r="325" spans="1:24">
      <c r="A325" t="s">
        <v>382</v>
      </c>
      <c r="B325">
        <v>44</v>
      </c>
      <c r="C325" t="str" cm="1">
        <f t="array" ref="C325">_xlfn.IFS(B325&lt;=18,"0-18",B325&lt;=35,"19-35",B325&lt;=50,"36-50",B325&lt;=65,"51-65","True","65+")</f>
        <v>36-50</v>
      </c>
      <c r="D325" t="s">
        <v>45</v>
      </c>
      <c r="E325" s="6">
        <v>45201</v>
      </c>
      <c r="F325" s="6">
        <v>45232</v>
      </c>
      <c r="G325">
        <v>1</v>
      </c>
      <c r="H325" t="s">
        <v>63</v>
      </c>
      <c r="I325">
        <v>1</v>
      </c>
      <c r="J325" t="s">
        <v>66</v>
      </c>
      <c r="K325">
        <v>24093</v>
      </c>
      <c r="L325" t="s">
        <v>36</v>
      </c>
      <c r="M325" t="s">
        <v>54</v>
      </c>
      <c r="N325" t="s">
        <v>41</v>
      </c>
      <c r="O325" s="2">
        <v>45048</v>
      </c>
      <c r="P325" s="2">
        <v>45048.583333333336</v>
      </c>
      <c r="Q325" s="38">
        <f t="shared" si="5"/>
        <v>0.58333333333575865</v>
      </c>
      <c r="R325" t="s">
        <v>42</v>
      </c>
      <c r="S325" t="s">
        <v>29</v>
      </c>
      <c r="T325" t="s">
        <v>47</v>
      </c>
      <c r="U325">
        <v>9</v>
      </c>
      <c r="V325">
        <v>10</v>
      </c>
      <c r="W325" s="18">
        <f>IFERROR(Table1[[#This Row],[Staff Hours Worked]]/Table1[[#This Row],[Staff Available Hours]],0)</f>
        <v>0.9</v>
      </c>
      <c r="X325" t="s">
        <v>68</v>
      </c>
    </row>
    <row r="326" spans="1:24">
      <c r="A326" t="s">
        <v>383</v>
      </c>
      <c r="B326">
        <v>30</v>
      </c>
      <c r="C326" t="str" cm="1">
        <f t="array" ref="C326">_xlfn.IFS(B326&lt;=18,"0-18",B326&lt;=35,"19-35",B326&lt;=50,"36-50",B326&lt;=65,"51-65","True","65+")</f>
        <v>19-35</v>
      </c>
      <c r="D326" t="s">
        <v>33</v>
      </c>
      <c r="E326" s="6">
        <v>45323</v>
      </c>
      <c r="F326" s="6">
        <v>45413</v>
      </c>
      <c r="G326">
        <v>3</v>
      </c>
      <c r="H326" t="s">
        <v>34</v>
      </c>
      <c r="I326">
        <v>3</v>
      </c>
      <c r="J326" t="s">
        <v>66</v>
      </c>
      <c r="K326">
        <v>26605</v>
      </c>
      <c r="L326" t="s">
        <v>60</v>
      </c>
      <c r="M326" t="s">
        <v>54</v>
      </c>
      <c r="N326" t="s">
        <v>27</v>
      </c>
      <c r="O326" s="2">
        <v>45288</v>
      </c>
      <c r="P326" s="2">
        <v>45288.583333333336</v>
      </c>
      <c r="Q326" s="38">
        <f t="shared" si="5"/>
        <v>0.58333333333575865</v>
      </c>
      <c r="R326" t="s">
        <v>64</v>
      </c>
      <c r="S326" t="s">
        <v>38</v>
      </c>
      <c r="T326" t="s">
        <v>47</v>
      </c>
      <c r="U326">
        <v>9</v>
      </c>
      <c r="V326">
        <v>12</v>
      </c>
      <c r="W326" s="18">
        <f>IFERROR(Table1[[#This Row],[Staff Hours Worked]]/Table1[[#This Row],[Staff Available Hours]],0)</f>
        <v>0.75</v>
      </c>
      <c r="X326" t="s">
        <v>68</v>
      </c>
    </row>
    <row r="327" spans="1:24">
      <c r="A327" t="s">
        <v>384</v>
      </c>
      <c r="B327">
        <v>46</v>
      </c>
      <c r="C327" t="str" cm="1">
        <f t="array" ref="C327">_xlfn.IFS(B327&lt;=18,"0-18",B327&lt;=35,"19-35",B327&lt;=50,"36-50",B327&lt;=65,"51-65","True","65+")</f>
        <v>36-50</v>
      </c>
      <c r="D327" t="s">
        <v>52</v>
      </c>
      <c r="E327" s="6">
        <v>45024</v>
      </c>
      <c r="F327" s="6">
        <v>45115</v>
      </c>
      <c r="G327">
        <v>3</v>
      </c>
      <c r="H327" t="s">
        <v>34</v>
      </c>
      <c r="I327">
        <v>4</v>
      </c>
      <c r="J327" t="s">
        <v>35</v>
      </c>
      <c r="K327">
        <v>49813</v>
      </c>
      <c r="L327" t="s">
        <v>25</v>
      </c>
      <c r="M327" t="s">
        <v>54</v>
      </c>
      <c r="N327" t="s">
        <v>41</v>
      </c>
      <c r="O327" s="2">
        <v>45137</v>
      </c>
      <c r="P327" s="2">
        <v>45137.75</v>
      </c>
      <c r="Q327" s="38">
        <f t="shared" si="5"/>
        <v>0.75</v>
      </c>
      <c r="R327" t="s">
        <v>28</v>
      </c>
      <c r="S327" t="s">
        <v>29</v>
      </c>
      <c r="T327" t="s">
        <v>43</v>
      </c>
      <c r="U327">
        <v>4</v>
      </c>
      <c r="V327">
        <v>8</v>
      </c>
      <c r="W327" s="18">
        <f>IFERROR(Table1[[#This Row],[Staff Hours Worked]]/Table1[[#This Row],[Staff Available Hours]],0)</f>
        <v>0.5</v>
      </c>
      <c r="X327" t="s">
        <v>31</v>
      </c>
    </row>
    <row r="328" spans="1:24">
      <c r="A328" t="s">
        <v>385</v>
      </c>
      <c r="B328">
        <v>6</v>
      </c>
      <c r="C328" t="str" cm="1">
        <f t="array" ref="C328">_xlfn.IFS(B328&lt;=18,"0-18",B328&lt;=35,"19-35",B328&lt;=50,"36-50",B328&lt;=65,"51-65","True","65+")</f>
        <v>0-18</v>
      </c>
      <c r="D328" t="s">
        <v>45</v>
      </c>
      <c r="E328" s="6">
        <v>45182</v>
      </c>
      <c r="F328" s="6">
        <v>45195</v>
      </c>
      <c r="G328">
        <v>13</v>
      </c>
      <c r="H328" t="s">
        <v>40</v>
      </c>
      <c r="I328">
        <v>3</v>
      </c>
      <c r="J328" t="s">
        <v>46</v>
      </c>
      <c r="K328">
        <v>47705</v>
      </c>
      <c r="L328" t="s">
        <v>25</v>
      </c>
      <c r="M328" t="s">
        <v>54</v>
      </c>
      <c r="N328" t="s">
        <v>41</v>
      </c>
      <c r="O328" s="2">
        <v>45182</v>
      </c>
      <c r="P328" s="2">
        <v>45183.916666666664</v>
      </c>
      <c r="Q328" s="38">
        <f t="shared" si="5"/>
        <v>1.9166666666642413</v>
      </c>
      <c r="R328" t="s">
        <v>28</v>
      </c>
      <c r="S328" t="s">
        <v>29</v>
      </c>
      <c r="T328" t="s">
        <v>30</v>
      </c>
      <c r="U328">
        <v>9</v>
      </c>
      <c r="V328">
        <v>10</v>
      </c>
      <c r="W328" s="18">
        <f>IFERROR(Table1[[#This Row],[Staff Hours Worked]]/Table1[[#This Row],[Staff Available Hours]],0)</f>
        <v>0.9</v>
      </c>
      <c r="X328" t="s">
        <v>68</v>
      </c>
    </row>
    <row r="329" spans="1:24">
      <c r="A329" t="s">
        <v>386</v>
      </c>
      <c r="B329">
        <v>37</v>
      </c>
      <c r="C329" t="str" cm="1">
        <f t="array" ref="C329">_xlfn.IFS(B329&lt;=18,"0-18",B329&lt;=35,"19-35",B329&lt;=50,"36-50",B329&lt;=65,"51-65","True","65+")</f>
        <v>36-50</v>
      </c>
      <c r="D329" t="s">
        <v>22</v>
      </c>
      <c r="E329" s="6">
        <v>45032</v>
      </c>
      <c r="F329" s="6">
        <v>45042</v>
      </c>
      <c r="G329">
        <v>10</v>
      </c>
      <c r="H329" t="s">
        <v>40</v>
      </c>
      <c r="I329">
        <v>3</v>
      </c>
      <c r="J329" t="s">
        <v>66</v>
      </c>
      <c r="K329">
        <v>11722</v>
      </c>
      <c r="L329" t="s">
        <v>67</v>
      </c>
      <c r="M329" t="s">
        <v>54</v>
      </c>
      <c r="N329" t="s">
        <v>27</v>
      </c>
      <c r="O329" s="2">
        <v>45264</v>
      </c>
      <c r="P329" s="2">
        <v>45264.208333333336</v>
      </c>
      <c r="Q329" s="38">
        <f t="shared" si="5"/>
        <v>0.20833333333575865</v>
      </c>
      <c r="R329" t="s">
        <v>42</v>
      </c>
      <c r="S329" t="s">
        <v>29</v>
      </c>
      <c r="T329" t="s">
        <v>43</v>
      </c>
      <c r="U329">
        <v>5</v>
      </c>
      <c r="V329">
        <v>8</v>
      </c>
      <c r="W329" s="18">
        <f>IFERROR(Table1[[#This Row],[Staff Hours Worked]]/Table1[[#This Row],[Staff Available Hours]],0)</f>
        <v>0.625</v>
      </c>
      <c r="X329" t="s">
        <v>68</v>
      </c>
    </row>
    <row r="330" spans="1:24">
      <c r="A330" t="s">
        <v>387</v>
      </c>
      <c r="B330">
        <v>24</v>
      </c>
      <c r="C330" t="str" cm="1">
        <f t="array" ref="C330">_xlfn.IFS(B330&lt;=18,"0-18",B330&lt;=35,"19-35",B330&lt;=50,"36-50",B330&lt;=65,"51-65","True","65+")</f>
        <v>19-35</v>
      </c>
      <c r="D330" t="s">
        <v>45</v>
      </c>
      <c r="E330" s="6">
        <v>45289</v>
      </c>
      <c r="F330" s="6">
        <v>45290</v>
      </c>
      <c r="G330">
        <v>1</v>
      </c>
      <c r="H330" t="s">
        <v>50</v>
      </c>
      <c r="I330">
        <v>2</v>
      </c>
      <c r="J330" t="s">
        <v>66</v>
      </c>
      <c r="K330">
        <v>45969</v>
      </c>
      <c r="L330" t="s">
        <v>67</v>
      </c>
      <c r="M330" t="s">
        <v>54</v>
      </c>
      <c r="N330" t="s">
        <v>27</v>
      </c>
      <c r="O330" s="2">
        <v>45286</v>
      </c>
      <c r="P330" s="2">
        <v>45287.541666666664</v>
      </c>
      <c r="Q330" s="38">
        <f t="shared" si="5"/>
        <v>1.5416666666642413</v>
      </c>
      <c r="R330" t="s">
        <v>37</v>
      </c>
      <c r="S330" t="s">
        <v>29</v>
      </c>
      <c r="T330" t="s">
        <v>47</v>
      </c>
      <c r="U330">
        <v>11</v>
      </c>
      <c r="V330">
        <v>8</v>
      </c>
      <c r="W330" s="18">
        <f>IFERROR(Table1[[#This Row],[Staff Hours Worked]]/Table1[[#This Row],[Staff Available Hours]],0)</f>
        <v>1.375</v>
      </c>
      <c r="X330" t="s">
        <v>31</v>
      </c>
    </row>
    <row r="331" spans="1:24">
      <c r="A331" t="s">
        <v>388</v>
      </c>
      <c r="B331">
        <v>46</v>
      </c>
      <c r="C331" t="str" cm="1">
        <f t="array" ref="C331">_xlfn.IFS(B331&lt;=18,"0-18",B331&lt;=35,"19-35",B331&lt;=50,"36-50",B331&lt;=65,"51-65","True","65+")</f>
        <v>36-50</v>
      </c>
      <c r="D331" t="s">
        <v>33</v>
      </c>
      <c r="E331" s="6">
        <v>45343</v>
      </c>
      <c r="F331" s="6">
        <v>45354</v>
      </c>
      <c r="G331">
        <v>11</v>
      </c>
      <c r="H331" t="s">
        <v>34</v>
      </c>
      <c r="I331">
        <v>2</v>
      </c>
      <c r="J331" t="s">
        <v>66</v>
      </c>
      <c r="K331">
        <v>41912</v>
      </c>
      <c r="L331" t="s">
        <v>53</v>
      </c>
      <c r="M331" t="s">
        <v>54</v>
      </c>
      <c r="N331" t="s">
        <v>27</v>
      </c>
      <c r="O331" s="2">
        <v>45341</v>
      </c>
      <c r="P331" s="2">
        <v>45341.291666666664</v>
      </c>
      <c r="Q331" s="38">
        <f t="shared" si="5"/>
        <v>0.29166666666424135</v>
      </c>
      <c r="R331" t="s">
        <v>42</v>
      </c>
      <c r="S331" t="s">
        <v>29</v>
      </c>
      <c r="T331" t="s">
        <v>43</v>
      </c>
      <c r="U331">
        <v>6</v>
      </c>
      <c r="V331">
        <v>12</v>
      </c>
      <c r="W331" s="18">
        <f>IFERROR(Table1[[#This Row],[Staff Hours Worked]]/Table1[[#This Row],[Staff Available Hours]],0)</f>
        <v>0.5</v>
      </c>
      <c r="X331" t="s">
        <v>31</v>
      </c>
    </row>
    <row r="332" spans="1:24">
      <c r="A332" t="s">
        <v>389</v>
      </c>
      <c r="B332">
        <v>53</v>
      </c>
      <c r="C332" t="str" cm="1">
        <f t="array" ref="C332">_xlfn.IFS(B332&lt;=18,"0-18",B332&lt;=35,"19-35",B332&lt;=50,"36-50",B332&lt;=65,"51-65","True","65+")</f>
        <v>51-65</v>
      </c>
      <c r="D332" t="s">
        <v>45</v>
      </c>
      <c r="E332" s="6">
        <v>45144</v>
      </c>
      <c r="F332" s="6">
        <v>45205</v>
      </c>
      <c r="G332">
        <v>2</v>
      </c>
      <c r="H332" t="s">
        <v>40</v>
      </c>
      <c r="I332">
        <v>4</v>
      </c>
      <c r="J332" t="s">
        <v>46</v>
      </c>
      <c r="K332">
        <v>43374</v>
      </c>
      <c r="L332" t="s">
        <v>60</v>
      </c>
      <c r="M332" t="s">
        <v>26</v>
      </c>
      <c r="N332" t="s">
        <v>27</v>
      </c>
      <c r="O332" s="2">
        <v>44991</v>
      </c>
      <c r="P332" s="2">
        <v>45022.458333333336</v>
      </c>
      <c r="Q332" s="38">
        <f t="shared" si="5"/>
        <v>31.458333333335759</v>
      </c>
      <c r="R332" t="s">
        <v>64</v>
      </c>
      <c r="S332" t="s">
        <v>29</v>
      </c>
      <c r="T332" t="s">
        <v>43</v>
      </c>
      <c r="U332">
        <v>6</v>
      </c>
      <c r="V332">
        <v>8</v>
      </c>
      <c r="W332" s="18">
        <f>IFERROR(Table1[[#This Row],[Staff Hours Worked]]/Table1[[#This Row],[Staff Available Hours]],0)</f>
        <v>0.75</v>
      </c>
      <c r="X332" t="s">
        <v>48</v>
      </c>
    </row>
    <row r="333" spans="1:24">
      <c r="A333" t="s">
        <v>390</v>
      </c>
      <c r="B333">
        <v>60</v>
      </c>
      <c r="C333" t="str" cm="1">
        <f t="array" ref="C333">_xlfn.IFS(B333&lt;=18,"0-18",B333&lt;=35,"19-35",B333&lt;=50,"36-50",B333&lt;=65,"51-65","True","65+")</f>
        <v>51-65</v>
      </c>
      <c r="D333" t="s">
        <v>62</v>
      </c>
      <c r="E333" s="6">
        <v>45169</v>
      </c>
      <c r="F333" s="6">
        <v>45055</v>
      </c>
      <c r="G333">
        <v>5</v>
      </c>
      <c r="H333" t="s">
        <v>63</v>
      </c>
      <c r="I333">
        <v>5</v>
      </c>
      <c r="J333" t="s">
        <v>46</v>
      </c>
      <c r="K333">
        <v>11766</v>
      </c>
      <c r="L333" t="s">
        <v>53</v>
      </c>
      <c r="M333" t="s">
        <v>54</v>
      </c>
      <c r="N333" t="s">
        <v>41</v>
      </c>
      <c r="O333" s="2">
        <v>45165</v>
      </c>
      <c r="P333" s="2">
        <v>45165.5</v>
      </c>
      <c r="Q333" s="38">
        <f t="shared" si="5"/>
        <v>0.5</v>
      </c>
      <c r="R333" t="s">
        <v>55</v>
      </c>
      <c r="S333" t="s">
        <v>29</v>
      </c>
      <c r="T333" t="s">
        <v>47</v>
      </c>
      <c r="U333">
        <v>5</v>
      </c>
      <c r="V333">
        <v>10</v>
      </c>
      <c r="W333" s="18">
        <f>IFERROR(Table1[[#This Row],[Staff Hours Worked]]/Table1[[#This Row],[Staff Available Hours]],0)</f>
        <v>0.5</v>
      </c>
      <c r="X333" t="s">
        <v>68</v>
      </c>
    </row>
    <row r="334" spans="1:24">
      <c r="A334" t="s">
        <v>391</v>
      </c>
      <c r="B334">
        <v>63</v>
      </c>
      <c r="C334" t="str" cm="1">
        <f t="array" ref="C334">_xlfn.IFS(B334&lt;=18,"0-18",B334&lt;=35,"19-35",B334&lt;=50,"36-50",B334&lt;=65,"51-65","True","65+")</f>
        <v>51-65</v>
      </c>
      <c r="D334" t="s">
        <v>33</v>
      </c>
      <c r="E334" s="6">
        <v>45093</v>
      </c>
      <c r="F334" s="6">
        <v>45101</v>
      </c>
      <c r="G334">
        <v>8</v>
      </c>
      <c r="H334" t="s">
        <v>40</v>
      </c>
      <c r="I334">
        <v>2</v>
      </c>
      <c r="J334" t="s">
        <v>35</v>
      </c>
      <c r="K334">
        <v>20928</v>
      </c>
      <c r="L334" t="s">
        <v>25</v>
      </c>
      <c r="M334" t="s">
        <v>54</v>
      </c>
      <c r="N334" t="s">
        <v>27</v>
      </c>
      <c r="O334" s="2">
        <v>45266</v>
      </c>
      <c r="P334" s="2">
        <v>45090</v>
      </c>
      <c r="Q334" s="38">
        <f t="shared" si="5"/>
        <v>176</v>
      </c>
      <c r="R334" t="s">
        <v>64</v>
      </c>
      <c r="S334" t="s">
        <v>29</v>
      </c>
      <c r="T334" t="s">
        <v>47</v>
      </c>
      <c r="U334">
        <v>9</v>
      </c>
      <c r="V334">
        <v>10</v>
      </c>
      <c r="W334" s="18">
        <f>IFERROR(Table1[[#This Row],[Staff Hours Worked]]/Table1[[#This Row],[Staff Available Hours]],0)</f>
        <v>0.9</v>
      </c>
      <c r="X334" t="s">
        <v>68</v>
      </c>
    </row>
    <row r="335" spans="1:24">
      <c r="A335" t="s">
        <v>392</v>
      </c>
      <c r="B335">
        <v>85</v>
      </c>
      <c r="C335" t="str" cm="1">
        <f t="array" ref="C335">_xlfn.IFS(B335&lt;=18,"0-18",B335&lt;=35,"19-35",B335&lt;=50,"36-50",B335&lt;=65,"51-65","True","65+")</f>
        <v>65+</v>
      </c>
      <c r="D335" t="s">
        <v>41</v>
      </c>
      <c r="E335" s="6">
        <v>44933</v>
      </c>
      <c r="F335" s="6">
        <v>45267</v>
      </c>
      <c r="G335">
        <v>11</v>
      </c>
      <c r="H335" t="s">
        <v>23</v>
      </c>
      <c r="I335">
        <v>5</v>
      </c>
      <c r="J335" t="s">
        <v>71</v>
      </c>
      <c r="K335">
        <v>26274</v>
      </c>
      <c r="L335" t="s">
        <v>36</v>
      </c>
      <c r="M335" t="s">
        <v>26</v>
      </c>
      <c r="N335" t="s">
        <v>27</v>
      </c>
      <c r="O335" s="2">
        <v>45107</v>
      </c>
      <c r="P335" s="2">
        <v>45107.875</v>
      </c>
      <c r="Q335" s="38">
        <f t="shared" si="5"/>
        <v>0.875</v>
      </c>
      <c r="R335" t="s">
        <v>37</v>
      </c>
      <c r="S335" t="s">
        <v>29</v>
      </c>
      <c r="T335" t="s">
        <v>43</v>
      </c>
      <c r="U335">
        <v>9</v>
      </c>
      <c r="V335">
        <v>8</v>
      </c>
      <c r="W335" s="18">
        <f>IFERROR(Table1[[#This Row],[Staff Hours Worked]]/Table1[[#This Row],[Staff Available Hours]],0)</f>
        <v>1.125</v>
      </c>
      <c r="X335" t="s">
        <v>68</v>
      </c>
    </row>
    <row r="336" spans="1:24">
      <c r="A336" t="s">
        <v>393</v>
      </c>
      <c r="B336">
        <v>32</v>
      </c>
      <c r="C336" t="str" cm="1">
        <f t="array" ref="C336">_xlfn.IFS(B336&lt;=18,"0-18",B336&lt;=35,"19-35",B336&lt;=50,"36-50",B336&lt;=65,"51-65","True","65+")</f>
        <v>19-35</v>
      </c>
      <c r="D336" t="s">
        <v>22</v>
      </c>
      <c r="E336" s="6">
        <v>45349</v>
      </c>
      <c r="F336" s="6">
        <v>45415</v>
      </c>
      <c r="G336">
        <v>7</v>
      </c>
      <c r="H336" t="s">
        <v>23</v>
      </c>
      <c r="I336">
        <v>1</v>
      </c>
      <c r="J336" t="s">
        <v>66</v>
      </c>
      <c r="K336">
        <v>39416</v>
      </c>
      <c r="L336" t="s">
        <v>36</v>
      </c>
      <c r="M336" t="s">
        <v>54</v>
      </c>
      <c r="N336" t="s">
        <v>41</v>
      </c>
      <c r="O336" s="2">
        <v>45344</v>
      </c>
      <c r="P336" s="2">
        <v>45344.541666666664</v>
      </c>
      <c r="Q336" s="38">
        <f t="shared" si="5"/>
        <v>0.54166666666424135</v>
      </c>
      <c r="R336" t="s">
        <v>42</v>
      </c>
      <c r="S336" t="s">
        <v>29</v>
      </c>
      <c r="T336" t="s">
        <v>43</v>
      </c>
      <c r="U336">
        <v>9</v>
      </c>
      <c r="V336">
        <v>8</v>
      </c>
      <c r="W336" s="18">
        <f>IFERROR(Table1[[#This Row],[Staff Hours Worked]]/Table1[[#This Row],[Staff Available Hours]],0)</f>
        <v>1.125</v>
      </c>
      <c r="X336" t="s">
        <v>68</v>
      </c>
    </row>
    <row r="337" spans="1:24">
      <c r="A337" t="s">
        <v>394</v>
      </c>
      <c r="B337">
        <v>87</v>
      </c>
      <c r="C337" t="str" cm="1">
        <f t="array" ref="C337">_xlfn.IFS(B337&lt;=18,"0-18",B337&lt;=35,"19-35",B337&lt;=50,"36-50",B337&lt;=65,"51-65","True","65+")</f>
        <v>65+</v>
      </c>
      <c r="D337" t="s">
        <v>62</v>
      </c>
      <c r="E337" s="6">
        <v>44952</v>
      </c>
      <c r="F337" s="6">
        <v>44987</v>
      </c>
      <c r="G337">
        <v>8</v>
      </c>
      <c r="H337" t="s">
        <v>40</v>
      </c>
      <c r="I337">
        <v>2</v>
      </c>
      <c r="J337" t="s">
        <v>71</v>
      </c>
      <c r="K337">
        <v>25612</v>
      </c>
      <c r="L337" t="s">
        <v>67</v>
      </c>
      <c r="M337" t="s">
        <v>26</v>
      </c>
      <c r="N337" t="s">
        <v>27</v>
      </c>
      <c r="O337" s="2">
        <v>44952</v>
      </c>
      <c r="P337" s="2">
        <v>44953.25</v>
      </c>
      <c r="Q337" s="38">
        <f t="shared" si="5"/>
        <v>1.25</v>
      </c>
      <c r="R337" t="s">
        <v>28</v>
      </c>
      <c r="S337" t="s">
        <v>29</v>
      </c>
      <c r="T337" t="s">
        <v>43</v>
      </c>
      <c r="U337">
        <v>10</v>
      </c>
      <c r="V337">
        <v>12</v>
      </c>
      <c r="W337" s="18">
        <f>IFERROR(Table1[[#This Row],[Staff Hours Worked]]/Table1[[#This Row],[Staff Available Hours]],0)</f>
        <v>0.83333333333333337</v>
      </c>
      <c r="X337" t="s">
        <v>48</v>
      </c>
    </row>
    <row r="338" spans="1:24">
      <c r="A338" t="s">
        <v>395</v>
      </c>
      <c r="B338">
        <v>33</v>
      </c>
      <c r="C338" t="str" cm="1">
        <f t="array" ref="C338">_xlfn.IFS(B338&lt;=18,"0-18",B338&lt;=35,"19-35",B338&lt;=50,"36-50",B338&lt;=65,"51-65","True","65+")</f>
        <v>19-35</v>
      </c>
      <c r="D338" t="s">
        <v>41</v>
      </c>
      <c r="E338" s="6">
        <v>44992</v>
      </c>
      <c r="F338" s="6">
        <v>45120</v>
      </c>
      <c r="G338">
        <v>10</v>
      </c>
      <c r="H338" t="s">
        <v>34</v>
      </c>
      <c r="I338">
        <v>2</v>
      </c>
      <c r="J338" t="s">
        <v>46</v>
      </c>
      <c r="K338">
        <v>39898</v>
      </c>
      <c r="L338" t="s">
        <v>36</v>
      </c>
      <c r="M338" t="s">
        <v>54</v>
      </c>
      <c r="N338" t="s">
        <v>27</v>
      </c>
      <c r="O338" s="2">
        <v>45106</v>
      </c>
      <c r="P338" s="2">
        <v>45106.333333333336</v>
      </c>
      <c r="Q338" s="38">
        <f t="shared" si="5"/>
        <v>0.33333333333575865</v>
      </c>
      <c r="R338" t="s">
        <v>42</v>
      </c>
      <c r="S338" t="s">
        <v>29</v>
      </c>
      <c r="T338" t="s">
        <v>43</v>
      </c>
      <c r="U338">
        <v>7</v>
      </c>
      <c r="V338">
        <v>10</v>
      </c>
      <c r="W338" s="18">
        <f>IFERROR(Table1[[#This Row],[Staff Hours Worked]]/Table1[[#This Row],[Staff Available Hours]],0)</f>
        <v>0.7</v>
      </c>
      <c r="X338" t="s">
        <v>31</v>
      </c>
    </row>
    <row r="339" spans="1:24">
      <c r="A339" t="s">
        <v>396</v>
      </c>
      <c r="B339">
        <v>67</v>
      </c>
      <c r="C339" t="str" cm="1">
        <f t="array" ref="C339">_xlfn.IFS(B339&lt;=18,"0-18",B339&lt;=35,"19-35",B339&lt;=50,"36-50",B339&lt;=65,"51-65","True","65+")</f>
        <v>65+</v>
      </c>
      <c r="D339" t="s">
        <v>45</v>
      </c>
      <c r="E339" s="6">
        <v>45119</v>
      </c>
      <c r="F339" s="6">
        <v>45275</v>
      </c>
      <c r="G339">
        <v>8</v>
      </c>
      <c r="H339" t="s">
        <v>34</v>
      </c>
      <c r="I339">
        <v>4</v>
      </c>
      <c r="J339" t="s">
        <v>46</v>
      </c>
      <c r="K339">
        <v>34047</v>
      </c>
      <c r="L339" t="s">
        <v>36</v>
      </c>
      <c r="M339" t="s">
        <v>26</v>
      </c>
      <c r="N339" t="s">
        <v>27</v>
      </c>
      <c r="O339" s="2">
        <v>45028</v>
      </c>
      <c r="P339" s="2">
        <v>45028.708333333336</v>
      </c>
      <c r="Q339" s="38">
        <f t="shared" si="5"/>
        <v>0.70833333333575865</v>
      </c>
      <c r="R339" t="s">
        <v>37</v>
      </c>
      <c r="S339" t="s">
        <v>29</v>
      </c>
      <c r="T339" t="s">
        <v>30</v>
      </c>
      <c r="U339">
        <v>8</v>
      </c>
      <c r="V339">
        <v>10</v>
      </c>
      <c r="W339" s="18">
        <f>IFERROR(Table1[[#This Row],[Staff Hours Worked]]/Table1[[#This Row],[Staff Available Hours]],0)</f>
        <v>0.8</v>
      </c>
      <c r="X339" t="s">
        <v>31</v>
      </c>
    </row>
    <row r="340" spans="1:24">
      <c r="A340" t="s">
        <v>397</v>
      </c>
      <c r="B340">
        <v>18</v>
      </c>
      <c r="C340" t="str" cm="1">
        <f t="array" ref="C340">_xlfn.IFS(B340&lt;=18,"0-18",B340&lt;=35,"19-35",B340&lt;=50,"36-50",B340&lt;=65,"51-65","True","65+")</f>
        <v>0-18</v>
      </c>
      <c r="D340" t="s">
        <v>33</v>
      </c>
      <c r="E340" s="6">
        <v>45348</v>
      </c>
      <c r="F340" s="6">
        <v>45385</v>
      </c>
      <c r="G340">
        <v>7</v>
      </c>
      <c r="H340" t="s">
        <v>57</v>
      </c>
      <c r="I340">
        <v>5</v>
      </c>
      <c r="J340" t="s">
        <v>46</v>
      </c>
      <c r="K340">
        <v>48356</v>
      </c>
      <c r="L340" t="s">
        <v>36</v>
      </c>
      <c r="M340" t="s">
        <v>26</v>
      </c>
      <c r="N340" t="s">
        <v>27</v>
      </c>
      <c r="O340" s="2">
        <v>45347</v>
      </c>
      <c r="P340" s="2">
        <v>45348.791666666664</v>
      </c>
      <c r="Q340" s="38">
        <f t="shared" si="5"/>
        <v>1.7916666666642413</v>
      </c>
      <c r="R340" t="s">
        <v>28</v>
      </c>
      <c r="S340" t="s">
        <v>29</v>
      </c>
      <c r="T340" t="s">
        <v>43</v>
      </c>
      <c r="U340">
        <v>5</v>
      </c>
      <c r="V340">
        <v>8</v>
      </c>
      <c r="W340" s="18">
        <f>IFERROR(Table1[[#This Row],[Staff Hours Worked]]/Table1[[#This Row],[Staff Available Hours]],0)</f>
        <v>0.625</v>
      </c>
      <c r="X340" t="s">
        <v>68</v>
      </c>
    </row>
    <row r="341" spans="1:24">
      <c r="A341" t="s">
        <v>398</v>
      </c>
      <c r="B341">
        <v>25</v>
      </c>
      <c r="C341" t="str" cm="1">
        <f t="array" ref="C341">_xlfn.IFS(B341&lt;=18,"0-18",B341&lt;=35,"19-35",B341&lt;=50,"36-50",B341&lt;=65,"51-65","True","65+")</f>
        <v>19-35</v>
      </c>
      <c r="D341" t="s">
        <v>22</v>
      </c>
      <c r="E341" s="6">
        <v>45269</v>
      </c>
      <c r="F341" s="6">
        <v>45186</v>
      </c>
      <c r="G341">
        <v>5</v>
      </c>
      <c r="H341" t="s">
        <v>23</v>
      </c>
      <c r="I341">
        <v>2</v>
      </c>
      <c r="J341" t="s">
        <v>71</v>
      </c>
      <c r="K341">
        <v>42134</v>
      </c>
      <c r="L341" t="s">
        <v>25</v>
      </c>
      <c r="M341" t="s">
        <v>54</v>
      </c>
      <c r="N341" t="s">
        <v>27</v>
      </c>
      <c r="O341" s="2">
        <v>45147</v>
      </c>
      <c r="P341" s="2">
        <v>45178.333333333336</v>
      </c>
      <c r="Q341" s="38">
        <f t="shared" si="5"/>
        <v>31.333333333335759</v>
      </c>
      <c r="R341" t="s">
        <v>64</v>
      </c>
      <c r="S341" t="s">
        <v>29</v>
      </c>
      <c r="T341" t="s">
        <v>30</v>
      </c>
      <c r="U341">
        <v>5</v>
      </c>
      <c r="V341">
        <v>8</v>
      </c>
      <c r="W341" s="18">
        <f>IFERROR(Table1[[#This Row],[Staff Hours Worked]]/Table1[[#This Row],[Staff Available Hours]],0)</f>
        <v>0.625</v>
      </c>
      <c r="X341" t="s">
        <v>68</v>
      </c>
    </row>
    <row r="342" spans="1:24">
      <c r="A342" t="s">
        <v>399</v>
      </c>
      <c r="B342">
        <v>54</v>
      </c>
      <c r="C342" t="str" cm="1">
        <f t="array" ref="C342">_xlfn.IFS(B342&lt;=18,"0-18",B342&lt;=35,"19-35",B342&lt;=50,"36-50",B342&lt;=65,"51-65","True","65+")</f>
        <v>51-65</v>
      </c>
      <c r="D342" t="s">
        <v>62</v>
      </c>
      <c r="E342" s="6">
        <v>44936</v>
      </c>
      <c r="F342" s="6">
        <v>45056</v>
      </c>
      <c r="G342">
        <v>4</v>
      </c>
      <c r="H342" t="s">
        <v>63</v>
      </c>
      <c r="I342">
        <v>2</v>
      </c>
      <c r="J342" t="s">
        <v>46</v>
      </c>
      <c r="K342">
        <v>6506</v>
      </c>
      <c r="L342" t="s">
        <v>36</v>
      </c>
      <c r="M342" t="s">
        <v>54</v>
      </c>
      <c r="N342" t="s">
        <v>27</v>
      </c>
      <c r="O342" s="2">
        <v>45195</v>
      </c>
      <c r="P342" s="2">
        <v>45196.416666666664</v>
      </c>
      <c r="Q342" s="38">
        <f t="shared" si="5"/>
        <v>1.4166666666642413</v>
      </c>
      <c r="R342" t="s">
        <v>55</v>
      </c>
      <c r="S342" t="s">
        <v>29</v>
      </c>
      <c r="T342" t="s">
        <v>47</v>
      </c>
      <c r="U342">
        <v>10</v>
      </c>
      <c r="V342">
        <v>8</v>
      </c>
      <c r="W342" s="18">
        <f>IFERROR(Table1[[#This Row],[Staff Hours Worked]]/Table1[[#This Row],[Staff Available Hours]],0)</f>
        <v>1.25</v>
      </c>
      <c r="X342" t="s">
        <v>68</v>
      </c>
    </row>
    <row r="343" spans="1:24">
      <c r="A343" t="s">
        <v>400</v>
      </c>
      <c r="B343">
        <v>58</v>
      </c>
      <c r="C343" t="str" cm="1">
        <f t="array" ref="C343">_xlfn.IFS(B343&lt;=18,"0-18",B343&lt;=35,"19-35",B343&lt;=50,"36-50",B343&lt;=65,"51-65","True","65+")</f>
        <v>51-65</v>
      </c>
      <c r="D343" t="s">
        <v>41</v>
      </c>
      <c r="E343" s="6">
        <v>45090</v>
      </c>
      <c r="F343" s="6">
        <v>45103</v>
      </c>
      <c r="G343">
        <v>13</v>
      </c>
      <c r="H343" t="s">
        <v>34</v>
      </c>
      <c r="I343">
        <v>4</v>
      </c>
      <c r="J343" t="s">
        <v>35</v>
      </c>
      <c r="K343">
        <v>20222</v>
      </c>
      <c r="L343" t="s">
        <v>36</v>
      </c>
      <c r="M343" t="s">
        <v>54</v>
      </c>
      <c r="N343" t="s">
        <v>27</v>
      </c>
      <c r="O343" s="2">
        <v>45144</v>
      </c>
      <c r="P343" s="2">
        <v>45175.708333333336</v>
      </c>
      <c r="Q343" s="38">
        <f t="shared" si="5"/>
        <v>31.708333333335759</v>
      </c>
      <c r="R343" t="s">
        <v>55</v>
      </c>
      <c r="S343" t="s">
        <v>29</v>
      </c>
      <c r="T343" t="s">
        <v>30</v>
      </c>
      <c r="U343">
        <v>5</v>
      </c>
      <c r="V343">
        <v>10</v>
      </c>
      <c r="W343" s="18">
        <f>IFERROR(Table1[[#This Row],[Staff Hours Worked]]/Table1[[#This Row],[Staff Available Hours]],0)</f>
        <v>0.5</v>
      </c>
      <c r="X343" t="s">
        <v>48</v>
      </c>
    </row>
    <row r="344" spans="1:24">
      <c r="A344" t="s">
        <v>401</v>
      </c>
      <c r="B344">
        <v>67</v>
      </c>
      <c r="C344" t="str" cm="1">
        <f t="array" ref="C344">_xlfn.IFS(B344&lt;=18,"0-18",B344&lt;=35,"19-35",B344&lt;=50,"36-50",B344&lt;=65,"51-65","True","65+")</f>
        <v>65+</v>
      </c>
      <c r="D344" t="s">
        <v>41</v>
      </c>
      <c r="E344" s="6">
        <v>45037</v>
      </c>
      <c r="F344" s="6">
        <v>45046</v>
      </c>
      <c r="G344">
        <v>9</v>
      </c>
      <c r="H344" t="s">
        <v>50</v>
      </c>
      <c r="I344">
        <v>4</v>
      </c>
      <c r="J344" t="s">
        <v>46</v>
      </c>
      <c r="K344">
        <v>17363</v>
      </c>
      <c r="L344" t="s">
        <v>36</v>
      </c>
      <c r="M344" t="s">
        <v>54</v>
      </c>
      <c r="N344" t="s">
        <v>41</v>
      </c>
      <c r="O344" s="2">
        <v>45033</v>
      </c>
      <c r="P344" s="2">
        <v>45033.875</v>
      </c>
      <c r="Q344" s="38">
        <f t="shared" si="5"/>
        <v>0.875</v>
      </c>
      <c r="R344" t="s">
        <v>42</v>
      </c>
      <c r="S344" t="s">
        <v>29</v>
      </c>
      <c r="T344" t="s">
        <v>47</v>
      </c>
      <c r="U344">
        <v>11</v>
      </c>
      <c r="V344">
        <v>8</v>
      </c>
      <c r="W344" s="18">
        <f>IFERROR(Table1[[#This Row],[Staff Hours Worked]]/Table1[[#This Row],[Staff Available Hours]],0)</f>
        <v>1.375</v>
      </c>
      <c r="X344" t="s">
        <v>48</v>
      </c>
    </row>
    <row r="345" spans="1:24">
      <c r="A345" t="s">
        <v>402</v>
      </c>
      <c r="B345">
        <v>46</v>
      </c>
      <c r="C345" t="str" cm="1">
        <f t="array" ref="C345">_xlfn.IFS(B345&lt;=18,"0-18",B345&lt;=35,"19-35",B345&lt;=50,"36-50",B345&lt;=65,"51-65","True","65+")</f>
        <v>36-50</v>
      </c>
      <c r="D345" t="s">
        <v>22</v>
      </c>
      <c r="E345" s="6">
        <v>45318</v>
      </c>
      <c r="F345" s="6">
        <v>45320</v>
      </c>
      <c r="G345">
        <v>2</v>
      </c>
      <c r="H345" t="s">
        <v>23</v>
      </c>
      <c r="I345">
        <v>5</v>
      </c>
      <c r="J345" t="s">
        <v>24</v>
      </c>
      <c r="K345">
        <v>24613</v>
      </c>
      <c r="L345" t="s">
        <v>53</v>
      </c>
      <c r="M345" t="s">
        <v>54</v>
      </c>
      <c r="N345" t="s">
        <v>27</v>
      </c>
      <c r="O345" s="2">
        <v>45315</v>
      </c>
      <c r="P345" s="2">
        <v>45316.625</v>
      </c>
      <c r="Q345" s="38">
        <f t="shared" si="5"/>
        <v>1.625</v>
      </c>
      <c r="R345" t="s">
        <v>64</v>
      </c>
      <c r="S345" t="s">
        <v>38</v>
      </c>
      <c r="T345" t="s">
        <v>30</v>
      </c>
      <c r="U345">
        <v>11</v>
      </c>
      <c r="V345">
        <v>12</v>
      </c>
      <c r="W345" s="18">
        <f>IFERROR(Table1[[#This Row],[Staff Hours Worked]]/Table1[[#This Row],[Staff Available Hours]],0)</f>
        <v>0.91666666666666663</v>
      </c>
      <c r="X345" t="s">
        <v>31</v>
      </c>
    </row>
    <row r="346" spans="1:24">
      <c r="A346" t="s">
        <v>403</v>
      </c>
      <c r="B346">
        <v>24</v>
      </c>
      <c r="C346" t="str" cm="1">
        <f t="array" ref="C346">_xlfn.IFS(B346&lt;=18,"0-18",B346&lt;=35,"19-35",B346&lt;=50,"36-50",B346&lt;=65,"51-65","True","65+")</f>
        <v>19-35</v>
      </c>
      <c r="D346" t="s">
        <v>45</v>
      </c>
      <c r="E346" s="6">
        <v>45171</v>
      </c>
      <c r="F346" s="6">
        <v>44972</v>
      </c>
      <c r="G346">
        <v>6</v>
      </c>
      <c r="H346" t="s">
        <v>63</v>
      </c>
      <c r="I346">
        <v>1</v>
      </c>
      <c r="J346" t="s">
        <v>71</v>
      </c>
      <c r="K346">
        <v>49563</v>
      </c>
      <c r="L346" t="s">
        <v>25</v>
      </c>
      <c r="M346" t="s">
        <v>26</v>
      </c>
      <c r="N346" t="s">
        <v>27</v>
      </c>
      <c r="O346" s="2">
        <v>45140</v>
      </c>
      <c r="P346" s="2">
        <v>45171.041666666664</v>
      </c>
      <c r="Q346" s="38">
        <f t="shared" si="5"/>
        <v>31.041666666664241</v>
      </c>
      <c r="R346" t="s">
        <v>37</v>
      </c>
      <c r="S346" t="s">
        <v>29</v>
      </c>
      <c r="T346" t="s">
        <v>47</v>
      </c>
      <c r="U346">
        <v>5</v>
      </c>
      <c r="V346">
        <v>12</v>
      </c>
      <c r="W346" s="18">
        <f>IFERROR(Table1[[#This Row],[Staff Hours Worked]]/Table1[[#This Row],[Staff Available Hours]],0)</f>
        <v>0.41666666666666669</v>
      </c>
      <c r="X346" t="s">
        <v>68</v>
      </c>
    </row>
    <row r="347" spans="1:24">
      <c r="A347" t="s">
        <v>404</v>
      </c>
      <c r="B347">
        <v>32</v>
      </c>
      <c r="C347" t="str" cm="1">
        <f t="array" ref="C347">_xlfn.IFS(B347&lt;=18,"0-18",B347&lt;=35,"19-35",B347&lt;=50,"36-50",B347&lt;=65,"51-65","True","65+")</f>
        <v>19-35</v>
      </c>
      <c r="D347" t="s">
        <v>22</v>
      </c>
      <c r="E347" s="6">
        <v>45408</v>
      </c>
      <c r="F347" s="6">
        <v>45356</v>
      </c>
      <c r="G347">
        <v>7</v>
      </c>
      <c r="H347" t="s">
        <v>63</v>
      </c>
      <c r="I347">
        <v>1</v>
      </c>
      <c r="J347" t="s">
        <v>24</v>
      </c>
      <c r="K347">
        <v>35628</v>
      </c>
      <c r="L347" t="s">
        <v>67</v>
      </c>
      <c r="M347" t="s">
        <v>54</v>
      </c>
      <c r="N347" t="s">
        <v>27</v>
      </c>
      <c r="O347" s="2">
        <v>45403</v>
      </c>
      <c r="P347" s="2">
        <v>45404.666666666664</v>
      </c>
      <c r="Q347" s="38">
        <f t="shared" si="5"/>
        <v>1.6666666666642413</v>
      </c>
      <c r="R347" t="s">
        <v>55</v>
      </c>
      <c r="S347" t="s">
        <v>29</v>
      </c>
      <c r="T347" t="s">
        <v>43</v>
      </c>
      <c r="U347">
        <v>10</v>
      </c>
      <c r="V347">
        <v>8</v>
      </c>
      <c r="W347" s="18">
        <f>IFERROR(Table1[[#This Row],[Staff Hours Worked]]/Table1[[#This Row],[Staff Available Hours]],0)</f>
        <v>1.25</v>
      </c>
      <c r="X347" t="s">
        <v>68</v>
      </c>
    </row>
    <row r="348" spans="1:24">
      <c r="A348" t="s">
        <v>405</v>
      </c>
      <c r="B348">
        <v>47</v>
      </c>
      <c r="C348" t="str" cm="1">
        <f t="array" ref="C348">_xlfn.IFS(B348&lt;=18,"0-18",B348&lt;=35,"19-35",B348&lt;=50,"36-50",B348&lt;=65,"51-65","True","65+")</f>
        <v>36-50</v>
      </c>
      <c r="D348" t="s">
        <v>41</v>
      </c>
      <c r="E348" s="6">
        <v>45154</v>
      </c>
      <c r="F348" s="6">
        <v>45156</v>
      </c>
      <c r="G348">
        <v>2</v>
      </c>
      <c r="H348" t="s">
        <v>34</v>
      </c>
      <c r="I348">
        <v>3</v>
      </c>
      <c r="J348" t="s">
        <v>46</v>
      </c>
      <c r="K348">
        <v>47626</v>
      </c>
      <c r="L348" t="s">
        <v>53</v>
      </c>
      <c r="M348" t="s">
        <v>54</v>
      </c>
      <c r="N348" t="s">
        <v>27</v>
      </c>
      <c r="O348" s="2">
        <v>45153</v>
      </c>
      <c r="P348" s="2">
        <v>45154.083333333336</v>
      </c>
      <c r="Q348" s="38">
        <f t="shared" si="5"/>
        <v>1.0833333333357587</v>
      </c>
      <c r="R348" t="s">
        <v>64</v>
      </c>
      <c r="S348" t="s">
        <v>29</v>
      </c>
      <c r="T348" t="s">
        <v>30</v>
      </c>
      <c r="U348">
        <v>5</v>
      </c>
      <c r="V348">
        <v>12</v>
      </c>
      <c r="W348" s="18">
        <f>IFERROR(Table1[[#This Row],[Staff Hours Worked]]/Table1[[#This Row],[Staff Available Hours]],0)</f>
        <v>0.41666666666666669</v>
      </c>
      <c r="X348" t="s">
        <v>68</v>
      </c>
    </row>
    <row r="349" spans="1:24">
      <c r="A349" t="s">
        <v>406</v>
      </c>
      <c r="B349">
        <v>86</v>
      </c>
      <c r="C349" t="str" cm="1">
        <f t="array" ref="C349">_xlfn.IFS(B349&lt;=18,"0-18",B349&lt;=35,"19-35",B349&lt;=50,"36-50",B349&lt;=65,"51-65","True","65+")</f>
        <v>65+</v>
      </c>
      <c r="D349" t="s">
        <v>52</v>
      </c>
      <c r="E349" s="6">
        <v>45131</v>
      </c>
      <c r="F349" s="6">
        <v>45136</v>
      </c>
      <c r="G349">
        <v>5</v>
      </c>
      <c r="H349" t="s">
        <v>63</v>
      </c>
      <c r="I349">
        <v>2</v>
      </c>
      <c r="J349" t="s">
        <v>35</v>
      </c>
      <c r="K349">
        <v>9136</v>
      </c>
      <c r="L349" t="s">
        <v>60</v>
      </c>
      <c r="M349" t="s">
        <v>26</v>
      </c>
      <c r="N349" t="s">
        <v>27</v>
      </c>
      <c r="O349" s="2">
        <v>45131</v>
      </c>
      <c r="P349" s="2">
        <v>45132.583333333336</v>
      </c>
      <c r="Q349" s="38">
        <f t="shared" si="5"/>
        <v>1.5833333333357587</v>
      </c>
      <c r="R349" t="s">
        <v>42</v>
      </c>
      <c r="S349" t="s">
        <v>29</v>
      </c>
      <c r="T349" t="s">
        <v>30</v>
      </c>
      <c r="U349">
        <v>9</v>
      </c>
      <c r="V349">
        <v>12</v>
      </c>
      <c r="W349" s="18">
        <f>IFERROR(Table1[[#This Row],[Staff Hours Worked]]/Table1[[#This Row],[Staff Available Hours]],0)</f>
        <v>0.75</v>
      </c>
      <c r="X349" t="s">
        <v>68</v>
      </c>
    </row>
    <row r="350" spans="1:24">
      <c r="A350" t="s">
        <v>407</v>
      </c>
      <c r="B350">
        <v>23</v>
      </c>
      <c r="C350" t="str" cm="1">
        <f t="array" ref="C350">_xlfn.IFS(B350&lt;=18,"0-18",B350&lt;=35,"19-35",B350&lt;=50,"36-50",B350&lt;=65,"51-65","True","65+")</f>
        <v>19-35</v>
      </c>
      <c r="D350" t="s">
        <v>62</v>
      </c>
      <c r="E350" s="6">
        <v>45398</v>
      </c>
      <c r="F350" s="6">
        <v>45409</v>
      </c>
      <c r="G350">
        <v>11</v>
      </c>
      <c r="H350" t="s">
        <v>34</v>
      </c>
      <c r="I350">
        <v>5</v>
      </c>
      <c r="J350" t="s">
        <v>66</v>
      </c>
      <c r="K350">
        <v>16161</v>
      </c>
      <c r="L350" t="s">
        <v>25</v>
      </c>
      <c r="M350" t="s">
        <v>54</v>
      </c>
      <c r="N350" t="s">
        <v>27</v>
      </c>
      <c r="O350" s="2">
        <v>45630</v>
      </c>
      <c r="P350" s="2">
        <v>45630.333333333336</v>
      </c>
      <c r="Q350" s="38">
        <f t="shared" si="5"/>
        <v>0.33333333333575865</v>
      </c>
      <c r="R350" t="s">
        <v>28</v>
      </c>
      <c r="S350" t="s">
        <v>29</v>
      </c>
      <c r="T350" t="s">
        <v>47</v>
      </c>
      <c r="U350">
        <v>10</v>
      </c>
      <c r="V350">
        <v>12</v>
      </c>
      <c r="W350" s="18">
        <f>IFERROR(Table1[[#This Row],[Staff Hours Worked]]/Table1[[#This Row],[Staff Available Hours]],0)</f>
        <v>0.83333333333333337</v>
      </c>
      <c r="X350" t="s">
        <v>48</v>
      </c>
    </row>
    <row r="351" spans="1:24">
      <c r="A351" t="s">
        <v>408</v>
      </c>
      <c r="B351">
        <v>66</v>
      </c>
      <c r="C351" t="str" cm="1">
        <f t="array" ref="C351">_xlfn.IFS(B351&lt;=18,"0-18",B351&lt;=35,"19-35",B351&lt;=50,"36-50",B351&lt;=65,"51-65","True","65+")</f>
        <v>65+</v>
      </c>
      <c r="D351" t="s">
        <v>22</v>
      </c>
      <c r="E351" s="6">
        <v>45285</v>
      </c>
      <c r="F351" s="6">
        <v>45413</v>
      </c>
      <c r="G351">
        <v>11</v>
      </c>
      <c r="H351" t="s">
        <v>40</v>
      </c>
      <c r="I351">
        <v>2</v>
      </c>
      <c r="J351" t="s">
        <v>46</v>
      </c>
      <c r="K351">
        <v>40457</v>
      </c>
      <c r="L351" t="s">
        <v>25</v>
      </c>
      <c r="M351" t="s">
        <v>26</v>
      </c>
      <c r="N351" t="s">
        <v>41</v>
      </c>
      <c r="O351" s="2">
        <v>45280</v>
      </c>
      <c r="P351" s="2">
        <v>45280.958333333336</v>
      </c>
      <c r="Q351" s="38">
        <f t="shared" si="5"/>
        <v>0.95833333333575865</v>
      </c>
      <c r="R351" t="s">
        <v>42</v>
      </c>
      <c r="S351" t="s">
        <v>29</v>
      </c>
      <c r="T351" t="s">
        <v>47</v>
      </c>
      <c r="U351">
        <v>7</v>
      </c>
      <c r="V351">
        <v>12</v>
      </c>
      <c r="W351" s="18">
        <f>IFERROR(Table1[[#This Row],[Staff Hours Worked]]/Table1[[#This Row],[Staff Available Hours]],0)</f>
        <v>0.58333333333333337</v>
      </c>
      <c r="X351" t="s">
        <v>31</v>
      </c>
    </row>
    <row r="352" spans="1:24">
      <c r="A352" t="s">
        <v>409</v>
      </c>
      <c r="B352">
        <v>27</v>
      </c>
      <c r="C352" t="str" cm="1">
        <f t="array" ref="C352">_xlfn.IFS(B352&lt;=18,"0-18",B352&lt;=35,"19-35",B352&lt;=50,"36-50",B352&lt;=65,"51-65","True","65+")</f>
        <v>19-35</v>
      </c>
      <c r="D352" t="s">
        <v>41</v>
      </c>
      <c r="E352" s="6">
        <v>45180</v>
      </c>
      <c r="F352" s="6">
        <v>45249</v>
      </c>
      <c r="G352">
        <v>10</v>
      </c>
      <c r="H352" t="s">
        <v>23</v>
      </c>
      <c r="I352">
        <v>5</v>
      </c>
      <c r="J352" t="s">
        <v>35</v>
      </c>
      <c r="K352">
        <v>28574</v>
      </c>
      <c r="L352" t="s">
        <v>60</v>
      </c>
      <c r="M352" t="s">
        <v>26</v>
      </c>
      <c r="N352" t="s">
        <v>27</v>
      </c>
      <c r="O352" s="2">
        <v>45180</v>
      </c>
      <c r="P352" s="2">
        <v>45180.958333333336</v>
      </c>
      <c r="Q352" s="38">
        <f t="shared" si="5"/>
        <v>0.95833333333575865</v>
      </c>
      <c r="R352" t="s">
        <v>42</v>
      </c>
      <c r="S352" t="s">
        <v>29</v>
      </c>
      <c r="T352" t="s">
        <v>30</v>
      </c>
      <c r="U352">
        <v>4</v>
      </c>
      <c r="V352">
        <v>12</v>
      </c>
      <c r="W352" s="18">
        <f>IFERROR(Table1[[#This Row],[Staff Hours Worked]]/Table1[[#This Row],[Staff Available Hours]],0)</f>
        <v>0.33333333333333331</v>
      </c>
      <c r="X352" t="s">
        <v>31</v>
      </c>
    </row>
    <row r="353" spans="1:24">
      <c r="A353" t="s">
        <v>410</v>
      </c>
      <c r="B353">
        <v>2</v>
      </c>
      <c r="C353" t="str" cm="1">
        <f t="array" ref="C353">_xlfn.IFS(B353&lt;=18,"0-18",B353&lt;=35,"19-35",B353&lt;=50,"36-50",B353&lt;=65,"51-65","True","65+")</f>
        <v>0-18</v>
      </c>
      <c r="D353" t="s">
        <v>45</v>
      </c>
      <c r="E353" s="6">
        <v>45160</v>
      </c>
      <c r="F353" s="6">
        <v>45168</v>
      </c>
      <c r="G353">
        <v>8</v>
      </c>
      <c r="H353" t="s">
        <v>57</v>
      </c>
      <c r="I353">
        <v>5</v>
      </c>
      <c r="J353" t="s">
        <v>71</v>
      </c>
      <c r="K353">
        <v>31902</v>
      </c>
      <c r="L353" t="s">
        <v>60</v>
      </c>
      <c r="M353" t="s">
        <v>54</v>
      </c>
      <c r="N353" t="s">
        <v>27</v>
      </c>
      <c r="O353" s="2">
        <v>45159</v>
      </c>
      <c r="P353" s="2">
        <v>45160.25</v>
      </c>
      <c r="Q353" s="38">
        <f t="shared" si="5"/>
        <v>1.25</v>
      </c>
      <c r="R353" t="s">
        <v>64</v>
      </c>
      <c r="S353" t="s">
        <v>29</v>
      </c>
      <c r="T353" t="s">
        <v>47</v>
      </c>
      <c r="U353">
        <v>9</v>
      </c>
      <c r="V353">
        <v>10</v>
      </c>
      <c r="W353" s="18">
        <f>IFERROR(Table1[[#This Row],[Staff Hours Worked]]/Table1[[#This Row],[Staff Available Hours]],0)</f>
        <v>0.9</v>
      </c>
      <c r="X353" t="s">
        <v>48</v>
      </c>
    </row>
    <row r="354" spans="1:24">
      <c r="A354" t="s">
        <v>411</v>
      </c>
      <c r="B354">
        <v>17</v>
      </c>
      <c r="C354" t="str" cm="1">
        <f t="array" ref="C354">_xlfn.IFS(B354&lt;=18,"0-18",B354&lt;=35,"19-35",B354&lt;=50,"36-50",B354&lt;=65,"51-65","True","65+")</f>
        <v>0-18</v>
      </c>
      <c r="D354" t="s">
        <v>41</v>
      </c>
      <c r="E354" s="6">
        <v>45155</v>
      </c>
      <c r="F354" s="6">
        <v>45164</v>
      </c>
      <c r="G354">
        <v>9</v>
      </c>
      <c r="H354" t="s">
        <v>40</v>
      </c>
      <c r="I354">
        <v>5</v>
      </c>
      <c r="J354" t="s">
        <v>24</v>
      </c>
      <c r="K354">
        <v>7810</v>
      </c>
      <c r="L354" t="s">
        <v>60</v>
      </c>
      <c r="M354" t="s">
        <v>54</v>
      </c>
      <c r="N354" t="s">
        <v>41</v>
      </c>
      <c r="O354" s="2">
        <v>45155</v>
      </c>
      <c r="P354" s="2">
        <v>45156.666666666664</v>
      </c>
      <c r="Q354" s="38">
        <f t="shared" si="5"/>
        <v>1.6666666666642413</v>
      </c>
      <c r="R354" t="s">
        <v>55</v>
      </c>
      <c r="S354" t="s">
        <v>29</v>
      </c>
      <c r="T354" t="s">
        <v>43</v>
      </c>
      <c r="U354">
        <v>11</v>
      </c>
      <c r="V354">
        <v>8</v>
      </c>
      <c r="W354" s="18">
        <f>IFERROR(Table1[[#This Row],[Staff Hours Worked]]/Table1[[#This Row],[Staff Available Hours]],0)</f>
        <v>1.375</v>
      </c>
      <c r="X354" t="s">
        <v>68</v>
      </c>
    </row>
    <row r="355" spans="1:24">
      <c r="A355" t="s">
        <v>412</v>
      </c>
      <c r="B355">
        <v>33</v>
      </c>
      <c r="C355" t="str" cm="1">
        <f t="array" ref="C355">_xlfn.IFS(B355&lt;=18,"0-18",B355&lt;=35,"19-35",B355&lt;=50,"36-50",B355&lt;=65,"51-65","True","65+")</f>
        <v>19-35</v>
      </c>
      <c r="D355" t="s">
        <v>45</v>
      </c>
      <c r="E355" s="6">
        <v>44951</v>
      </c>
      <c r="F355" s="6">
        <v>45048</v>
      </c>
      <c r="G355">
        <v>11</v>
      </c>
      <c r="H355" t="s">
        <v>23</v>
      </c>
      <c r="I355">
        <v>2</v>
      </c>
      <c r="J355" t="s">
        <v>24</v>
      </c>
      <c r="K355">
        <v>16663</v>
      </c>
      <c r="L355" t="s">
        <v>67</v>
      </c>
      <c r="M355" t="s">
        <v>54</v>
      </c>
      <c r="N355" t="s">
        <v>27</v>
      </c>
      <c r="O355" s="2">
        <v>44948</v>
      </c>
      <c r="P355" s="2">
        <v>44948.5</v>
      </c>
      <c r="Q355" s="38">
        <f t="shared" si="5"/>
        <v>0.5</v>
      </c>
      <c r="R355" t="s">
        <v>64</v>
      </c>
      <c r="S355" t="s">
        <v>29</v>
      </c>
      <c r="T355" t="s">
        <v>30</v>
      </c>
      <c r="U355">
        <v>9</v>
      </c>
      <c r="V355">
        <v>12</v>
      </c>
      <c r="W355" s="18">
        <f>IFERROR(Table1[[#This Row],[Staff Hours Worked]]/Table1[[#This Row],[Staff Available Hours]],0)</f>
        <v>0.75</v>
      </c>
      <c r="X355" t="s">
        <v>31</v>
      </c>
    </row>
    <row r="356" spans="1:24">
      <c r="A356" t="s">
        <v>413</v>
      </c>
      <c r="B356">
        <v>9</v>
      </c>
      <c r="C356" t="str" cm="1">
        <f t="array" ref="C356">_xlfn.IFS(B356&lt;=18,"0-18",B356&lt;=35,"19-35",B356&lt;=50,"36-50",B356&lt;=65,"51-65","True","65+")</f>
        <v>0-18</v>
      </c>
      <c r="D356" t="s">
        <v>22</v>
      </c>
      <c r="E356" s="6">
        <v>45124</v>
      </c>
      <c r="F356" s="6">
        <v>45129</v>
      </c>
      <c r="G356">
        <v>5</v>
      </c>
      <c r="H356" t="s">
        <v>34</v>
      </c>
      <c r="I356">
        <v>4</v>
      </c>
      <c r="J356" t="s">
        <v>24</v>
      </c>
      <c r="K356">
        <v>11152</v>
      </c>
      <c r="L356" t="s">
        <v>36</v>
      </c>
      <c r="M356" t="s">
        <v>26</v>
      </c>
      <c r="N356" t="s">
        <v>27</v>
      </c>
      <c r="O356" s="2">
        <v>45122</v>
      </c>
      <c r="P356" s="2">
        <v>45123.833333333336</v>
      </c>
      <c r="Q356" s="38">
        <f t="shared" si="5"/>
        <v>1.8333333333357587</v>
      </c>
      <c r="R356" t="s">
        <v>28</v>
      </c>
      <c r="S356" t="s">
        <v>29</v>
      </c>
      <c r="T356" t="s">
        <v>43</v>
      </c>
      <c r="U356">
        <v>8</v>
      </c>
      <c r="V356">
        <v>8</v>
      </c>
      <c r="W356" s="18">
        <f>IFERROR(Table1[[#This Row],[Staff Hours Worked]]/Table1[[#This Row],[Staff Available Hours]],0)</f>
        <v>1</v>
      </c>
      <c r="X356" t="s">
        <v>31</v>
      </c>
    </row>
    <row r="357" spans="1:24">
      <c r="A357" t="s">
        <v>414</v>
      </c>
      <c r="B357">
        <v>43</v>
      </c>
      <c r="C357" t="str" cm="1">
        <f t="array" ref="C357">_xlfn.IFS(B357&lt;=18,"0-18",B357&lt;=35,"19-35",B357&lt;=50,"36-50",B357&lt;=65,"51-65","True","65+")</f>
        <v>36-50</v>
      </c>
      <c r="D357" t="s">
        <v>45</v>
      </c>
      <c r="E357" s="6">
        <v>45335</v>
      </c>
      <c r="F357" s="6">
        <v>45336</v>
      </c>
      <c r="G357">
        <v>1</v>
      </c>
      <c r="H357" t="s">
        <v>23</v>
      </c>
      <c r="I357">
        <v>2</v>
      </c>
      <c r="J357" t="s">
        <v>71</v>
      </c>
      <c r="K357">
        <v>5012</v>
      </c>
      <c r="L357" t="s">
        <v>25</v>
      </c>
      <c r="M357" t="s">
        <v>54</v>
      </c>
      <c r="N357" t="s">
        <v>27</v>
      </c>
      <c r="O357" s="2">
        <v>45567</v>
      </c>
      <c r="P357" s="2">
        <v>45598.916666666664</v>
      </c>
      <c r="Q357" s="38">
        <f t="shared" si="5"/>
        <v>31.916666666664241</v>
      </c>
      <c r="R357" t="s">
        <v>64</v>
      </c>
      <c r="S357" t="s">
        <v>29</v>
      </c>
      <c r="T357" t="s">
        <v>30</v>
      </c>
      <c r="U357">
        <v>10</v>
      </c>
      <c r="V357">
        <v>12</v>
      </c>
      <c r="W357" s="18">
        <f>IFERROR(Table1[[#This Row],[Staff Hours Worked]]/Table1[[#This Row],[Staff Available Hours]],0)</f>
        <v>0.83333333333333337</v>
      </c>
      <c r="X357" t="s">
        <v>48</v>
      </c>
    </row>
    <row r="358" spans="1:24">
      <c r="A358" t="s">
        <v>415</v>
      </c>
      <c r="B358">
        <v>48</v>
      </c>
      <c r="C358" t="str" cm="1">
        <f t="array" ref="C358">_xlfn.IFS(B358&lt;=18,"0-18",B358&lt;=35,"19-35",B358&lt;=50,"36-50",B358&lt;=65,"51-65","True","65+")</f>
        <v>36-50</v>
      </c>
      <c r="D358" t="s">
        <v>33</v>
      </c>
      <c r="E358" s="6">
        <v>44997</v>
      </c>
      <c r="F358" s="6">
        <v>45119</v>
      </c>
      <c r="G358">
        <v>4</v>
      </c>
      <c r="H358" t="s">
        <v>34</v>
      </c>
      <c r="I358">
        <v>5</v>
      </c>
      <c r="J358" t="s">
        <v>35</v>
      </c>
      <c r="K358">
        <v>16162</v>
      </c>
      <c r="L358" t="s">
        <v>36</v>
      </c>
      <c r="M358" t="s">
        <v>26</v>
      </c>
      <c r="N358" t="s">
        <v>41</v>
      </c>
      <c r="O358" s="2">
        <v>44969</v>
      </c>
      <c r="P358" s="2">
        <v>44969.833333333336</v>
      </c>
      <c r="Q358" s="38">
        <f t="shared" si="5"/>
        <v>0.83333333333575865</v>
      </c>
      <c r="R358" t="s">
        <v>37</v>
      </c>
      <c r="S358" t="s">
        <v>29</v>
      </c>
      <c r="T358" t="s">
        <v>43</v>
      </c>
      <c r="U358">
        <v>11</v>
      </c>
      <c r="V358">
        <v>10</v>
      </c>
      <c r="W358" s="18">
        <f>IFERROR(Table1[[#This Row],[Staff Hours Worked]]/Table1[[#This Row],[Staff Available Hours]],0)</f>
        <v>1.1000000000000001</v>
      </c>
      <c r="X358" t="s">
        <v>68</v>
      </c>
    </row>
    <row r="359" spans="1:24">
      <c r="A359" t="s">
        <v>416</v>
      </c>
      <c r="B359">
        <v>39</v>
      </c>
      <c r="C359" t="str" cm="1">
        <f t="array" ref="C359">_xlfn.IFS(B359&lt;=18,"0-18",B359&lt;=35,"19-35",B359&lt;=50,"36-50",B359&lt;=65,"51-65","True","65+")</f>
        <v>36-50</v>
      </c>
      <c r="D359" t="s">
        <v>33</v>
      </c>
      <c r="E359" s="6">
        <v>45212</v>
      </c>
      <c r="F359" s="6">
        <v>45219</v>
      </c>
      <c r="G359">
        <v>7</v>
      </c>
      <c r="H359" t="s">
        <v>40</v>
      </c>
      <c r="I359">
        <v>3</v>
      </c>
      <c r="J359" t="s">
        <v>71</v>
      </c>
      <c r="K359">
        <v>27322</v>
      </c>
      <c r="L359" t="s">
        <v>36</v>
      </c>
      <c r="M359" t="s">
        <v>26</v>
      </c>
      <c r="N359" t="s">
        <v>41</v>
      </c>
      <c r="O359" s="2">
        <v>45209</v>
      </c>
      <c r="P359" s="2">
        <v>45240.666666666664</v>
      </c>
      <c r="Q359" s="38">
        <f t="shared" si="5"/>
        <v>31.666666666664241</v>
      </c>
      <c r="R359" t="s">
        <v>42</v>
      </c>
      <c r="S359" t="s">
        <v>29</v>
      </c>
      <c r="T359" t="s">
        <v>30</v>
      </c>
      <c r="U359">
        <v>4</v>
      </c>
      <c r="V359">
        <v>10</v>
      </c>
      <c r="W359" s="18">
        <f>IFERROR(Table1[[#This Row],[Staff Hours Worked]]/Table1[[#This Row],[Staff Available Hours]],0)</f>
        <v>0.4</v>
      </c>
      <c r="X359" t="s">
        <v>31</v>
      </c>
    </row>
    <row r="360" spans="1:24">
      <c r="A360" t="s">
        <v>417</v>
      </c>
      <c r="B360">
        <v>42</v>
      </c>
      <c r="C360" t="str" cm="1">
        <f t="array" ref="C360">_xlfn.IFS(B360&lt;=18,"0-18",B360&lt;=35,"19-35",B360&lt;=50,"36-50",B360&lt;=65,"51-65","True","65+")</f>
        <v>36-50</v>
      </c>
      <c r="D360" t="s">
        <v>33</v>
      </c>
      <c r="E360" s="6">
        <v>44998</v>
      </c>
      <c r="F360" s="6">
        <v>45008</v>
      </c>
      <c r="G360">
        <v>10</v>
      </c>
      <c r="H360" t="s">
        <v>50</v>
      </c>
      <c r="I360">
        <v>1</v>
      </c>
      <c r="J360" t="s">
        <v>24</v>
      </c>
      <c r="K360">
        <v>12999</v>
      </c>
      <c r="L360" t="s">
        <v>60</v>
      </c>
      <c r="M360" t="s">
        <v>54</v>
      </c>
      <c r="N360" t="s">
        <v>27</v>
      </c>
      <c r="O360" s="2">
        <v>45141</v>
      </c>
      <c r="P360" s="2">
        <v>45172.583333333336</v>
      </c>
      <c r="Q360" s="38">
        <f t="shared" si="5"/>
        <v>31.583333333335759</v>
      </c>
      <c r="R360" t="s">
        <v>55</v>
      </c>
      <c r="S360" t="s">
        <v>29</v>
      </c>
      <c r="T360" t="s">
        <v>47</v>
      </c>
      <c r="U360">
        <v>5</v>
      </c>
      <c r="V360">
        <v>12</v>
      </c>
      <c r="W360" s="18">
        <f>IFERROR(Table1[[#This Row],[Staff Hours Worked]]/Table1[[#This Row],[Staff Available Hours]],0)</f>
        <v>0.41666666666666669</v>
      </c>
      <c r="X360" t="s">
        <v>68</v>
      </c>
    </row>
    <row r="361" spans="1:24">
      <c r="A361" t="s">
        <v>418</v>
      </c>
      <c r="B361">
        <v>26</v>
      </c>
      <c r="C361" t="str" cm="1">
        <f t="array" ref="C361">_xlfn.IFS(B361&lt;=18,"0-18",B361&lt;=35,"19-35",B361&lt;=50,"36-50",B361&lt;=65,"51-65","True","65+")</f>
        <v>19-35</v>
      </c>
      <c r="D361" t="s">
        <v>52</v>
      </c>
      <c r="E361" s="6">
        <v>45212</v>
      </c>
      <c r="F361" s="6">
        <v>45213</v>
      </c>
      <c r="G361">
        <v>1</v>
      </c>
      <c r="H361" t="s">
        <v>50</v>
      </c>
      <c r="I361">
        <v>5</v>
      </c>
      <c r="J361" t="s">
        <v>46</v>
      </c>
      <c r="K361">
        <v>12219</v>
      </c>
      <c r="L361" t="s">
        <v>67</v>
      </c>
      <c r="M361" t="s">
        <v>26</v>
      </c>
      <c r="N361" t="s">
        <v>41</v>
      </c>
      <c r="O361" s="2">
        <v>45270</v>
      </c>
      <c r="P361" s="2">
        <v>45270.25</v>
      </c>
      <c r="Q361" s="38">
        <f t="shared" si="5"/>
        <v>0.25</v>
      </c>
      <c r="R361" t="s">
        <v>28</v>
      </c>
      <c r="S361" t="s">
        <v>29</v>
      </c>
      <c r="T361" t="s">
        <v>30</v>
      </c>
      <c r="U361">
        <v>4</v>
      </c>
      <c r="V361">
        <v>12</v>
      </c>
      <c r="W361" s="18">
        <f>IFERROR(Table1[[#This Row],[Staff Hours Worked]]/Table1[[#This Row],[Staff Available Hours]],0)</f>
        <v>0.33333333333333331</v>
      </c>
      <c r="X361" t="s">
        <v>31</v>
      </c>
    </row>
    <row r="362" spans="1:24">
      <c r="A362" t="s">
        <v>419</v>
      </c>
      <c r="B362">
        <v>50</v>
      </c>
      <c r="C362" t="str" cm="1">
        <f t="array" ref="C362">_xlfn.IFS(B362&lt;=18,"0-18",B362&lt;=35,"19-35",B362&lt;=50,"36-50",B362&lt;=65,"51-65","True","65+")</f>
        <v>36-50</v>
      </c>
      <c r="D362" t="s">
        <v>22</v>
      </c>
      <c r="E362" s="6">
        <v>45286</v>
      </c>
      <c r="F362" s="6">
        <v>45287</v>
      </c>
      <c r="G362">
        <v>1</v>
      </c>
      <c r="H362" t="s">
        <v>23</v>
      </c>
      <c r="I362">
        <v>3</v>
      </c>
      <c r="J362" t="s">
        <v>66</v>
      </c>
      <c r="K362">
        <v>10328</v>
      </c>
      <c r="L362" t="s">
        <v>53</v>
      </c>
      <c r="M362" t="s">
        <v>54</v>
      </c>
      <c r="N362" t="s">
        <v>27</v>
      </c>
      <c r="O362" s="2">
        <v>45283</v>
      </c>
      <c r="P362" s="2">
        <v>45284.833333333336</v>
      </c>
      <c r="Q362" s="38">
        <f t="shared" si="5"/>
        <v>1.8333333333357587</v>
      </c>
      <c r="R362" t="s">
        <v>42</v>
      </c>
      <c r="S362" t="s">
        <v>29</v>
      </c>
      <c r="T362" t="s">
        <v>43</v>
      </c>
      <c r="U362">
        <v>7</v>
      </c>
      <c r="V362">
        <v>12</v>
      </c>
      <c r="W362" s="18">
        <f>IFERROR(Table1[[#This Row],[Staff Hours Worked]]/Table1[[#This Row],[Staff Available Hours]],0)</f>
        <v>0.58333333333333337</v>
      </c>
      <c r="X362" t="s">
        <v>48</v>
      </c>
    </row>
    <row r="363" spans="1:24">
      <c r="A363" t="s">
        <v>420</v>
      </c>
      <c r="B363">
        <v>25</v>
      </c>
      <c r="C363" t="str" cm="1">
        <f t="array" ref="C363">_xlfn.IFS(B363&lt;=18,"0-18",B363&lt;=35,"19-35",B363&lt;=50,"36-50",B363&lt;=65,"51-65","True","65+")</f>
        <v>19-35</v>
      </c>
      <c r="D363" t="s">
        <v>41</v>
      </c>
      <c r="E363" s="6">
        <v>45418</v>
      </c>
      <c r="F363" s="6">
        <v>45541</v>
      </c>
      <c r="G363">
        <v>4</v>
      </c>
      <c r="H363" t="s">
        <v>50</v>
      </c>
      <c r="I363">
        <v>4</v>
      </c>
      <c r="J363" t="s">
        <v>71</v>
      </c>
      <c r="K363">
        <v>8621</v>
      </c>
      <c r="L363" t="s">
        <v>67</v>
      </c>
      <c r="M363" t="s">
        <v>26</v>
      </c>
      <c r="N363" t="s">
        <v>27</v>
      </c>
      <c r="O363" s="2">
        <v>45297</v>
      </c>
      <c r="P363" s="2">
        <v>45297.375</v>
      </c>
      <c r="Q363" s="38">
        <f t="shared" si="5"/>
        <v>0.375</v>
      </c>
      <c r="R363" t="s">
        <v>64</v>
      </c>
      <c r="S363" t="s">
        <v>29</v>
      </c>
      <c r="T363" t="s">
        <v>30</v>
      </c>
      <c r="U363">
        <v>6</v>
      </c>
      <c r="V363">
        <v>10</v>
      </c>
      <c r="W363" s="18">
        <f>IFERROR(Table1[[#This Row],[Staff Hours Worked]]/Table1[[#This Row],[Staff Available Hours]],0)</f>
        <v>0.6</v>
      </c>
      <c r="X363" t="s">
        <v>68</v>
      </c>
    </row>
    <row r="364" spans="1:24">
      <c r="A364" t="s">
        <v>421</v>
      </c>
      <c r="B364">
        <v>24</v>
      </c>
      <c r="C364" t="str" cm="1">
        <f t="array" ref="C364">_xlfn.IFS(B364&lt;=18,"0-18",B364&lt;=35,"19-35",B364&lt;=50,"36-50",B364&lt;=65,"51-65","True","65+")</f>
        <v>19-35</v>
      </c>
      <c r="D364" t="s">
        <v>41</v>
      </c>
      <c r="E364" s="6">
        <v>45336</v>
      </c>
      <c r="F364" s="6">
        <v>45341</v>
      </c>
      <c r="G364">
        <v>5</v>
      </c>
      <c r="H364" t="s">
        <v>34</v>
      </c>
      <c r="I364">
        <v>5</v>
      </c>
      <c r="J364" t="s">
        <v>71</v>
      </c>
      <c r="K364">
        <v>29256</v>
      </c>
      <c r="L364" t="s">
        <v>36</v>
      </c>
      <c r="M364" t="s">
        <v>54</v>
      </c>
      <c r="N364" t="s">
        <v>41</v>
      </c>
      <c r="O364" s="2">
        <v>45567</v>
      </c>
      <c r="P364" s="2">
        <v>45567.875</v>
      </c>
      <c r="Q364" s="38">
        <f t="shared" si="5"/>
        <v>0.875</v>
      </c>
      <c r="R364" t="s">
        <v>37</v>
      </c>
      <c r="S364" t="s">
        <v>29</v>
      </c>
      <c r="T364" t="s">
        <v>43</v>
      </c>
      <c r="U364">
        <v>9</v>
      </c>
      <c r="V364">
        <v>10</v>
      </c>
      <c r="W364" s="18">
        <f>IFERROR(Table1[[#This Row],[Staff Hours Worked]]/Table1[[#This Row],[Staff Available Hours]],0)</f>
        <v>0.9</v>
      </c>
      <c r="X364" t="s">
        <v>48</v>
      </c>
    </row>
    <row r="365" spans="1:24">
      <c r="A365" t="s">
        <v>422</v>
      </c>
      <c r="B365">
        <v>13</v>
      </c>
      <c r="C365" t="str" cm="1">
        <f t="array" ref="C365">_xlfn.IFS(B365&lt;=18,"0-18",B365&lt;=35,"19-35",B365&lt;=50,"36-50",B365&lt;=65,"51-65","True","65+")</f>
        <v>0-18</v>
      </c>
      <c r="D365" t="s">
        <v>52</v>
      </c>
      <c r="E365" s="6">
        <v>45089</v>
      </c>
      <c r="F365" s="6">
        <v>45211</v>
      </c>
      <c r="G365">
        <v>4</v>
      </c>
      <c r="H365" t="s">
        <v>63</v>
      </c>
      <c r="I365">
        <v>3</v>
      </c>
      <c r="J365" t="s">
        <v>35</v>
      </c>
      <c r="K365">
        <v>49433</v>
      </c>
      <c r="L365" t="s">
        <v>67</v>
      </c>
      <c r="M365" t="s">
        <v>54</v>
      </c>
      <c r="N365" t="s">
        <v>41</v>
      </c>
      <c r="O365" s="2">
        <v>44997</v>
      </c>
      <c r="P365" s="2">
        <v>44997.333333333336</v>
      </c>
      <c r="Q365" s="38">
        <f t="shared" si="5"/>
        <v>0.33333333333575865</v>
      </c>
      <c r="R365" t="s">
        <v>64</v>
      </c>
      <c r="S365" t="s">
        <v>38</v>
      </c>
      <c r="T365" t="s">
        <v>43</v>
      </c>
      <c r="U365">
        <v>10</v>
      </c>
      <c r="V365">
        <v>8</v>
      </c>
      <c r="W365" s="18">
        <f>IFERROR(Table1[[#This Row],[Staff Hours Worked]]/Table1[[#This Row],[Staff Available Hours]],0)</f>
        <v>1.25</v>
      </c>
      <c r="X365" t="s">
        <v>31</v>
      </c>
    </row>
    <row r="366" spans="1:24">
      <c r="A366" t="s">
        <v>423</v>
      </c>
      <c r="B366">
        <v>60</v>
      </c>
      <c r="C366" t="str" cm="1">
        <f t="array" ref="C366">_xlfn.IFS(B366&lt;=18,"0-18",B366&lt;=35,"19-35",B366&lt;=50,"36-50",B366&lt;=65,"51-65","True","65+")</f>
        <v>51-65</v>
      </c>
      <c r="D366" t="s">
        <v>45</v>
      </c>
      <c r="E366" s="6">
        <v>44955</v>
      </c>
      <c r="F366" s="6">
        <v>45232</v>
      </c>
      <c r="G366">
        <v>13</v>
      </c>
      <c r="H366" t="s">
        <v>34</v>
      </c>
      <c r="I366">
        <v>5</v>
      </c>
      <c r="J366" t="s">
        <v>35</v>
      </c>
      <c r="K366">
        <v>16314</v>
      </c>
      <c r="L366" t="s">
        <v>60</v>
      </c>
      <c r="M366" t="s">
        <v>54</v>
      </c>
      <c r="N366" t="s">
        <v>27</v>
      </c>
      <c r="O366" s="2">
        <v>44950</v>
      </c>
      <c r="P366" s="2">
        <v>44950.666666666664</v>
      </c>
      <c r="Q366" s="38">
        <f t="shared" si="5"/>
        <v>0.66666666666424135</v>
      </c>
      <c r="R366" t="s">
        <v>42</v>
      </c>
      <c r="S366" t="s">
        <v>29</v>
      </c>
      <c r="T366" t="s">
        <v>43</v>
      </c>
      <c r="U366">
        <v>10</v>
      </c>
      <c r="V366">
        <v>10</v>
      </c>
      <c r="W366" s="18">
        <f>IFERROR(Table1[[#This Row],[Staff Hours Worked]]/Table1[[#This Row],[Staff Available Hours]],0)</f>
        <v>1</v>
      </c>
      <c r="X366" t="s">
        <v>48</v>
      </c>
    </row>
    <row r="367" spans="1:24">
      <c r="A367" t="s">
        <v>424</v>
      </c>
      <c r="B367">
        <v>7</v>
      </c>
      <c r="C367" t="str" cm="1">
        <f t="array" ref="C367">_xlfn.IFS(B367&lt;=18,"0-18",B367&lt;=35,"19-35",B367&lt;=50,"36-50",B367&lt;=65,"51-65","True","65+")</f>
        <v>0-18</v>
      </c>
      <c r="D367" t="s">
        <v>52</v>
      </c>
      <c r="E367" s="6">
        <v>45045</v>
      </c>
      <c r="F367" s="6">
        <v>44962</v>
      </c>
      <c r="G367">
        <v>3</v>
      </c>
      <c r="H367" t="s">
        <v>63</v>
      </c>
      <c r="I367">
        <v>2</v>
      </c>
      <c r="J367" t="s">
        <v>71</v>
      </c>
      <c r="K367">
        <v>5652</v>
      </c>
      <c r="L367" t="s">
        <v>53</v>
      </c>
      <c r="M367" t="s">
        <v>26</v>
      </c>
      <c r="N367" t="s">
        <v>27</v>
      </c>
      <c r="O367" s="2">
        <v>45040</v>
      </c>
      <c r="P367" s="2">
        <v>45040.833333333336</v>
      </c>
      <c r="Q367" s="38">
        <f t="shared" si="5"/>
        <v>0.83333333333575865</v>
      </c>
      <c r="R367" t="s">
        <v>28</v>
      </c>
      <c r="S367" t="s">
        <v>29</v>
      </c>
      <c r="T367" t="s">
        <v>47</v>
      </c>
      <c r="U367">
        <v>4</v>
      </c>
      <c r="V367">
        <v>12</v>
      </c>
      <c r="W367" s="18">
        <f>IFERROR(Table1[[#This Row],[Staff Hours Worked]]/Table1[[#This Row],[Staff Available Hours]],0)</f>
        <v>0.33333333333333331</v>
      </c>
      <c r="X367" t="s">
        <v>48</v>
      </c>
    </row>
    <row r="368" spans="1:24">
      <c r="A368" t="s">
        <v>425</v>
      </c>
      <c r="B368">
        <v>57</v>
      </c>
      <c r="C368" t="str" cm="1">
        <f t="array" ref="C368">_xlfn.IFS(B368&lt;=18,"0-18",B368&lt;=35,"19-35",B368&lt;=50,"36-50",B368&lt;=65,"51-65","True","65+")</f>
        <v>51-65</v>
      </c>
      <c r="D368" t="s">
        <v>45</v>
      </c>
      <c r="E368" s="6">
        <v>45194</v>
      </c>
      <c r="F368" s="6">
        <v>45148</v>
      </c>
      <c r="G368">
        <v>13</v>
      </c>
      <c r="H368" t="s">
        <v>40</v>
      </c>
      <c r="I368">
        <v>3</v>
      </c>
      <c r="J368" t="s">
        <v>24</v>
      </c>
      <c r="K368">
        <v>21182</v>
      </c>
      <c r="L368" t="s">
        <v>60</v>
      </c>
      <c r="M368" t="s">
        <v>54</v>
      </c>
      <c r="N368" t="s">
        <v>27</v>
      </c>
      <c r="O368" s="2">
        <v>45194</v>
      </c>
      <c r="P368" s="2">
        <v>45194.333333333336</v>
      </c>
      <c r="Q368" s="38">
        <f t="shared" si="5"/>
        <v>0.33333333333575865</v>
      </c>
      <c r="R368" t="s">
        <v>55</v>
      </c>
      <c r="S368" t="s">
        <v>29</v>
      </c>
      <c r="T368" t="s">
        <v>30</v>
      </c>
      <c r="U368">
        <v>8</v>
      </c>
      <c r="V368">
        <v>8</v>
      </c>
      <c r="W368" s="18">
        <f>IFERROR(Table1[[#This Row],[Staff Hours Worked]]/Table1[[#This Row],[Staff Available Hours]],0)</f>
        <v>1</v>
      </c>
      <c r="X368" t="s">
        <v>48</v>
      </c>
    </row>
    <row r="369" spans="1:24">
      <c r="A369" t="s">
        <v>426</v>
      </c>
      <c r="B369">
        <v>36</v>
      </c>
      <c r="C369" t="str" cm="1">
        <f t="array" ref="C369">_xlfn.IFS(B369&lt;=18,"0-18",B369&lt;=35,"19-35",B369&lt;=50,"36-50",B369&lt;=65,"51-65","True","65+")</f>
        <v>36-50</v>
      </c>
      <c r="D369" t="s">
        <v>45</v>
      </c>
      <c r="E369" s="6">
        <v>44964</v>
      </c>
      <c r="F369" s="6">
        <v>45114</v>
      </c>
      <c r="G369">
        <v>5</v>
      </c>
      <c r="H369" t="s">
        <v>57</v>
      </c>
      <c r="I369">
        <v>2</v>
      </c>
      <c r="J369" t="s">
        <v>66</v>
      </c>
      <c r="K369">
        <v>46580</v>
      </c>
      <c r="L369" t="s">
        <v>53</v>
      </c>
      <c r="M369" t="s">
        <v>54</v>
      </c>
      <c r="N369" t="s">
        <v>27</v>
      </c>
      <c r="O369" s="2">
        <v>45104</v>
      </c>
      <c r="P369" s="2">
        <v>45104.5</v>
      </c>
      <c r="Q369" s="38">
        <f t="shared" si="5"/>
        <v>0.5</v>
      </c>
      <c r="R369" t="s">
        <v>42</v>
      </c>
      <c r="S369" t="s">
        <v>29</v>
      </c>
      <c r="T369" t="s">
        <v>43</v>
      </c>
      <c r="U369">
        <v>11</v>
      </c>
      <c r="V369">
        <v>10</v>
      </c>
      <c r="W369" s="18">
        <f>IFERROR(Table1[[#This Row],[Staff Hours Worked]]/Table1[[#This Row],[Staff Available Hours]],0)</f>
        <v>1.1000000000000001</v>
      </c>
      <c r="X369" t="s">
        <v>31</v>
      </c>
    </row>
    <row r="370" spans="1:24">
      <c r="A370" t="s">
        <v>427</v>
      </c>
      <c r="B370">
        <v>45</v>
      </c>
      <c r="C370" t="str" cm="1">
        <f t="array" ref="C370">_xlfn.IFS(B370&lt;=18,"0-18",B370&lt;=35,"19-35",B370&lt;=50,"36-50",B370&lt;=65,"51-65","True","65+")</f>
        <v>36-50</v>
      </c>
      <c r="D370" t="s">
        <v>62</v>
      </c>
      <c r="E370" s="6">
        <v>45198</v>
      </c>
      <c r="F370" s="6">
        <v>45026</v>
      </c>
      <c r="G370">
        <v>5</v>
      </c>
      <c r="H370" t="s">
        <v>63</v>
      </c>
      <c r="I370">
        <v>2</v>
      </c>
      <c r="J370" t="s">
        <v>35</v>
      </c>
      <c r="K370">
        <v>41558</v>
      </c>
      <c r="L370" t="s">
        <v>36</v>
      </c>
      <c r="M370" t="s">
        <v>54</v>
      </c>
      <c r="N370" t="s">
        <v>27</v>
      </c>
      <c r="O370" s="2">
        <v>45197</v>
      </c>
      <c r="P370" s="2">
        <v>45198</v>
      </c>
      <c r="Q370" s="38">
        <f t="shared" si="5"/>
        <v>1</v>
      </c>
      <c r="R370" t="s">
        <v>28</v>
      </c>
      <c r="S370" t="s">
        <v>29</v>
      </c>
      <c r="T370" t="s">
        <v>47</v>
      </c>
      <c r="U370">
        <v>7</v>
      </c>
      <c r="V370">
        <v>10</v>
      </c>
      <c r="W370" s="18">
        <f>IFERROR(Table1[[#This Row],[Staff Hours Worked]]/Table1[[#This Row],[Staff Available Hours]],0)</f>
        <v>0.7</v>
      </c>
      <c r="X370" t="s">
        <v>68</v>
      </c>
    </row>
    <row r="371" spans="1:24">
      <c r="A371" t="s">
        <v>428</v>
      </c>
      <c r="B371">
        <v>20</v>
      </c>
      <c r="C371" t="str" cm="1">
        <f t="array" ref="C371">_xlfn.IFS(B371&lt;=18,"0-18",B371&lt;=35,"19-35",B371&lt;=50,"36-50",B371&lt;=65,"51-65","True","65+")</f>
        <v>19-35</v>
      </c>
      <c r="D371" t="s">
        <v>41</v>
      </c>
      <c r="E371" s="6">
        <v>45171</v>
      </c>
      <c r="F371" s="6">
        <v>44972</v>
      </c>
      <c r="G371">
        <v>6</v>
      </c>
      <c r="H371" t="s">
        <v>50</v>
      </c>
      <c r="I371">
        <v>3</v>
      </c>
      <c r="J371" t="s">
        <v>24</v>
      </c>
      <c r="K371">
        <v>20659</v>
      </c>
      <c r="L371" t="s">
        <v>53</v>
      </c>
      <c r="M371" t="s">
        <v>54</v>
      </c>
      <c r="N371" t="s">
        <v>27</v>
      </c>
      <c r="O371" s="2">
        <v>45048</v>
      </c>
      <c r="P371" s="2">
        <v>45079.875</v>
      </c>
      <c r="Q371" s="38">
        <f t="shared" si="5"/>
        <v>31.875</v>
      </c>
      <c r="R371" t="s">
        <v>42</v>
      </c>
      <c r="S371" t="s">
        <v>29</v>
      </c>
      <c r="T371" t="s">
        <v>43</v>
      </c>
      <c r="U371">
        <v>6</v>
      </c>
      <c r="V371">
        <v>12</v>
      </c>
      <c r="W371" s="18">
        <f>IFERROR(Table1[[#This Row],[Staff Hours Worked]]/Table1[[#This Row],[Staff Available Hours]],0)</f>
        <v>0.5</v>
      </c>
      <c r="X371" t="s">
        <v>48</v>
      </c>
    </row>
    <row r="372" spans="1:24">
      <c r="A372" t="s">
        <v>429</v>
      </c>
      <c r="B372">
        <v>65</v>
      </c>
      <c r="C372" t="str" cm="1">
        <f t="array" ref="C372">_xlfn.IFS(B372&lt;=18,"0-18",B372&lt;=35,"19-35",B372&lt;=50,"36-50",B372&lt;=65,"51-65","True","65+")</f>
        <v>51-65</v>
      </c>
      <c r="D372" t="s">
        <v>33</v>
      </c>
      <c r="E372" s="6">
        <v>45038</v>
      </c>
      <c r="F372" s="6">
        <v>45040</v>
      </c>
      <c r="G372">
        <v>2</v>
      </c>
      <c r="H372" t="s">
        <v>34</v>
      </c>
      <c r="I372">
        <v>1</v>
      </c>
      <c r="J372" t="s">
        <v>46</v>
      </c>
      <c r="K372">
        <v>39413</v>
      </c>
      <c r="L372" t="s">
        <v>53</v>
      </c>
      <c r="M372" t="s">
        <v>26</v>
      </c>
      <c r="N372" t="s">
        <v>27</v>
      </c>
      <c r="O372" s="2">
        <v>45037</v>
      </c>
      <c r="P372" s="2">
        <v>45037.416666666664</v>
      </c>
      <c r="Q372" s="38">
        <f t="shared" si="5"/>
        <v>0.41666666666424135</v>
      </c>
      <c r="R372" t="s">
        <v>37</v>
      </c>
      <c r="S372" t="s">
        <v>29</v>
      </c>
      <c r="T372" t="s">
        <v>30</v>
      </c>
      <c r="U372">
        <v>7</v>
      </c>
      <c r="V372">
        <v>8</v>
      </c>
      <c r="W372" s="18">
        <f>IFERROR(Table1[[#This Row],[Staff Hours Worked]]/Table1[[#This Row],[Staff Available Hours]],0)</f>
        <v>0.875</v>
      </c>
      <c r="X372" t="s">
        <v>68</v>
      </c>
    </row>
    <row r="373" spans="1:24">
      <c r="A373" t="s">
        <v>430</v>
      </c>
      <c r="B373">
        <v>8</v>
      </c>
      <c r="C373" t="str" cm="1">
        <f t="array" ref="C373">_xlfn.IFS(B373&lt;=18,"0-18",B373&lt;=35,"19-35",B373&lt;=50,"36-50",B373&lt;=65,"51-65","True","65+")</f>
        <v>0-18</v>
      </c>
      <c r="D373" t="s">
        <v>45</v>
      </c>
      <c r="E373" s="6">
        <v>45371</v>
      </c>
      <c r="F373" s="6">
        <v>45372</v>
      </c>
      <c r="G373">
        <v>1</v>
      </c>
      <c r="H373" t="s">
        <v>40</v>
      </c>
      <c r="I373">
        <v>3</v>
      </c>
      <c r="J373" t="s">
        <v>35</v>
      </c>
      <c r="K373">
        <v>15435</v>
      </c>
      <c r="L373" t="s">
        <v>53</v>
      </c>
      <c r="M373" t="s">
        <v>26</v>
      </c>
      <c r="N373" t="s">
        <v>27</v>
      </c>
      <c r="O373" s="2">
        <v>45367</v>
      </c>
      <c r="P373" s="2">
        <v>45368.375</v>
      </c>
      <c r="Q373" s="38">
        <f t="shared" si="5"/>
        <v>1.375</v>
      </c>
      <c r="R373" t="s">
        <v>64</v>
      </c>
      <c r="S373" t="s">
        <v>29</v>
      </c>
      <c r="T373" t="s">
        <v>47</v>
      </c>
      <c r="U373">
        <v>10</v>
      </c>
      <c r="V373">
        <v>10</v>
      </c>
      <c r="W373" s="18">
        <f>IFERROR(Table1[[#This Row],[Staff Hours Worked]]/Table1[[#This Row],[Staff Available Hours]],0)</f>
        <v>1</v>
      </c>
      <c r="X373" t="s">
        <v>31</v>
      </c>
    </row>
    <row r="374" spans="1:24">
      <c r="A374" t="s">
        <v>431</v>
      </c>
      <c r="B374">
        <v>16</v>
      </c>
      <c r="C374" t="str" cm="1">
        <f t="array" ref="C374">_xlfn.IFS(B374&lt;=18,"0-18",B374&lt;=35,"19-35",B374&lt;=50,"36-50",B374&lt;=65,"51-65","True","65+")</f>
        <v>0-18</v>
      </c>
      <c r="D374" t="s">
        <v>62</v>
      </c>
      <c r="E374" s="6">
        <v>45280</v>
      </c>
      <c r="F374" s="6">
        <v>45288</v>
      </c>
      <c r="G374">
        <v>8</v>
      </c>
      <c r="H374" t="s">
        <v>50</v>
      </c>
      <c r="I374">
        <v>1</v>
      </c>
      <c r="J374" t="s">
        <v>24</v>
      </c>
      <c r="K374">
        <v>33067</v>
      </c>
      <c r="L374" t="s">
        <v>67</v>
      </c>
      <c r="M374" t="s">
        <v>54</v>
      </c>
      <c r="N374" t="s">
        <v>27</v>
      </c>
      <c r="O374" s="2">
        <v>45278</v>
      </c>
      <c r="P374" s="2">
        <v>45279.041666666664</v>
      </c>
      <c r="Q374" s="38">
        <f t="shared" si="5"/>
        <v>1.0416666666642413</v>
      </c>
      <c r="R374" t="s">
        <v>55</v>
      </c>
      <c r="S374" t="s">
        <v>29</v>
      </c>
      <c r="T374" t="s">
        <v>43</v>
      </c>
      <c r="U374">
        <v>5</v>
      </c>
      <c r="V374">
        <v>10</v>
      </c>
      <c r="W374" s="18">
        <f>IFERROR(Table1[[#This Row],[Staff Hours Worked]]/Table1[[#This Row],[Staff Available Hours]],0)</f>
        <v>0.5</v>
      </c>
      <c r="X374" t="s">
        <v>68</v>
      </c>
    </row>
    <row r="375" spans="1:24">
      <c r="A375" t="s">
        <v>432</v>
      </c>
      <c r="B375">
        <v>14</v>
      </c>
      <c r="C375" t="str" cm="1">
        <f t="array" ref="C375">_xlfn.IFS(B375&lt;=18,"0-18",B375&lt;=35,"19-35",B375&lt;=50,"36-50",B375&lt;=65,"51-65","True","65+")</f>
        <v>0-18</v>
      </c>
      <c r="D375" t="s">
        <v>41</v>
      </c>
      <c r="E375" s="6">
        <v>45248</v>
      </c>
      <c r="F375" s="6">
        <v>45260</v>
      </c>
      <c r="G375">
        <v>12</v>
      </c>
      <c r="H375" t="s">
        <v>40</v>
      </c>
      <c r="I375">
        <v>5</v>
      </c>
      <c r="J375" t="s">
        <v>24</v>
      </c>
      <c r="K375">
        <v>27258</v>
      </c>
      <c r="L375" t="s">
        <v>67</v>
      </c>
      <c r="M375" t="s">
        <v>54</v>
      </c>
      <c r="N375" t="s">
        <v>27</v>
      </c>
      <c r="O375" s="2">
        <v>45243</v>
      </c>
      <c r="P375" s="2">
        <v>45244.125</v>
      </c>
      <c r="Q375" s="38">
        <f t="shared" si="5"/>
        <v>1.125</v>
      </c>
      <c r="R375" t="s">
        <v>28</v>
      </c>
      <c r="S375" t="s">
        <v>29</v>
      </c>
      <c r="T375" t="s">
        <v>43</v>
      </c>
      <c r="U375">
        <v>6</v>
      </c>
      <c r="V375">
        <v>12</v>
      </c>
      <c r="W375" s="18">
        <f>IFERROR(Table1[[#This Row],[Staff Hours Worked]]/Table1[[#This Row],[Staff Available Hours]],0)</f>
        <v>0.5</v>
      </c>
      <c r="X375" t="s">
        <v>48</v>
      </c>
    </row>
    <row r="376" spans="1:24">
      <c r="A376" t="s">
        <v>433</v>
      </c>
      <c r="B376">
        <v>76</v>
      </c>
      <c r="C376" t="str" cm="1">
        <f t="array" ref="C376">_xlfn.IFS(B376&lt;=18,"0-18",B376&lt;=35,"19-35",B376&lt;=50,"36-50",B376&lt;=65,"51-65","True","65+")</f>
        <v>65+</v>
      </c>
      <c r="D376" t="s">
        <v>33</v>
      </c>
      <c r="E376" s="6">
        <v>45373</v>
      </c>
      <c r="F376" s="6">
        <v>45380</v>
      </c>
      <c r="G376">
        <v>7</v>
      </c>
      <c r="H376" t="s">
        <v>57</v>
      </c>
      <c r="I376">
        <v>5</v>
      </c>
      <c r="J376" t="s">
        <v>66</v>
      </c>
      <c r="K376">
        <v>33287</v>
      </c>
      <c r="L376" t="s">
        <v>36</v>
      </c>
      <c r="M376" t="s">
        <v>54</v>
      </c>
      <c r="N376" t="s">
        <v>41</v>
      </c>
      <c r="O376" s="2">
        <v>45370</v>
      </c>
      <c r="P376" s="2">
        <v>45371.625</v>
      </c>
      <c r="Q376" s="38">
        <f t="shared" si="5"/>
        <v>1.625</v>
      </c>
      <c r="R376" t="s">
        <v>55</v>
      </c>
      <c r="S376" t="s">
        <v>29</v>
      </c>
      <c r="T376" t="s">
        <v>43</v>
      </c>
      <c r="U376">
        <v>11</v>
      </c>
      <c r="V376">
        <v>8</v>
      </c>
      <c r="W376" s="18">
        <f>IFERROR(Table1[[#This Row],[Staff Hours Worked]]/Table1[[#This Row],[Staff Available Hours]],0)</f>
        <v>1.375</v>
      </c>
      <c r="X376" t="s">
        <v>48</v>
      </c>
    </row>
    <row r="377" spans="1:24">
      <c r="A377" t="s">
        <v>434</v>
      </c>
      <c r="B377">
        <v>87</v>
      </c>
      <c r="C377" t="str" cm="1">
        <f t="array" ref="C377">_xlfn.IFS(B377&lt;=18,"0-18",B377&lt;=35,"19-35",B377&lt;=50,"36-50",B377&lt;=65,"51-65","True","65+")</f>
        <v>65+</v>
      </c>
      <c r="D377" t="s">
        <v>45</v>
      </c>
      <c r="E377" s="6">
        <v>45479</v>
      </c>
      <c r="F377" s="6">
        <v>45571</v>
      </c>
      <c r="G377">
        <v>3</v>
      </c>
      <c r="H377" t="s">
        <v>34</v>
      </c>
      <c r="I377">
        <v>3</v>
      </c>
      <c r="J377" t="s">
        <v>66</v>
      </c>
      <c r="K377">
        <v>8688</v>
      </c>
      <c r="L377" t="s">
        <v>53</v>
      </c>
      <c r="M377" t="s">
        <v>54</v>
      </c>
      <c r="N377" t="s">
        <v>27</v>
      </c>
      <c r="O377" s="2">
        <v>45357</v>
      </c>
      <c r="P377" s="2">
        <v>45357.375</v>
      </c>
      <c r="Q377" s="38">
        <f t="shared" si="5"/>
        <v>0.375</v>
      </c>
      <c r="R377" t="s">
        <v>55</v>
      </c>
      <c r="S377" t="s">
        <v>29</v>
      </c>
      <c r="T377" t="s">
        <v>30</v>
      </c>
      <c r="U377">
        <v>11</v>
      </c>
      <c r="V377">
        <v>8</v>
      </c>
      <c r="W377" s="18">
        <f>IFERROR(Table1[[#This Row],[Staff Hours Worked]]/Table1[[#This Row],[Staff Available Hours]],0)</f>
        <v>1.375</v>
      </c>
      <c r="X377" t="s">
        <v>48</v>
      </c>
    </row>
    <row r="378" spans="1:24">
      <c r="A378" t="s">
        <v>435</v>
      </c>
      <c r="B378">
        <v>15</v>
      </c>
      <c r="C378" t="str" cm="1">
        <f t="array" ref="C378">_xlfn.IFS(B378&lt;=18,"0-18",B378&lt;=35,"19-35",B378&lt;=50,"36-50",B378&lt;=65,"51-65","True","65+")</f>
        <v>0-18</v>
      </c>
      <c r="D378" t="s">
        <v>45</v>
      </c>
      <c r="E378" s="6">
        <v>45045</v>
      </c>
      <c r="F378" s="6">
        <v>44962</v>
      </c>
      <c r="G378">
        <v>3</v>
      </c>
      <c r="H378" t="s">
        <v>23</v>
      </c>
      <c r="I378">
        <v>5</v>
      </c>
      <c r="J378" t="s">
        <v>46</v>
      </c>
      <c r="K378">
        <v>12689</v>
      </c>
      <c r="L378" t="s">
        <v>25</v>
      </c>
      <c r="M378" t="s">
        <v>54</v>
      </c>
      <c r="N378" t="s">
        <v>41</v>
      </c>
      <c r="O378" s="2">
        <v>45042</v>
      </c>
      <c r="P378" s="2">
        <v>45043.541666666664</v>
      </c>
      <c r="Q378" s="38">
        <f t="shared" si="5"/>
        <v>1.5416666666642413</v>
      </c>
      <c r="R378" t="s">
        <v>55</v>
      </c>
      <c r="S378" t="s">
        <v>29</v>
      </c>
      <c r="T378" t="s">
        <v>47</v>
      </c>
      <c r="U378">
        <v>10</v>
      </c>
      <c r="V378">
        <v>8</v>
      </c>
      <c r="W378" s="18">
        <f>IFERROR(Table1[[#This Row],[Staff Hours Worked]]/Table1[[#This Row],[Staff Available Hours]],0)</f>
        <v>1.25</v>
      </c>
      <c r="X378" t="s">
        <v>48</v>
      </c>
    </row>
    <row r="379" spans="1:24">
      <c r="A379" t="s">
        <v>436</v>
      </c>
      <c r="B379">
        <v>66</v>
      </c>
      <c r="C379" t="str" cm="1">
        <f t="array" ref="C379">_xlfn.IFS(B379&lt;=18,"0-18",B379&lt;=35,"19-35",B379&lt;=50,"36-50",B379&lt;=65,"51-65","True","65+")</f>
        <v>65+</v>
      </c>
      <c r="D379" t="s">
        <v>52</v>
      </c>
      <c r="E379" s="6">
        <v>45321</v>
      </c>
      <c r="F379" s="6">
        <v>45445</v>
      </c>
      <c r="G379">
        <v>7</v>
      </c>
      <c r="H379" t="s">
        <v>34</v>
      </c>
      <c r="I379">
        <v>4</v>
      </c>
      <c r="J379" t="s">
        <v>24</v>
      </c>
      <c r="K379">
        <v>6379</v>
      </c>
      <c r="L379" t="s">
        <v>36</v>
      </c>
      <c r="M379" t="s">
        <v>54</v>
      </c>
      <c r="N379" t="s">
        <v>41</v>
      </c>
      <c r="O379" s="2">
        <v>45319</v>
      </c>
      <c r="P379" s="2">
        <v>45320.041666666664</v>
      </c>
      <c r="Q379" s="38">
        <f t="shared" si="5"/>
        <v>1.0416666666642413</v>
      </c>
      <c r="R379" t="s">
        <v>28</v>
      </c>
      <c r="S379" t="s">
        <v>29</v>
      </c>
      <c r="T379" t="s">
        <v>47</v>
      </c>
      <c r="U379">
        <v>8</v>
      </c>
      <c r="V379">
        <v>8</v>
      </c>
      <c r="W379" s="18">
        <f>IFERROR(Table1[[#This Row],[Staff Hours Worked]]/Table1[[#This Row],[Staff Available Hours]],0)</f>
        <v>1</v>
      </c>
      <c r="X379" t="s">
        <v>48</v>
      </c>
    </row>
    <row r="380" spans="1:24">
      <c r="A380" t="s">
        <v>437</v>
      </c>
      <c r="B380">
        <v>32</v>
      </c>
      <c r="C380" t="str" cm="1">
        <f t="array" ref="C380">_xlfn.IFS(B380&lt;=18,"0-18",B380&lt;=35,"19-35",B380&lt;=50,"36-50",B380&lt;=65,"51-65","True","65+")</f>
        <v>19-35</v>
      </c>
      <c r="D380" t="s">
        <v>52</v>
      </c>
      <c r="E380" s="6">
        <v>45121</v>
      </c>
      <c r="F380" s="6">
        <v>45130</v>
      </c>
      <c r="G380">
        <v>9</v>
      </c>
      <c r="H380" t="s">
        <v>57</v>
      </c>
      <c r="I380">
        <v>2</v>
      </c>
      <c r="J380" t="s">
        <v>24</v>
      </c>
      <c r="K380">
        <v>42011</v>
      </c>
      <c r="L380" t="s">
        <v>53</v>
      </c>
      <c r="M380" t="s">
        <v>54</v>
      </c>
      <c r="N380" t="s">
        <v>27</v>
      </c>
      <c r="O380" s="2">
        <v>45120</v>
      </c>
      <c r="P380" s="2">
        <v>45121.166666666664</v>
      </c>
      <c r="Q380" s="38">
        <f t="shared" si="5"/>
        <v>1.1666666666642413</v>
      </c>
      <c r="R380" t="s">
        <v>28</v>
      </c>
      <c r="S380" t="s">
        <v>29</v>
      </c>
      <c r="T380" t="s">
        <v>47</v>
      </c>
      <c r="U380">
        <v>6</v>
      </c>
      <c r="V380">
        <v>12</v>
      </c>
      <c r="W380" s="18">
        <f>IFERROR(Table1[[#This Row],[Staff Hours Worked]]/Table1[[#This Row],[Staff Available Hours]],0)</f>
        <v>0.5</v>
      </c>
      <c r="X380" t="s">
        <v>48</v>
      </c>
    </row>
    <row r="381" spans="1:24">
      <c r="A381" t="s">
        <v>438</v>
      </c>
      <c r="B381">
        <v>87</v>
      </c>
      <c r="C381" t="str" cm="1">
        <f t="array" ref="C381">_xlfn.IFS(B381&lt;=18,"0-18",B381&lt;=35,"19-35",B381&lt;=50,"36-50",B381&lt;=65,"51-65","True","65+")</f>
        <v>65+</v>
      </c>
      <c r="D381" t="s">
        <v>41</v>
      </c>
      <c r="E381" s="6">
        <v>45187</v>
      </c>
      <c r="F381" s="6">
        <v>45199</v>
      </c>
      <c r="G381">
        <v>12</v>
      </c>
      <c r="H381" t="s">
        <v>34</v>
      </c>
      <c r="I381">
        <v>2</v>
      </c>
      <c r="J381" t="s">
        <v>66</v>
      </c>
      <c r="K381">
        <v>48005</v>
      </c>
      <c r="L381" t="s">
        <v>53</v>
      </c>
      <c r="M381" t="s">
        <v>54</v>
      </c>
      <c r="N381" t="s">
        <v>27</v>
      </c>
      <c r="O381" s="2">
        <v>45184</v>
      </c>
      <c r="P381" s="2">
        <v>45184.5</v>
      </c>
      <c r="Q381" s="38">
        <f t="shared" si="5"/>
        <v>0.5</v>
      </c>
      <c r="R381" t="s">
        <v>55</v>
      </c>
      <c r="S381" t="s">
        <v>29</v>
      </c>
      <c r="T381" t="s">
        <v>43</v>
      </c>
      <c r="U381">
        <v>10</v>
      </c>
      <c r="V381">
        <v>10</v>
      </c>
      <c r="W381" s="18">
        <f>IFERROR(Table1[[#This Row],[Staff Hours Worked]]/Table1[[#This Row],[Staff Available Hours]],0)</f>
        <v>1</v>
      </c>
      <c r="X381" t="s">
        <v>31</v>
      </c>
    </row>
    <row r="382" spans="1:24">
      <c r="A382" t="s">
        <v>439</v>
      </c>
      <c r="B382">
        <v>63</v>
      </c>
      <c r="C382" t="str" cm="1">
        <f t="array" ref="C382">_xlfn.IFS(B382&lt;=18,"0-18",B382&lt;=35,"19-35",B382&lt;=50,"36-50",B382&lt;=65,"51-65","True","65+")</f>
        <v>51-65</v>
      </c>
      <c r="D382" t="s">
        <v>33</v>
      </c>
      <c r="E382" s="6">
        <v>44972</v>
      </c>
      <c r="F382" s="6">
        <v>44976</v>
      </c>
      <c r="G382">
        <v>4</v>
      </c>
      <c r="H382" t="s">
        <v>23</v>
      </c>
      <c r="I382">
        <v>1</v>
      </c>
      <c r="J382" t="s">
        <v>35</v>
      </c>
      <c r="K382">
        <v>32624</v>
      </c>
      <c r="L382" t="s">
        <v>67</v>
      </c>
      <c r="M382" t="s">
        <v>26</v>
      </c>
      <c r="N382" t="s">
        <v>27</v>
      </c>
      <c r="O382" s="2">
        <v>45232</v>
      </c>
      <c r="P382" s="2">
        <v>45262.333333333336</v>
      </c>
      <c r="Q382" s="38">
        <f t="shared" si="5"/>
        <v>30.333333333335759</v>
      </c>
      <c r="R382" t="s">
        <v>64</v>
      </c>
      <c r="S382" t="s">
        <v>29</v>
      </c>
      <c r="T382" t="s">
        <v>47</v>
      </c>
      <c r="U382">
        <v>8</v>
      </c>
      <c r="V382">
        <v>10</v>
      </c>
      <c r="W382" s="18">
        <f>IFERROR(Table1[[#This Row],[Staff Hours Worked]]/Table1[[#This Row],[Staff Available Hours]],0)</f>
        <v>0.8</v>
      </c>
      <c r="X382" t="s">
        <v>31</v>
      </c>
    </row>
    <row r="383" spans="1:24">
      <c r="A383" t="s">
        <v>440</v>
      </c>
      <c r="B383">
        <v>86</v>
      </c>
      <c r="C383" t="str" cm="1">
        <f t="array" ref="C383">_xlfn.IFS(B383&lt;=18,"0-18",B383&lt;=35,"19-35",B383&lt;=50,"36-50",B383&lt;=65,"51-65","True","65+")</f>
        <v>65+</v>
      </c>
      <c r="D383" t="s">
        <v>45</v>
      </c>
      <c r="E383" s="6">
        <v>45373</v>
      </c>
      <c r="F383" s="6">
        <v>45382</v>
      </c>
      <c r="G383">
        <v>9</v>
      </c>
      <c r="H383" t="s">
        <v>63</v>
      </c>
      <c r="I383">
        <v>5</v>
      </c>
      <c r="J383" t="s">
        <v>35</v>
      </c>
      <c r="K383">
        <v>30964</v>
      </c>
      <c r="L383" t="s">
        <v>36</v>
      </c>
      <c r="M383" t="s">
        <v>54</v>
      </c>
      <c r="N383" t="s">
        <v>27</v>
      </c>
      <c r="O383" s="2">
        <v>45371</v>
      </c>
      <c r="P383" s="2">
        <v>45372.708333333336</v>
      </c>
      <c r="Q383" s="38">
        <f t="shared" si="5"/>
        <v>1.7083333333357587</v>
      </c>
      <c r="R383" t="s">
        <v>42</v>
      </c>
      <c r="S383" t="s">
        <v>29</v>
      </c>
      <c r="T383" t="s">
        <v>43</v>
      </c>
      <c r="U383">
        <v>5</v>
      </c>
      <c r="V383">
        <v>8</v>
      </c>
      <c r="W383" s="18">
        <f>IFERROR(Table1[[#This Row],[Staff Hours Worked]]/Table1[[#This Row],[Staff Available Hours]],0)</f>
        <v>0.625</v>
      </c>
      <c r="X383" t="s">
        <v>31</v>
      </c>
    </row>
    <row r="384" spans="1:24">
      <c r="A384" t="s">
        <v>441</v>
      </c>
      <c r="B384">
        <v>51</v>
      </c>
      <c r="C384" t="str" cm="1">
        <f t="array" ref="C384">_xlfn.IFS(B384&lt;=18,"0-18",B384&lt;=35,"19-35",B384&lt;=50,"36-50",B384&lt;=65,"51-65","True","65+")</f>
        <v>51-65</v>
      </c>
      <c r="D384" t="s">
        <v>41</v>
      </c>
      <c r="E384" s="6">
        <v>44958</v>
      </c>
      <c r="F384" s="6">
        <v>45231</v>
      </c>
      <c r="G384">
        <v>9</v>
      </c>
      <c r="H384" t="s">
        <v>40</v>
      </c>
      <c r="I384">
        <v>1</v>
      </c>
      <c r="J384" t="s">
        <v>71</v>
      </c>
      <c r="K384">
        <v>27891</v>
      </c>
      <c r="L384" t="s">
        <v>53</v>
      </c>
      <c r="M384" t="s">
        <v>54</v>
      </c>
      <c r="N384" t="s">
        <v>27</v>
      </c>
      <c r="O384" s="2">
        <v>44924</v>
      </c>
      <c r="P384" s="2">
        <v>44925.458333333336</v>
      </c>
      <c r="Q384" s="38">
        <f t="shared" si="5"/>
        <v>1.4583333333357587</v>
      </c>
      <c r="R384" t="s">
        <v>55</v>
      </c>
      <c r="S384" t="s">
        <v>29</v>
      </c>
      <c r="T384" t="s">
        <v>30</v>
      </c>
      <c r="U384">
        <v>8</v>
      </c>
      <c r="V384">
        <v>8</v>
      </c>
      <c r="W384" s="18">
        <f>IFERROR(Table1[[#This Row],[Staff Hours Worked]]/Table1[[#This Row],[Staff Available Hours]],0)</f>
        <v>1</v>
      </c>
      <c r="X384" t="s">
        <v>68</v>
      </c>
    </row>
    <row r="385" spans="1:24">
      <c r="A385" t="s">
        <v>442</v>
      </c>
      <c r="B385">
        <v>25</v>
      </c>
      <c r="C385" t="str" cm="1">
        <f t="array" ref="C385">_xlfn.IFS(B385&lt;=18,"0-18",B385&lt;=35,"19-35",B385&lt;=50,"36-50",B385&lt;=65,"51-65","True","65+")</f>
        <v>19-35</v>
      </c>
      <c r="D385" t="s">
        <v>41</v>
      </c>
      <c r="E385" s="6">
        <v>45459</v>
      </c>
      <c r="F385" s="6">
        <v>45473</v>
      </c>
      <c r="G385">
        <v>14</v>
      </c>
      <c r="H385" t="s">
        <v>23</v>
      </c>
      <c r="I385">
        <v>2</v>
      </c>
      <c r="J385" t="s">
        <v>66</v>
      </c>
      <c r="K385">
        <v>43379</v>
      </c>
      <c r="L385" t="s">
        <v>53</v>
      </c>
      <c r="M385" t="s">
        <v>26</v>
      </c>
      <c r="N385" t="s">
        <v>41</v>
      </c>
      <c r="O385" s="2">
        <v>45457</v>
      </c>
      <c r="P385" s="2">
        <v>45458.875</v>
      </c>
      <c r="Q385" s="38">
        <f t="shared" si="5"/>
        <v>1.875</v>
      </c>
      <c r="R385" t="s">
        <v>37</v>
      </c>
      <c r="S385" t="s">
        <v>38</v>
      </c>
      <c r="T385" t="s">
        <v>47</v>
      </c>
      <c r="U385">
        <v>7</v>
      </c>
      <c r="V385">
        <v>8</v>
      </c>
      <c r="W385" s="18">
        <f>IFERROR(Table1[[#This Row],[Staff Hours Worked]]/Table1[[#This Row],[Staff Available Hours]],0)</f>
        <v>0.875</v>
      </c>
      <c r="X385" t="s">
        <v>68</v>
      </c>
    </row>
    <row r="386" spans="1:24">
      <c r="A386" t="s">
        <v>443</v>
      </c>
      <c r="B386">
        <v>58</v>
      </c>
      <c r="C386" t="str" cm="1">
        <f t="array" ref="C386">_xlfn.IFS(B386&lt;=18,"0-18",B386&lt;=35,"19-35",B386&lt;=50,"36-50",B386&lt;=65,"51-65","True","65+")</f>
        <v>51-65</v>
      </c>
      <c r="D386" t="s">
        <v>22</v>
      </c>
      <c r="E386" s="6">
        <v>45128</v>
      </c>
      <c r="F386" s="6">
        <v>44934</v>
      </c>
      <c r="G386">
        <v>11</v>
      </c>
      <c r="H386" t="s">
        <v>50</v>
      </c>
      <c r="I386">
        <v>2</v>
      </c>
      <c r="J386" t="s">
        <v>71</v>
      </c>
      <c r="K386">
        <v>17516</v>
      </c>
      <c r="L386" t="s">
        <v>36</v>
      </c>
      <c r="M386" t="s">
        <v>26</v>
      </c>
      <c r="N386" t="s">
        <v>27</v>
      </c>
      <c r="O386" s="2">
        <v>45123</v>
      </c>
      <c r="P386" s="2">
        <v>45124.75</v>
      </c>
      <c r="Q386" s="38">
        <f t="shared" ref="Q386:Q449" si="6">IF(OR(O386="",P386=""),"",ABS(P386-O386))</f>
        <v>1.75</v>
      </c>
      <c r="R386" t="s">
        <v>55</v>
      </c>
      <c r="S386" t="s">
        <v>29</v>
      </c>
      <c r="T386" t="s">
        <v>43</v>
      </c>
      <c r="U386">
        <v>4</v>
      </c>
      <c r="V386">
        <v>10</v>
      </c>
      <c r="W386" s="18">
        <f>IFERROR(Table1[[#This Row],[Staff Hours Worked]]/Table1[[#This Row],[Staff Available Hours]],0)</f>
        <v>0.4</v>
      </c>
      <c r="X386" t="s">
        <v>31</v>
      </c>
    </row>
    <row r="387" spans="1:24">
      <c r="A387" t="s">
        <v>444</v>
      </c>
      <c r="B387">
        <v>63</v>
      </c>
      <c r="C387" t="str" cm="1">
        <f t="array" ref="C387">_xlfn.IFS(B387&lt;=18,"0-18",B387&lt;=35,"19-35",B387&lt;=50,"36-50",B387&lt;=65,"51-65","True","65+")</f>
        <v>51-65</v>
      </c>
      <c r="D387" t="s">
        <v>52</v>
      </c>
      <c r="E387" s="6">
        <v>45505</v>
      </c>
      <c r="F387" s="6">
        <v>45312</v>
      </c>
      <c r="G387">
        <v>13</v>
      </c>
      <c r="H387" t="s">
        <v>57</v>
      </c>
      <c r="I387">
        <v>5</v>
      </c>
      <c r="J387" t="s">
        <v>66</v>
      </c>
      <c r="K387">
        <v>18886</v>
      </c>
      <c r="L387" t="s">
        <v>25</v>
      </c>
      <c r="M387" t="s">
        <v>54</v>
      </c>
      <c r="N387" t="s">
        <v>27</v>
      </c>
      <c r="O387" s="2">
        <v>45352</v>
      </c>
      <c r="P387" s="2">
        <v>45352.5</v>
      </c>
      <c r="Q387" s="38">
        <f t="shared" si="6"/>
        <v>0.5</v>
      </c>
      <c r="R387" t="s">
        <v>28</v>
      </c>
      <c r="S387" t="s">
        <v>29</v>
      </c>
      <c r="T387" t="s">
        <v>47</v>
      </c>
      <c r="U387">
        <v>7</v>
      </c>
      <c r="V387">
        <v>10</v>
      </c>
      <c r="W387" s="18">
        <f>IFERROR(Table1[[#This Row],[Staff Hours Worked]]/Table1[[#This Row],[Staff Available Hours]],0)</f>
        <v>0.7</v>
      </c>
      <c r="X387" t="s">
        <v>68</v>
      </c>
    </row>
    <row r="388" spans="1:24">
      <c r="A388" t="s">
        <v>445</v>
      </c>
      <c r="B388">
        <v>62</v>
      </c>
      <c r="C388" t="str" cm="1">
        <f t="array" ref="C388">_xlfn.IFS(B388&lt;=18,"0-18",B388&lt;=35,"19-35",B388&lt;=50,"36-50",B388&lt;=65,"51-65","True","65+")</f>
        <v>51-65</v>
      </c>
      <c r="D388" t="s">
        <v>33</v>
      </c>
      <c r="E388" s="6">
        <v>45368</v>
      </c>
      <c r="F388" s="6">
        <v>45374</v>
      </c>
      <c r="G388">
        <v>6</v>
      </c>
      <c r="H388" t="s">
        <v>63</v>
      </c>
      <c r="I388">
        <v>4</v>
      </c>
      <c r="J388" t="s">
        <v>46</v>
      </c>
      <c r="K388">
        <v>25307</v>
      </c>
      <c r="L388" t="s">
        <v>36</v>
      </c>
      <c r="M388" t="s">
        <v>54</v>
      </c>
      <c r="N388" t="s">
        <v>27</v>
      </c>
      <c r="O388" s="2">
        <v>45629</v>
      </c>
      <c r="P388" s="2">
        <v>45364.5</v>
      </c>
      <c r="Q388" s="38">
        <f t="shared" si="6"/>
        <v>264.5</v>
      </c>
      <c r="R388" t="s">
        <v>42</v>
      </c>
      <c r="S388" t="s">
        <v>29</v>
      </c>
      <c r="T388" t="s">
        <v>47</v>
      </c>
      <c r="U388">
        <v>11</v>
      </c>
      <c r="V388">
        <v>8</v>
      </c>
      <c r="W388" s="18">
        <f>IFERROR(Table1[[#This Row],[Staff Hours Worked]]/Table1[[#This Row],[Staff Available Hours]],0)</f>
        <v>1.375</v>
      </c>
      <c r="X388" t="s">
        <v>68</v>
      </c>
    </row>
    <row r="389" spans="1:24">
      <c r="A389" t="s">
        <v>446</v>
      </c>
      <c r="B389">
        <v>22</v>
      </c>
      <c r="C389" t="str" cm="1">
        <f t="array" ref="C389">_xlfn.IFS(B389&lt;=18,"0-18",B389&lt;=35,"19-35",B389&lt;=50,"36-50",B389&lt;=65,"51-65","True","65+")</f>
        <v>19-35</v>
      </c>
      <c r="D389" t="s">
        <v>45</v>
      </c>
      <c r="E389" s="6">
        <v>44998</v>
      </c>
      <c r="F389" s="6">
        <v>45000</v>
      </c>
      <c r="G389">
        <v>2</v>
      </c>
      <c r="H389" t="s">
        <v>50</v>
      </c>
      <c r="I389">
        <v>4</v>
      </c>
      <c r="J389" t="s">
        <v>24</v>
      </c>
      <c r="K389">
        <v>29843</v>
      </c>
      <c r="L389" t="s">
        <v>36</v>
      </c>
      <c r="M389" t="s">
        <v>26</v>
      </c>
      <c r="N389" t="s">
        <v>27</v>
      </c>
      <c r="O389" s="2">
        <v>45141</v>
      </c>
      <c r="P389" s="2">
        <v>45141.458333333336</v>
      </c>
      <c r="Q389" s="38">
        <f t="shared" si="6"/>
        <v>0.45833333333575865</v>
      </c>
      <c r="R389" t="s">
        <v>37</v>
      </c>
      <c r="S389" t="s">
        <v>29</v>
      </c>
      <c r="T389" t="s">
        <v>30</v>
      </c>
      <c r="U389">
        <v>10</v>
      </c>
      <c r="V389">
        <v>12</v>
      </c>
      <c r="W389" s="18">
        <f>IFERROR(Table1[[#This Row],[Staff Hours Worked]]/Table1[[#This Row],[Staff Available Hours]],0)</f>
        <v>0.83333333333333337</v>
      </c>
      <c r="X389" t="s">
        <v>48</v>
      </c>
    </row>
    <row r="390" spans="1:24">
      <c r="A390" t="s">
        <v>447</v>
      </c>
      <c r="B390">
        <v>58</v>
      </c>
      <c r="C390" t="str" cm="1">
        <f t="array" ref="C390">_xlfn.IFS(B390&lt;=18,"0-18",B390&lt;=35,"19-35",B390&lt;=50,"36-50",B390&lt;=65,"51-65","True","65+")</f>
        <v>51-65</v>
      </c>
      <c r="D390" t="s">
        <v>41</v>
      </c>
      <c r="E390" s="6">
        <v>45058</v>
      </c>
      <c r="F390" s="6">
        <v>45272</v>
      </c>
      <c r="G390">
        <v>7</v>
      </c>
      <c r="H390" t="s">
        <v>50</v>
      </c>
      <c r="I390">
        <v>5</v>
      </c>
      <c r="J390" t="s">
        <v>46</v>
      </c>
      <c r="K390">
        <v>10912</v>
      </c>
      <c r="L390" t="s">
        <v>25</v>
      </c>
      <c r="M390" t="s">
        <v>54</v>
      </c>
      <c r="N390" t="s">
        <v>41</v>
      </c>
      <c r="O390" s="2">
        <v>45260</v>
      </c>
      <c r="P390" s="2">
        <v>44938.333333333336</v>
      </c>
      <c r="Q390" s="38">
        <f t="shared" si="6"/>
        <v>321.66666666666424</v>
      </c>
      <c r="R390" t="s">
        <v>42</v>
      </c>
      <c r="S390" t="s">
        <v>29</v>
      </c>
      <c r="T390" t="s">
        <v>47</v>
      </c>
      <c r="U390">
        <v>10</v>
      </c>
      <c r="V390">
        <v>10</v>
      </c>
      <c r="W390" s="18">
        <f>IFERROR(Table1[[#This Row],[Staff Hours Worked]]/Table1[[#This Row],[Staff Available Hours]],0)</f>
        <v>1</v>
      </c>
      <c r="X390" t="s">
        <v>48</v>
      </c>
    </row>
    <row r="391" spans="1:24">
      <c r="A391" t="s">
        <v>448</v>
      </c>
      <c r="B391">
        <v>58</v>
      </c>
      <c r="C391" t="str" cm="1">
        <f t="array" ref="C391">_xlfn.IFS(B391&lt;=18,"0-18",B391&lt;=35,"19-35",B391&lt;=50,"36-50",B391&lt;=65,"51-65","True","65+")</f>
        <v>51-65</v>
      </c>
      <c r="D391" t="s">
        <v>45</v>
      </c>
      <c r="E391" s="6">
        <v>45248</v>
      </c>
      <c r="F391" s="6">
        <v>44969</v>
      </c>
      <c r="G391">
        <v>14</v>
      </c>
      <c r="H391" t="s">
        <v>57</v>
      </c>
      <c r="I391">
        <v>5</v>
      </c>
      <c r="J391" t="s">
        <v>66</v>
      </c>
      <c r="K391">
        <v>26514</v>
      </c>
      <c r="L391" t="s">
        <v>36</v>
      </c>
      <c r="M391" t="s">
        <v>54</v>
      </c>
      <c r="N391" t="s">
        <v>27</v>
      </c>
      <c r="O391" s="2">
        <v>45246</v>
      </c>
      <c r="P391" s="2">
        <v>45246.791666666664</v>
      </c>
      <c r="Q391" s="38">
        <f t="shared" si="6"/>
        <v>0.79166666666424135</v>
      </c>
      <c r="R391" t="s">
        <v>42</v>
      </c>
      <c r="S391" t="s">
        <v>29</v>
      </c>
      <c r="T391" t="s">
        <v>30</v>
      </c>
      <c r="U391">
        <v>9</v>
      </c>
      <c r="V391">
        <v>10</v>
      </c>
      <c r="W391" s="18">
        <f>IFERROR(Table1[[#This Row],[Staff Hours Worked]]/Table1[[#This Row],[Staff Available Hours]],0)</f>
        <v>0.9</v>
      </c>
      <c r="X391" t="s">
        <v>68</v>
      </c>
    </row>
    <row r="392" spans="1:24">
      <c r="A392" t="s">
        <v>449</v>
      </c>
      <c r="B392">
        <v>86</v>
      </c>
      <c r="C392" t="str" cm="1">
        <f t="array" ref="C392">_xlfn.IFS(B392&lt;=18,"0-18",B392&lt;=35,"19-35",B392&lt;=50,"36-50",B392&lt;=65,"51-65","True","65+")</f>
        <v>65+</v>
      </c>
      <c r="D392" t="s">
        <v>22</v>
      </c>
      <c r="E392" s="6">
        <v>45143</v>
      </c>
      <c r="F392" s="6">
        <v>45066</v>
      </c>
      <c r="G392">
        <v>12</v>
      </c>
      <c r="H392" t="s">
        <v>63</v>
      </c>
      <c r="I392">
        <v>1</v>
      </c>
      <c r="J392" t="s">
        <v>24</v>
      </c>
      <c r="K392">
        <v>26823</v>
      </c>
      <c r="L392" t="s">
        <v>53</v>
      </c>
      <c r="M392" t="s">
        <v>54</v>
      </c>
      <c r="N392" t="s">
        <v>27</v>
      </c>
      <c r="O392" s="2">
        <v>45021</v>
      </c>
      <c r="P392" s="2">
        <v>45021.375</v>
      </c>
      <c r="Q392" s="38">
        <f t="shared" si="6"/>
        <v>0.375</v>
      </c>
      <c r="R392" t="s">
        <v>37</v>
      </c>
      <c r="S392" t="s">
        <v>29</v>
      </c>
      <c r="T392" t="s">
        <v>47</v>
      </c>
      <c r="U392">
        <v>7</v>
      </c>
      <c r="V392">
        <v>8</v>
      </c>
      <c r="W392" s="18">
        <f>IFERROR(Table1[[#This Row],[Staff Hours Worked]]/Table1[[#This Row],[Staff Available Hours]],0)</f>
        <v>0.875</v>
      </c>
      <c r="X392" t="s">
        <v>68</v>
      </c>
    </row>
    <row r="393" spans="1:24">
      <c r="A393" t="s">
        <v>450</v>
      </c>
      <c r="B393">
        <v>49</v>
      </c>
      <c r="C393" t="str" cm="1">
        <f t="array" ref="C393">_xlfn.IFS(B393&lt;=18,"0-18",B393&lt;=35,"19-35",B393&lt;=50,"36-50",B393&lt;=65,"51-65","True","65+")</f>
        <v>36-50</v>
      </c>
      <c r="D393" t="s">
        <v>33</v>
      </c>
      <c r="E393" s="6">
        <v>45027</v>
      </c>
      <c r="F393" s="6">
        <v>45057</v>
      </c>
      <c r="G393">
        <v>1</v>
      </c>
      <c r="H393" t="s">
        <v>50</v>
      </c>
      <c r="I393">
        <v>5</v>
      </c>
      <c r="J393" t="s">
        <v>35</v>
      </c>
      <c r="K393">
        <v>33797</v>
      </c>
      <c r="L393" t="s">
        <v>36</v>
      </c>
      <c r="M393" t="s">
        <v>54</v>
      </c>
      <c r="N393" t="s">
        <v>27</v>
      </c>
      <c r="O393" s="2">
        <v>44937</v>
      </c>
      <c r="P393" s="2">
        <v>44937.5</v>
      </c>
      <c r="Q393" s="38">
        <f t="shared" si="6"/>
        <v>0.5</v>
      </c>
      <c r="R393" t="s">
        <v>55</v>
      </c>
      <c r="S393" t="s">
        <v>29</v>
      </c>
      <c r="T393" t="s">
        <v>47</v>
      </c>
      <c r="U393">
        <v>6</v>
      </c>
      <c r="V393">
        <v>12</v>
      </c>
      <c r="W393" s="18">
        <f>IFERROR(Table1[[#This Row],[Staff Hours Worked]]/Table1[[#This Row],[Staff Available Hours]],0)</f>
        <v>0.5</v>
      </c>
      <c r="X393" t="s">
        <v>31</v>
      </c>
    </row>
    <row r="394" spans="1:24">
      <c r="A394" t="s">
        <v>451</v>
      </c>
      <c r="B394">
        <v>52</v>
      </c>
      <c r="C394" t="str" cm="1">
        <f t="array" ref="C394">_xlfn.IFS(B394&lt;=18,"0-18",B394&lt;=35,"19-35",B394&lt;=50,"36-50",B394&lt;=65,"51-65","True","65+")</f>
        <v>51-65</v>
      </c>
      <c r="D394" t="s">
        <v>41</v>
      </c>
      <c r="E394" s="6">
        <v>45357</v>
      </c>
      <c r="F394" s="6">
        <v>45571</v>
      </c>
      <c r="G394">
        <v>7</v>
      </c>
      <c r="H394" t="s">
        <v>50</v>
      </c>
      <c r="I394">
        <v>4</v>
      </c>
      <c r="J394" t="s">
        <v>35</v>
      </c>
      <c r="K394">
        <v>11449</v>
      </c>
      <c r="L394" t="s">
        <v>25</v>
      </c>
      <c r="M394" t="s">
        <v>54</v>
      </c>
      <c r="N394" t="s">
        <v>27</v>
      </c>
      <c r="O394" s="2">
        <v>45328</v>
      </c>
      <c r="P394" s="2">
        <v>45328.875</v>
      </c>
      <c r="Q394" s="38">
        <f t="shared" si="6"/>
        <v>0.875</v>
      </c>
      <c r="R394" t="s">
        <v>55</v>
      </c>
      <c r="S394" t="s">
        <v>29</v>
      </c>
      <c r="T394" t="s">
        <v>47</v>
      </c>
      <c r="U394">
        <v>11</v>
      </c>
      <c r="V394">
        <v>8</v>
      </c>
      <c r="W394" s="18">
        <f>IFERROR(Table1[[#This Row],[Staff Hours Worked]]/Table1[[#This Row],[Staff Available Hours]],0)</f>
        <v>1.375</v>
      </c>
      <c r="X394" t="s">
        <v>68</v>
      </c>
    </row>
    <row r="395" spans="1:24">
      <c r="A395" t="s">
        <v>452</v>
      </c>
      <c r="B395">
        <v>42</v>
      </c>
      <c r="C395" t="str" cm="1">
        <f t="array" ref="C395">_xlfn.IFS(B395&lt;=18,"0-18",B395&lt;=35,"19-35",B395&lt;=50,"36-50",B395&lt;=65,"51-65","True","65+")</f>
        <v>36-50</v>
      </c>
      <c r="D395" t="s">
        <v>45</v>
      </c>
      <c r="E395" s="6">
        <v>45243</v>
      </c>
      <c r="F395" s="6">
        <v>45244</v>
      </c>
      <c r="G395">
        <v>1</v>
      </c>
      <c r="H395" t="s">
        <v>63</v>
      </c>
      <c r="I395">
        <v>5</v>
      </c>
      <c r="J395" t="s">
        <v>71</v>
      </c>
      <c r="K395">
        <v>6725</v>
      </c>
      <c r="L395" t="s">
        <v>60</v>
      </c>
      <c r="M395" t="s">
        <v>26</v>
      </c>
      <c r="N395" t="s">
        <v>27</v>
      </c>
      <c r="O395" s="2">
        <v>45271</v>
      </c>
      <c r="P395" s="2">
        <v>45243.208333333336</v>
      </c>
      <c r="Q395" s="38">
        <f t="shared" si="6"/>
        <v>27.791666666664241</v>
      </c>
      <c r="R395" t="s">
        <v>55</v>
      </c>
      <c r="S395" t="s">
        <v>29</v>
      </c>
      <c r="T395" t="s">
        <v>47</v>
      </c>
      <c r="U395">
        <v>5</v>
      </c>
      <c r="V395">
        <v>8</v>
      </c>
      <c r="W395" s="18">
        <f>IFERROR(Table1[[#This Row],[Staff Hours Worked]]/Table1[[#This Row],[Staff Available Hours]],0)</f>
        <v>0.625</v>
      </c>
      <c r="X395" t="s">
        <v>48</v>
      </c>
    </row>
    <row r="396" spans="1:24">
      <c r="A396" t="s">
        <v>453</v>
      </c>
      <c r="B396">
        <v>70</v>
      </c>
      <c r="C396" t="str" cm="1">
        <f t="array" ref="C396">_xlfn.IFS(B396&lt;=18,"0-18",B396&lt;=35,"19-35",B396&lt;=50,"36-50",B396&lt;=65,"51-65","True","65+")</f>
        <v>65+</v>
      </c>
      <c r="D396" t="s">
        <v>52</v>
      </c>
      <c r="E396" s="6">
        <v>45345</v>
      </c>
      <c r="F396" s="6">
        <v>45325</v>
      </c>
      <c r="G396">
        <v>8</v>
      </c>
      <c r="H396" t="s">
        <v>34</v>
      </c>
      <c r="I396">
        <v>1</v>
      </c>
      <c r="J396" t="s">
        <v>66</v>
      </c>
      <c r="K396">
        <v>20870</v>
      </c>
      <c r="L396" t="s">
        <v>36</v>
      </c>
      <c r="M396" t="s">
        <v>54</v>
      </c>
      <c r="N396" t="s">
        <v>27</v>
      </c>
      <c r="O396" s="2">
        <v>45343</v>
      </c>
      <c r="P396" s="2">
        <v>45344.666666666664</v>
      </c>
      <c r="Q396" s="38">
        <f t="shared" si="6"/>
        <v>1.6666666666642413</v>
      </c>
      <c r="R396" t="s">
        <v>64</v>
      </c>
      <c r="S396" t="s">
        <v>29</v>
      </c>
      <c r="T396" t="s">
        <v>47</v>
      </c>
      <c r="U396">
        <v>11</v>
      </c>
      <c r="V396">
        <v>12</v>
      </c>
      <c r="W396" s="18">
        <f>IFERROR(Table1[[#This Row],[Staff Hours Worked]]/Table1[[#This Row],[Staff Available Hours]],0)</f>
        <v>0.91666666666666663</v>
      </c>
      <c r="X396" t="s">
        <v>68</v>
      </c>
    </row>
    <row r="397" spans="1:24">
      <c r="A397" t="s">
        <v>454</v>
      </c>
      <c r="B397">
        <v>15</v>
      </c>
      <c r="C397" t="str" cm="1">
        <f t="array" ref="C397">_xlfn.IFS(B397&lt;=18,"0-18",B397&lt;=35,"19-35",B397&lt;=50,"36-50",B397&lt;=65,"51-65","True","65+")</f>
        <v>0-18</v>
      </c>
      <c r="D397" t="s">
        <v>22</v>
      </c>
      <c r="E397" s="6">
        <v>44938</v>
      </c>
      <c r="F397" s="6">
        <v>45276</v>
      </c>
      <c r="G397">
        <v>15</v>
      </c>
      <c r="H397" t="s">
        <v>50</v>
      </c>
      <c r="I397">
        <v>1</v>
      </c>
      <c r="J397" t="s">
        <v>66</v>
      </c>
      <c r="K397">
        <v>14304</v>
      </c>
      <c r="L397" t="s">
        <v>67</v>
      </c>
      <c r="M397" t="s">
        <v>54</v>
      </c>
      <c r="N397" t="s">
        <v>27</v>
      </c>
      <c r="O397" s="2">
        <v>45257</v>
      </c>
      <c r="P397" s="2">
        <v>45257.166666666664</v>
      </c>
      <c r="Q397" s="38">
        <f t="shared" si="6"/>
        <v>0.16666666666424135</v>
      </c>
      <c r="R397" t="s">
        <v>55</v>
      </c>
      <c r="S397" t="s">
        <v>29</v>
      </c>
      <c r="T397" t="s">
        <v>47</v>
      </c>
      <c r="U397">
        <v>9</v>
      </c>
      <c r="V397">
        <v>12</v>
      </c>
      <c r="W397" s="18">
        <f>IFERROR(Table1[[#This Row],[Staff Hours Worked]]/Table1[[#This Row],[Staff Available Hours]],0)</f>
        <v>0.75</v>
      </c>
      <c r="X397" t="s">
        <v>31</v>
      </c>
    </row>
    <row r="398" spans="1:24">
      <c r="A398" t="s">
        <v>455</v>
      </c>
      <c r="B398">
        <v>54</v>
      </c>
      <c r="C398" t="str" cm="1">
        <f t="array" ref="C398">_xlfn.IFS(B398&lt;=18,"0-18",B398&lt;=35,"19-35",B398&lt;=50,"36-50",B398&lt;=65,"51-65","True","65+")</f>
        <v>51-65</v>
      </c>
      <c r="D398" t="s">
        <v>33</v>
      </c>
      <c r="E398" s="6">
        <v>45339</v>
      </c>
      <c r="F398" s="6">
        <v>45341</v>
      </c>
      <c r="G398">
        <v>2</v>
      </c>
      <c r="H398" t="s">
        <v>40</v>
      </c>
      <c r="I398">
        <v>1</v>
      </c>
      <c r="J398" t="s">
        <v>35</v>
      </c>
      <c r="K398">
        <v>12522</v>
      </c>
      <c r="L398" t="s">
        <v>53</v>
      </c>
      <c r="M398" t="s">
        <v>54</v>
      </c>
      <c r="N398" t="s">
        <v>27</v>
      </c>
      <c r="O398" s="2">
        <v>45337</v>
      </c>
      <c r="P398" s="2">
        <v>45337.958333333336</v>
      </c>
      <c r="Q398" s="38">
        <f t="shared" si="6"/>
        <v>0.95833333333575865</v>
      </c>
      <c r="R398" t="s">
        <v>37</v>
      </c>
      <c r="S398" t="s">
        <v>29</v>
      </c>
      <c r="T398" t="s">
        <v>30</v>
      </c>
      <c r="U398">
        <v>9</v>
      </c>
      <c r="V398">
        <v>12</v>
      </c>
      <c r="W398" s="18">
        <f>IFERROR(Table1[[#This Row],[Staff Hours Worked]]/Table1[[#This Row],[Staff Available Hours]],0)</f>
        <v>0.75</v>
      </c>
      <c r="X398" t="s">
        <v>48</v>
      </c>
    </row>
    <row r="399" spans="1:24">
      <c r="A399" t="s">
        <v>456</v>
      </c>
      <c r="B399">
        <v>60</v>
      </c>
      <c r="C399" t="str" cm="1">
        <f t="array" ref="C399">_xlfn.IFS(B399&lt;=18,"0-18",B399&lt;=35,"19-35",B399&lt;=50,"36-50",B399&lt;=65,"51-65","True","65+")</f>
        <v>51-65</v>
      </c>
      <c r="D399" t="s">
        <v>22</v>
      </c>
      <c r="E399" s="6">
        <v>45229</v>
      </c>
      <c r="F399" s="6">
        <v>45243</v>
      </c>
      <c r="G399">
        <v>14</v>
      </c>
      <c r="H399" t="s">
        <v>63</v>
      </c>
      <c r="I399">
        <v>1</v>
      </c>
      <c r="J399" t="s">
        <v>46</v>
      </c>
      <c r="K399">
        <v>18663</v>
      </c>
      <c r="L399" t="s">
        <v>53</v>
      </c>
      <c r="M399" t="s">
        <v>54</v>
      </c>
      <c r="N399" t="s">
        <v>41</v>
      </c>
      <c r="O399" s="2">
        <v>45228</v>
      </c>
      <c r="P399" s="2">
        <v>45228.041666666664</v>
      </c>
      <c r="Q399" s="38">
        <f t="shared" si="6"/>
        <v>4.1666666664241347E-2</v>
      </c>
      <c r="R399" t="s">
        <v>64</v>
      </c>
      <c r="S399" t="s">
        <v>38</v>
      </c>
      <c r="T399" t="s">
        <v>30</v>
      </c>
      <c r="U399">
        <v>9</v>
      </c>
      <c r="V399">
        <v>10</v>
      </c>
      <c r="W399" s="18">
        <f>IFERROR(Table1[[#This Row],[Staff Hours Worked]]/Table1[[#This Row],[Staff Available Hours]],0)</f>
        <v>0.9</v>
      </c>
      <c r="X399" t="s">
        <v>48</v>
      </c>
    </row>
    <row r="400" spans="1:24">
      <c r="A400" t="s">
        <v>457</v>
      </c>
      <c r="B400">
        <v>8</v>
      </c>
      <c r="C400" t="str" cm="1">
        <f t="array" ref="C400">_xlfn.IFS(B400&lt;=18,"0-18",B400&lt;=35,"19-35",B400&lt;=50,"36-50",B400&lt;=65,"51-65","True","65+")</f>
        <v>0-18</v>
      </c>
      <c r="D400" t="s">
        <v>52</v>
      </c>
      <c r="E400" s="6">
        <v>45235</v>
      </c>
      <c r="F400" s="6">
        <v>45063</v>
      </c>
      <c r="G400">
        <v>6</v>
      </c>
      <c r="H400" t="s">
        <v>50</v>
      </c>
      <c r="I400">
        <v>3</v>
      </c>
      <c r="J400" t="s">
        <v>24</v>
      </c>
      <c r="K400">
        <v>9784</v>
      </c>
      <c r="L400" t="s">
        <v>67</v>
      </c>
      <c r="M400" t="s">
        <v>26</v>
      </c>
      <c r="N400" t="s">
        <v>41</v>
      </c>
      <c r="O400" s="2">
        <v>45174</v>
      </c>
      <c r="P400" s="2">
        <v>45204.333333333336</v>
      </c>
      <c r="Q400" s="38">
        <f t="shared" si="6"/>
        <v>30.333333333335759</v>
      </c>
      <c r="R400" t="s">
        <v>55</v>
      </c>
      <c r="S400" t="s">
        <v>29</v>
      </c>
      <c r="T400" t="s">
        <v>43</v>
      </c>
      <c r="U400">
        <v>10</v>
      </c>
      <c r="V400">
        <v>8</v>
      </c>
      <c r="W400" s="18">
        <f>IFERROR(Table1[[#This Row],[Staff Hours Worked]]/Table1[[#This Row],[Staff Available Hours]],0)</f>
        <v>1.25</v>
      </c>
      <c r="X400" t="s">
        <v>48</v>
      </c>
    </row>
    <row r="401" spans="1:24">
      <c r="A401" t="s">
        <v>458</v>
      </c>
      <c r="B401">
        <v>53</v>
      </c>
      <c r="C401" t="str" cm="1">
        <f t="array" ref="C401">_xlfn.IFS(B401&lt;=18,"0-18",B401&lt;=35,"19-35",B401&lt;=50,"36-50",B401&lt;=65,"51-65","True","65+")</f>
        <v>51-65</v>
      </c>
      <c r="D401" t="s">
        <v>33</v>
      </c>
      <c r="E401" s="6">
        <v>45123</v>
      </c>
      <c r="F401" s="6">
        <v>45133</v>
      </c>
      <c r="G401">
        <v>10</v>
      </c>
      <c r="H401" t="s">
        <v>57</v>
      </c>
      <c r="I401">
        <v>5</v>
      </c>
      <c r="J401" t="s">
        <v>46</v>
      </c>
      <c r="K401">
        <v>14472</v>
      </c>
      <c r="L401" t="s">
        <v>67</v>
      </c>
      <c r="M401" t="s">
        <v>54</v>
      </c>
      <c r="N401" t="s">
        <v>27</v>
      </c>
      <c r="O401" s="2">
        <v>45121</v>
      </c>
      <c r="P401" s="2">
        <v>45121.375</v>
      </c>
      <c r="Q401" s="38">
        <f t="shared" si="6"/>
        <v>0.375</v>
      </c>
      <c r="R401" t="s">
        <v>64</v>
      </c>
      <c r="S401" t="s">
        <v>29</v>
      </c>
      <c r="T401" t="s">
        <v>47</v>
      </c>
      <c r="U401">
        <v>4</v>
      </c>
      <c r="V401">
        <v>10</v>
      </c>
      <c r="W401" s="18">
        <f>IFERROR(Table1[[#This Row],[Staff Hours Worked]]/Table1[[#This Row],[Staff Available Hours]],0)</f>
        <v>0.4</v>
      </c>
      <c r="X401" t="s">
        <v>48</v>
      </c>
    </row>
    <row r="402" spans="1:24">
      <c r="A402" t="s">
        <v>459</v>
      </c>
      <c r="B402">
        <v>60</v>
      </c>
      <c r="C402" t="str" cm="1">
        <f t="array" ref="C402">_xlfn.IFS(B402&lt;=18,"0-18",B402&lt;=35,"19-35",B402&lt;=50,"36-50",B402&lt;=65,"51-65","True","65+")</f>
        <v>51-65</v>
      </c>
      <c r="D402" t="s">
        <v>22</v>
      </c>
      <c r="E402" s="6">
        <v>45446</v>
      </c>
      <c r="F402" s="6">
        <v>45364</v>
      </c>
      <c r="G402">
        <v>7</v>
      </c>
      <c r="H402" t="s">
        <v>23</v>
      </c>
      <c r="I402">
        <v>2</v>
      </c>
      <c r="J402" t="s">
        <v>46</v>
      </c>
      <c r="K402">
        <v>33952</v>
      </c>
      <c r="L402" t="s">
        <v>36</v>
      </c>
      <c r="M402" t="s">
        <v>26</v>
      </c>
      <c r="N402" t="s">
        <v>41</v>
      </c>
      <c r="O402" s="2">
        <v>45294</v>
      </c>
      <c r="P402" s="2">
        <v>45294.541666666664</v>
      </c>
      <c r="Q402" s="38">
        <f t="shared" si="6"/>
        <v>0.54166666666424135</v>
      </c>
      <c r="R402" t="s">
        <v>37</v>
      </c>
      <c r="S402" t="s">
        <v>29</v>
      </c>
      <c r="T402" t="s">
        <v>30</v>
      </c>
      <c r="U402">
        <v>8</v>
      </c>
      <c r="V402">
        <v>12</v>
      </c>
      <c r="W402" s="18">
        <f>IFERROR(Table1[[#This Row],[Staff Hours Worked]]/Table1[[#This Row],[Staff Available Hours]],0)</f>
        <v>0.66666666666666663</v>
      </c>
      <c r="X402" t="s">
        <v>68</v>
      </c>
    </row>
    <row r="403" spans="1:24">
      <c r="A403" t="s">
        <v>460</v>
      </c>
      <c r="B403">
        <v>5</v>
      </c>
      <c r="C403" t="str" cm="1">
        <f t="array" ref="C403">_xlfn.IFS(B403&lt;=18,"0-18",B403&lt;=35,"19-35",B403&lt;=50,"36-50",B403&lt;=65,"51-65","True","65+")</f>
        <v>0-18</v>
      </c>
      <c r="D403" t="s">
        <v>62</v>
      </c>
      <c r="E403" s="6">
        <v>45315</v>
      </c>
      <c r="F403" s="6">
        <v>45353</v>
      </c>
      <c r="G403">
        <v>10</v>
      </c>
      <c r="H403" t="s">
        <v>40</v>
      </c>
      <c r="I403">
        <v>5</v>
      </c>
      <c r="J403" t="s">
        <v>35</v>
      </c>
      <c r="K403">
        <v>15055</v>
      </c>
      <c r="L403" t="s">
        <v>67</v>
      </c>
      <c r="M403" t="s">
        <v>54</v>
      </c>
      <c r="N403" t="s">
        <v>41</v>
      </c>
      <c r="O403" s="2">
        <v>45314</v>
      </c>
      <c r="P403" s="2">
        <v>45315.041666666664</v>
      </c>
      <c r="Q403" s="38">
        <f t="shared" si="6"/>
        <v>1.0416666666642413</v>
      </c>
      <c r="R403" t="s">
        <v>55</v>
      </c>
      <c r="S403" t="s">
        <v>29</v>
      </c>
      <c r="T403" t="s">
        <v>47</v>
      </c>
      <c r="U403">
        <v>6</v>
      </c>
      <c r="V403">
        <v>10</v>
      </c>
      <c r="W403" s="18">
        <f>IFERROR(Table1[[#This Row],[Staff Hours Worked]]/Table1[[#This Row],[Staff Available Hours]],0)</f>
        <v>0.6</v>
      </c>
      <c r="X403" t="s">
        <v>31</v>
      </c>
    </row>
    <row r="404" spans="1:24">
      <c r="A404" t="s">
        <v>461</v>
      </c>
      <c r="B404">
        <v>68</v>
      </c>
      <c r="C404" t="str" cm="1">
        <f t="array" ref="C404">_xlfn.IFS(B404&lt;=18,"0-18",B404&lt;=35,"19-35",B404&lt;=50,"36-50",B404&lt;=65,"51-65","True","65+")</f>
        <v>65+</v>
      </c>
      <c r="D404" t="s">
        <v>52</v>
      </c>
      <c r="E404" s="6">
        <v>45105</v>
      </c>
      <c r="F404" s="6">
        <v>45053</v>
      </c>
      <c r="G404">
        <v>7</v>
      </c>
      <c r="H404" t="s">
        <v>23</v>
      </c>
      <c r="I404">
        <v>3</v>
      </c>
      <c r="J404" t="s">
        <v>35</v>
      </c>
      <c r="K404">
        <v>34508</v>
      </c>
      <c r="L404" t="s">
        <v>60</v>
      </c>
      <c r="M404" t="s">
        <v>54</v>
      </c>
      <c r="N404" t="s">
        <v>27</v>
      </c>
      <c r="O404" s="2">
        <v>45100</v>
      </c>
      <c r="P404" s="2">
        <v>45101.5</v>
      </c>
      <c r="Q404" s="38">
        <f t="shared" si="6"/>
        <v>1.5</v>
      </c>
      <c r="R404" t="s">
        <v>28</v>
      </c>
      <c r="S404" t="s">
        <v>29</v>
      </c>
      <c r="T404" t="s">
        <v>47</v>
      </c>
      <c r="U404">
        <v>11</v>
      </c>
      <c r="V404">
        <v>12</v>
      </c>
      <c r="W404" s="18">
        <f>IFERROR(Table1[[#This Row],[Staff Hours Worked]]/Table1[[#This Row],[Staff Available Hours]],0)</f>
        <v>0.91666666666666663</v>
      </c>
      <c r="X404" t="s">
        <v>68</v>
      </c>
    </row>
    <row r="405" spans="1:24">
      <c r="A405" t="s">
        <v>462</v>
      </c>
      <c r="B405">
        <v>6</v>
      </c>
      <c r="C405" t="str" cm="1">
        <f t="array" ref="C405">_xlfn.IFS(B405&lt;=18,"0-18",B405&lt;=35,"19-35",B405&lt;=50,"36-50",B405&lt;=65,"51-65","True","65+")</f>
        <v>0-18</v>
      </c>
      <c r="D405" t="s">
        <v>52</v>
      </c>
      <c r="E405" s="6">
        <v>45057</v>
      </c>
      <c r="F405" s="6">
        <v>45247</v>
      </c>
      <c r="G405">
        <v>12</v>
      </c>
      <c r="H405" t="s">
        <v>23</v>
      </c>
      <c r="I405">
        <v>1</v>
      </c>
      <c r="J405" t="s">
        <v>35</v>
      </c>
      <c r="K405">
        <v>17676</v>
      </c>
      <c r="L405" t="s">
        <v>25</v>
      </c>
      <c r="M405" t="s">
        <v>26</v>
      </c>
      <c r="N405" t="s">
        <v>27</v>
      </c>
      <c r="O405" s="2">
        <v>45230</v>
      </c>
      <c r="P405" s="2">
        <v>44937.375</v>
      </c>
      <c r="Q405" s="38">
        <f t="shared" si="6"/>
        <v>292.625</v>
      </c>
      <c r="R405" t="s">
        <v>37</v>
      </c>
      <c r="S405" t="s">
        <v>29</v>
      </c>
      <c r="T405" t="s">
        <v>30</v>
      </c>
      <c r="U405">
        <v>10</v>
      </c>
      <c r="V405">
        <v>12</v>
      </c>
      <c r="W405" s="18">
        <f>IFERROR(Table1[[#This Row],[Staff Hours Worked]]/Table1[[#This Row],[Staff Available Hours]],0)</f>
        <v>0.83333333333333337</v>
      </c>
      <c r="X405" t="s">
        <v>68</v>
      </c>
    </row>
    <row r="406" spans="1:24">
      <c r="A406" t="s">
        <v>463</v>
      </c>
      <c r="B406">
        <v>47</v>
      </c>
      <c r="C406" t="str" cm="1">
        <f t="array" ref="C406">_xlfn.IFS(B406&lt;=18,"0-18",B406&lt;=35,"19-35",B406&lt;=50,"36-50",B406&lt;=65,"51-65","True","65+")</f>
        <v>36-50</v>
      </c>
      <c r="D406" t="s">
        <v>52</v>
      </c>
      <c r="E406" s="6">
        <v>45342</v>
      </c>
      <c r="F406" s="6">
        <v>45325</v>
      </c>
      <c r="G406">
        <v>11</v>
      </c>
      <c r="H406" t="s">
        <v>50</v>
      </c>
      <c r="I406">
        <v>3</v>
      </c>
      <c r="J406" t="s">
        <v>71</v>
      </c>
      <c r="K406">
        <v>30192</v>
      </c>
      <c r="L406" t="s">
        <v>67</v>
      </c>
      <c r="M406" t="s">
        <v>54</v>
      </c>
      <c r="N406" t="s">
        <v>27</v>
      </c>
      <c r="O406" s="2">
        <v>45339</v>
      </c>
      <c r="P406" s="2">
        <v>45340.75</v>
      </c>
      <c r="Q406" s="38">
        <f t="shared" si="6"/>
        <v>1.75</v>
      </c>
      <c r="R406" t="s">
        <v>42</v>
      </c>
      <c r="S406" t="s">
        <v>29</v>
      </c>
      <c r="T406" t="s">
        <v>47</v>
      </c>
      <c r="U406">
        <v>11</v>
      </c>
      <c r="V406">
        <v>8</v>
      </c>
      <c r="W406" s="18">
        <f>IFERROR(Table1[[#This Row],[Staff Hours Worked]]/Table1[[#This Row],[Staff Available Hours]],0)</f>
        <v>1.375</v>
      </c>
      <c r="X406" t="s">
        <v>48</v>
      </c>
    </row>
    <row r="407" spans="1:24">
      <c r="A407" t="s">
        <v>464</v>
      </c>
      <c r="B407">
        <v>55</v>
      </c>
      <c r="C407" t="str" cm="1">
        <f t="array" ref="C407">_xlfn.IFS(B407&lt;=18,"0-18",B407&lt;=35,"19-35",B407&lt;=50,"36-50",B407&lt;=65,"51-65","True","65+")</f>
        <v>51-65</v>
      </c>
      <c r="D407" t="s">
        <v>62</v>
      </c>
      <c r="E407" s="6">
        <v>44927</v>
      </c>
      <c r="F407" s="6">
        <v>45139</v>
      </c>
      <c r="G407">
        <v>7</v>
      </c>
      <c r="H407" t="s">
        <v>40</v>
      </c>
      <c r="I407">
        <v>4</v>
      </c>
      <c r="J407" t="s">
        <v>46</v>
      </c>
      <c r="K407">
        <v>29722</v>
      </c>
      <c r="L407" t="s">
        <v>67</v>
      </c>
      <c r="M407" t="s">
        <v>54</v>
      </c>
      <c r="N407" t="s">
        <v>41</v>
      </c>
      <c r="O407" s="2">
        <v>44925</v>
      </c>
      <c r="P407" s="2">
        <v>44926.333333333336</v>
      </c>
      <c r="Q407" s="38">
        <f t="shared" si="6"/>
        <v>1.3333333333357587</v>
      </c>
      <c r="R407" t="s">
        <v>42</v>
      </c>
      <c r="S407" t="s">
        <v>29</v>
      </c>
      <c r="T407" t="s">
        <v>30</v>
      </c>
      <c r="U407">
        <v>5</v>
      </c>
      <c r="V407">
        <v>8</v>
      </c>
      <c r="W407" s="18">
        <f>IFERROR(Table1[[#This Row],[Staff Hours Worked]]/Table1[[#This Row],[Staff Available Hours]],0)</f>
        <v>0.625</v>
      </c>
      <c r="X407" t="s">
        <v>31</v>
      </c>
    </row>
    <row r="408" spans="1:24">
      <c r="A408" t="s">
        <v>465</v>
      </c>
      <c r="B408">
        <v>40</v>
      </c>
      <c r="C408" t="str" cm="1">
        <f t="array" ref="C408">_xlfn.IFS(B408&lt;=18,"0-18",B408&lt;=35,"19-35",B408&lt;=50,"36-50",B408&lt;=65,"51-65","True","65+")</f>
        <v>36-50</v>
      </c>
      <c r="D408" t="s">
        <v>62</v>
      </c>
      <c r="E408" s="6">
        <v>45149</v>
      </c>
      <c r="F408" s="6">
        <v>45243</v>
      </c>
      <c r="G408">
        <v>5</v>
      </c>
      <c r="H408" t="s">
        <v>40</v>
      </c>
      <c r="I408">
        <v>4</v>
      </c>
      <c r="J408" t="s">
        <v>66</v>
      </c>
      <c r="K408">
        <v>12446</v>
      </c>
      <c r="L408" t="s">
        <v>60</v>
      </c>
      <c r="M408" t="s">
        <v>26</v>
      </c>
      <c r="N408" t="s">
        <v>41</v>
      </c>
      <c r="O408" s="2">
        <v>45057</v>
      </c>
      <c r="P408" s="2">
        <v>45088.125</v>
      </c>
      <c r="Q408" s="38">
        <f t="shared" si="6"/>
        <v>31.125</v>
      </c>
      <c r="R408" t="s">
        <v>37</v>
      </c>
      <c r="S408" t="s">
        <v>29</v>
      </c>
      <c r="T408" t="s">
        <v>30</v>
      </c>
      <c r="U408">
        <v>10</v>
      </c>
      <c r="V408">
        <v>8</v>
      </c>
      <c r="W408" s="18">
        <f>IFERROR(Table1[[#This Row],[Staff Hours Worked]]/Table1[[#This Row],[Staff Available Hours]],0)</f>
        <v>1.25</v>
      </c>
      <c r="X408" t="s">
        <v>48</v>
      </c>
    </row>
    <row r="409" spans="1:24">
      <c r="A409" t="s">
        <v>466</v>
      </c>
      <c r="B409">
        <v>52</v>
      </c>
      <c r="C409" t="str" cm="1">
        <f t="array" ref="C409">_xlfn.IFS(B409&lt;=18,"0-18",B409&lt;=35,"19-35",B409&lt;=50,"36-50",B409&lt;=65,"51-65","True","65+")</f>
        <v>51-65</v>
      </c>
      <c r="D409" t="s">
        <v>45</v>
      </c>
      <c r="E409" s="6">
        <v>45220</v>
      </c>
      <c r="F409" s="6">
        <v>45222</v>
      </c>
      <c r="G409">
        <v>2</v>
      </c>
      <c r="H409" t="s">
        <v>34</v>
      </c>
      <c r="I409">
        <v>5</v>
      </c>
      <c r="J409" t="s">
        <v>24</v>
      </c>
      <c r="K409">
        <v>9725</v>
      </c>
      <c r="L409" t="s">
        <v>53</v>
      </c>
      <c r="M409" t="s">
        <v>54</v>
      </c>
      <c r="N409" t="s">
        <v>41</v>
      </c>
      <c r="O409" s="2">
        <v>45218</v>
      </c>
      <c r="P409" s="2">
        <v>45219.833333333336</v>
      </c>
      <c r="Q409" s="38">
        <f t="shared" si="6"/>
        <v>1.8333333333357587</v>
      </c>
      <c r="R409" t="s">
        <v>42</v>
      </c>
      <c r="S409" t="s">
        <v>29</v>
      </c>
      <c r="T409" t="s">
        <v>43</v>
      </c>
      <c r="U409">
        <v>4</v>
      </c>
      <c r="V409">
        <v>10</v>
      </c>
      <c r="W409" s="18">
        <f>IFERROR(Table1[[#This Row],[Staff Hours Worked]]/Table1[[#This Row],[Staff Available Hours]],0)</f>
        <v>0.4</v>
      </c>
      <c r="X409" t="s">
        <v>68</v>
      </c>
    </row>
    <row r="410" spans="1:24">
      <c r="A410" t="s">
        <v>467</v>
      </c>
      <c r="B410">
        <v>16</v>
      </c>
      <c r="C410" t="str" cm="1">
        <f t="array" ref="C410">_xlfn.IFS(B410&lt;=18,"0-18",B410&lt;=35,"19-35",B410&lt;=50,"36-50",B410&lt;=65,"51-65","True","65+")</f>
        <v>0-18</v>
      </c>
      <c r="D410" t="s">
        <v>41</v>
      </c>
      <c r="E410" s="6">
        <v>45024</v>
      </c>
      <c r="F410" s="6">
        <v>45238</v>
      </c>
      <c r="G410">
        <v>7</v>
      </c>
      <c r="H410" t="s">
        <v>23</v>
      </c>
      <c r="I410">
        <v>5</v>
      </c>
      <c r="J410" t="s">
        <v>71</v>
      </c>
      <c r="K410">
        <v>25061</v>
      </c>
      <c r="L410" t="s">
        <v>53</v>
      </c>
      <c r="M410" t="s">
        <v>26</v>
      </c>
      <c r="N410" t="s">
        <v>27</v>
      </c>
      <c r="O410" s="2">
        <v>45138</v>
      </c>
      <c r="P410" s="2">
        <v>44934.333333333336</v>
      </c>
      <c r="Q410" s="38">
        <f t="shared" si="6"/>
        <v>203.66666666666424</v>
      </c>
      <c r="R410" t="s">
        <v>37</v>
      </c>
      <c r="S410" t="s">
        <v>29</v>
      </c>
      <c r="T410" t="s">
        <v>43</v>
      </c>
      <c r="U410">
        <v>11</v>
      </c>
      <c r="V410">
        <v>8</v>
      </c>
      <c r="W410" s="18">
        <f>IFERROR(Table1[[#This Row],[Staff Hours Worked]]/Table1[[#This Row],[Staff Available Hours]],0)</f>
        <v>1.375</v>
      </c>
      <c r="X410" t="s">
        <v>68</v>
      </c>
    </row>
    <row r="411" spans="1:24">
      <c r="A411" t="s">
        <v>468</v>
      </c>
      <c r="B411">
        <v>13</v>
      </c>
      <c r="C411" t="str" cm="1">
        <f t="array" ref="C411">_xlfn.IFS(B411&lt;=18,"0-18",B411&lt;=35,"19-35",B411&lt;=50,"36-50",B411&lt;=65,"51-65","True","65+")</f>
        <v>0-18</v>
      </c>
      <c r="D411" t="s">
        <v>22</v>
      </c>
      <c r="E411" s="6">
        <v>45367</v>
      </c>
      <c r="F411" s="6">
        <v>45368</v>
      </c>
      <c r="G411">
        <v>1</v>
      </c>
      <c r="H411" t="s">
        <v>40</v>
      </c>
      <c r="I411">
        <v>2</v>
      </c>
      <c r="J411" t="s">
        <v>66</v>
      </c>
      <c r="K411">
        <v>27671</v>
      </c>
      <c r="L411" t="s">
        <v>36</v>
      </c>
      <c r="M411" t="s">
        <v>26</v>
      </c>
      <c r="N411" t="s">
        <v>27</v>
      </c>
      <c r="O411" s="2">
        <v>45599</v>
      </c>
      <c r="P411" s="2">
        <v>45629.125</v>
      </c>
      <c r="Q411" s="38">
        <f t="shared" si="6"/>
        <v>30.125</v>
      </c>
      <c r="R411" t="s">
        <v>28</v>
      </c>
      <c r="S411" t="s">
        <v>29</v>
      </c>
      <c r="T411" t="s">
        <v>43</v>
      </c>
      <c r="U411">
        <v>10</v>
      </c>
      <c r="V411">
        <v>12</v>
      </c>
      <c r="W411" s="18">
        <f>IFERROR(Table1[[#This Row],[Staff Hours Worked]]/Table1[[#This Row],[Staff Available Hours]],0)</f>
        <v>0.83333333333333337</v>
      </c>
      <c r="X411" t="s">
        <v>48</v>
      </c>
    </row>
    <row r="412" spans="1:24">
      <c r="A412" t="s">
        <v>469</v>
      </c>
      <c r="B412">
        <v>30</v>
      </c>
      <c r="C412" t="str" cm="1">
        <f t="array" ref="C412">_xlfn.IFS(B412&lt;=18,"0-18",B412&lt;=35,"19-35",B412&lt;=50,"36-50",B412&lt;=65,"51-65","True","65+")</f>
        <v>19-35</v>
      </c>
      <c r="D412" t="s">
        <v>45</v>
      </c>
      <c r="E412" s="6">
        <v>45256</v>
      </c>
      <c r="F412" s="6">
        <v>44969</v>
      </c>
      <c r="G412">
        <v>6</v>
      </c>
      <c r="H412" t="s">
        <v>34</v>
      </c>
      <c r="I412">
        <v>2</v>
      </c>
      <c r="J412" t="s">
        <v>46</v>
      </c>
      <c r="K412">
        <v>6409</v>
      </c>
      <c r="L412" t="s">
        <v>60</v>
      </c>
      <c r="M412" t="s">
        <v>54</v>
      </c>
      <c r="N412" t="s">
        <v>27</v>
      </c>
      <c r="O412" s="2">
        <v>45254</v>
      </c>
      <c r="P412" s="2">
        <v>45255.916666666664</v>
      </c>
      <c r="Q412" s="38">
        <f t="shared" si="6"/>
        <v>1.9166666666642413</v>
      </c>
      <c r="R412" t="s">
        <v>37</v>
      </c>
      <c r="S412" t="s">
        <v>29</v>
      </c>
      <c r="T412" t="s">
        <v>43</v>
      </c>
      <c r="U412">
        <v>10</v>
      </c>
      <c r="V412">
        <v>8</v>
      </c>
      <c r="W412" s="18">
        <f>IFERROR(Table1[[#This Row],[Staff Hours Worked]]/Table1[[#This Row],[Staff Available Hours]],0)</f>
        <v>1.25</v>
      </c>
      <c r="X412" t="s">
        <v>68</v>
      </c>
    </row>
    <row r="413" spans="1:24">
      <c r="A413" t="s">
        <v>470</v>
      </c>
      <c r="B413">
        <v>19</v>
      </c>
      <c r="C413" t="str" cm="1">
        <f t="array" ref="C413">_xlfn.IFS(B413&lt;=18,"0-18",B413&lt;=35,"19-35",B413&lt;=50,"36-50",B413&lt;=65,"51-65","True","65+")</f>
        <v>19-35</v>
      </c>
      <c r="D413" t="s">
        <v>22</v>
      </c>
      <c r="E413" s="6">
        <v>45403</v>
      </c>
      <c r="F413" s="6">
        <v>45406</v>
      </c>
      <c r="G413">
        <v>3</v>
      </c>
      <c r="H413" t="s">
        <v>63</v>
      </c>
      <c r="I413">
        <v>4</v>
      </c>
      <c r="J413" t="s">
        <v>35</v>
      </c>
      <c r="K413">
        <v>13205</v>
      </c>
      <c r="L413" t="s">
        <v>25</v>
      </c>
      <c r="M413" t="s">
        <v>54</v>
      </c>
      <c r="N413" t="s">
        <v>41</v>
      </c>
      <c r="O413" s="2">
        <v>45401</v>
      </c>
      <c r="P413" s="2">
        <v>45402.208333333336</v>
      </c>
      <c r="Q413" s="38">
        <f t="shared" si="6"/>
        <v>1.2083333333357587</v>
      </c>
      <c r="R413" t="s">
        <v>55</v>
      </c>
      <c r="S413" t="s">
        <v>29</v>
      </c>
      <c r="T413" t="s">
        <v>47</v>
      </c>
      <c r="U413">
        <v>7</v>
      </c>
      <c r="V413">
        <v>10</v>
      </c>
      <c r="W413" s="18">
        <f>IFERROR(Table1[[#This Row],[Staff Hours Worked]]/Table1[[#This Row],[Staff Available Hours]],0)</f>
        <v>0.7</v>
      </c>
      <c r="X413" t="s">
        <v>68</v>
      </c>
    </row>
    <row r="414" spans="1:24">
      <c r="A414" t="s">
        <v>471</v>
      </c>
      <c r="B414">
        <v>17</v>
      </c>
      <c r="C414" t="str" cm="1">
        <f t="array" ref="C414">_xlfn.IFS(B414&lt;=18,"0-18",B414&lt;=35,"19-35",B414&lt;=50,"36-50",B414&lt;=65,"51-65","True","65+")</f>
        <v>0-18</v>
      </c>
      <c r="D414" t="s">
        <v>41</v>
      </c>
      <c r="E414" s="6">
        <v>45379</v>
      </c>
      <c r="F414" s="6">
        <v>45569</v>
      </c>
      <c r="G414">
        <v>13</v>
      </c>
      <c r="H414" t="s">
        <v>34</v>
      </c>
      <c r="I414">
        <v>1</v>
      </c>
      <c r="J414" t="s">
        <v>46</v>
      </c>
      <c r="K414">
        <v>21365</v>
      </c>
      <c r="L414" t="s">
        <v>25</v>
      </c>
      <c r="M414" t="s">
        <v>54</v>
      </c>
      <c r="N414" t="s">
        <v>27</v>
      </c>
      <c r="O414" s="2">
        <v>45379</v>
      </c>
      <c r="P414" s="2">
        <v>45380.333333333336</v>
      </c>
      <c r="Q414" s="38">
        <f t="shared" si="6"/>
        <v>1.3333333333357587</v>
      </c>
      <c r="R414" t="s">
        <v>55</v>
      </c>
      <c r="S414" t="s">
        <v>29</v>
      </c>
      <c r="T414" t="s">
        <v>47</v>
      </c>
      <c r="U414">
        <v>5</v>
      </c>
      <c r="V414">
        <v>8</v>
      </c>
      <c r="W414" s="18">
        <f>IFERROR(Table1[[#This Row],[Staff Hours Worked]]/Table1[[#This Row],[Staff Available Hours]],0)</f>
        <v>0.625</v>
      </c>
      <c r="X414" t="s">
        <v>48</v>
      </c>
    </row>
    <row r="415" spans="1:24">
      <c r="A415" t="s">
        <v>472</v>
      </c>
      <c r="B415">
        <v>63</v>
      </c>
      <c r="C415" t="str" cm="1">
        <f t="array" ref="C415">_xlfn.IFS(B415&lt;=18,"0-18",B415&lt;=35,"19-35",B415&lt;=50,"36-50",B415&lt;=65,"51-65","True","65+")</f>
        <v>51-65</v>
      </c>
      <c r="D415" t="s">
        <v>62</v>
      </c>
      <c r="E415" s="6">
        <v>45379</v>
      </c>
      <c r="F415" s="6">
        <v>45477</v>
      </c>
      <c r="G415">
        <v>10</v>
      </c>
      <c r="H415" t="s">
        <v>57</v>
      </c>
      <c r="I415">
        <v>3</v>
      </c>
      <c r="J415" t="s">
        <v>24</v>
      </c>
      <c r="K415">
        <v>5256</v>
      </c>
      <c r="L415" t="s">
        <v>60</v>
      </c>
      <c r="M415" t="s">
        <v>54</v>
      </c>
      <c r="N415" t="s">
        <v>27</v>
      </c>
      <c r="O415" s="2">
        <v>45375</v>
      </c>
      <c r="P415" s="2">
        <v>45375.458333333336</v>
      </c>
      <c r="Q415" s="38">
        <f t="shared" si="6"/>
        <v>0.45833333333575865</v>
      </c>
      <c r="R415" t="s">
        <v>64</v>
      </c>
      <c r="S415" t="s">
        <v>29</v>
      </c>
      <c r="T415" t="s">
        <v>43</v>
      </c>
      <c r="U415">
        <v>9</v>
      </c>
      <c r="V415">
        <v>8</v>
      </c>
      <c r="W415" s="18">
        <f>IFERROR(Table1[[#This Row],[Staff Hours Worked]]/Table1[[#This Row],[Staff Available Hours]],0)</f>
        <v>1.125</v>
      </c>
      <c r="X415" t="s">
        <v>68</v>
      </c>
    </row>
    <row r="416" spans="1:24">
      <c r="A416" t="s">
        <v>473</v>
      </c>
      <c r="B416">
        <v>19</v>
      </c>
      <c r="C416" t="str" cm="1">
        <f t="array" ref="C416">_xlfn.IFS(B416&lt;=18,"0-18",B416&lt;=35,"19-35",B416&lt;=50,"36-50",B416&lt;=65,"51-65","True","65+")</f>
        <v>19-35</v>
      </c>
      <c r="D416" t="s">
        <v>41</v>
      </c>
      <c r="E416" s="6">
        <v>45115</v>
      </c>
      <c r="F416" s="6">
        <v>45153</v>
      </c>
      <c r="G416">
        <v>8</v>
      </c>
      <c r="H416" t="s">
        <v>50</v>
      </c>
      <c r="I416">
        <v>2</v>
      </c>
      <c r="J416" t="s">
        <v>71</v>
      </c>
      <c r="K416">
        <v>20704</v>
      </c>
      <c r="L416" t="s">
        <v>25</v>
      </c>
      <c r="M416" t="s">
        <v>26</v>
      </c>
      <c r="N416" t="s">
        <v>27</v>
      </c>
      <c r="O416" s="2">
        <v>44965</v>
      </c>
      <c r="P416" s="2">
        <v>44965.25</v>
      </c>
      <c r="Q416" s="38">
        <f t="shared" si="6"/>
        <v>0.25</v>
      </c>
      <c r="R416" t="s">
        <v>42</v>
      </c>
      <c r="S416" t="s">
        <v>29</v>
      </c>
      <c r="T416" t="s">
        <v>30</v>
      </c>
      <c r="U416">
        <v>5</v>
      </c>
      <c r="V416">
        <v>8</v>
      </c>
      <c r="W416" s="18">
        <f>IFERROR(Table1[[#This Row],[Staff Hours Worked]]/Table1[[#This Row],[Staff Available Hours]],0)</f>
        <v>0.625</v>
      </c>
      <c r="X416" t="s">
        <v>31</v>
      </c>
    </row>
    <row r="417" spans="1:24">
      <c r="A417" t="s">
        <v>474</v>
      </c>
      <c r="B417">
        <v>58</v>
      </c>
      <c r="C417" t="str" cm="1">
        <f t="array" ref="C417">_xlfn.IFS(B417&lt;=18,"0-18",B417&lt;=35,"19-35",B417&lt;=50,"36-50",B417&lt;=65,"51-65","True","65+")</f>
        <v>51-65</v>
      </c>
      <c r="D417" t="s">
        <v>62</v>
      </c>
      <c r="E417" s="6">
        <v>45479</v>
      </c>
      <c r="F417" s="6">
        <v>45464</v>
      </c>
      <c r="G417">
        <v>14</v>
      </c>
      <c r="H417" t="s">
        <v>63</v>
      </c>
      <c r="I417">
        <v>2</v>
      </c>
      <c r="J417" t="s">
        <v>71</v>
      </c>
      <c r="K417">
        <v>34902</v>
      </c>
      <c r="L417" t="s">
        <v>53</v>
      </c>
      <c r="M417" t="s">
        <v>26</v>
      </c>
      <c r="N417" t="s">
        <v>27</v>
      </c>
      <c r="O417" s="2">
        <v>45357</v>
      </c>
      <c r="P417" s="2">
        <v>45388.541666666664</v>
      </c>
      <c r="Q417" s="38">
        <f t="shared" si="6"/>
        <v>31.541666666664241</v>
      </c>
      <c r="R417" t="s">
        <v>42</v>
      </c>
      <c r="S417" t="s">
        <v>29</v>
      </c>
      <c r="T417" t="s">
        <v>30</v>
      </c>
      <c r="U417">
        <v>5</v>
      </c>
      <c r="V417">
        <v>10</v>
      </c>
      <c r="W417" s="18">
        <f>IFERROR(Table1[[#This Row],[Staff Hours Worked]]/Table1[[#This Row],[Staff Available Hours]],0)</f>
        <v>0.5</v>
      </c>
      <c r="X417" t="s">
        <v>48</v>
      </c>
    </row>
    <row r="418" spans="1:24">
      <c r="A418" t="s">
        <v>475</v>
      </c>
      <c r="B418">
        <v>55</v>
      </c>
      <c r="C418" t="str" cm="1">
        <f t="array" ref="C418">_xlfn.IFS(B418&lt;=18,"0-18",B418&lt;=35,"19-35",B418&lt;=50,"36-50",B418&lt;=65,"51-65","True","65+")</f>
        <v>51-65</v>
      </c>
      <c r="D418" t="s">
        <v>41</v>
      </c>
      <c r="E418" s="6">
        <v>45411</v>
      </c>
      <c r="F418" s="6">
        <v>45601</v>
      </c>
      <c r="G418">
        <v>12</v>
      </c>
      <c r="H418" t="s">
        <v>63</v>
      </c>
      <c r="I418">
        <v>1</v>
      </c>
      <c r="J418" t="s">
        <v>24</v>
      </c>
      <c r="K418">
        <v>40758</v>
      </c>
      <c r="L418" t="s">
        <v>25</v>
      </c>
      <c r="M418" t="s">
        <v>54</v>
      </c>
      <c r="N418" t="s">
        <v>27</v>
      </c>
      <c r="O418" s="2">
        <v>45408</v>
      </c>
      <c r="P418" s="2">
        <v>45408.083333333336</v>
      </c>
      <c r="Q418" s="38">
        <f t="shared" si="6"/>
        <v>8.3333333335758653E-2</v>
      </c>
      <c r="R418" t="s">
        <v>37</v>
      </c>
      <c r="S418" t="s">
        <v>29</v>
      </c>
      <c r="T418" t="s">
        <v>30</v>
      </c>
      <c r="U418">
        <v>7</v>
      </c>
      <c r="V418">
        <v>12</v>
      </c>
      <c r="W418" s="18">
        <f>IFERROR(Table1[[#This Row],[Staff Hours Worked]]/Table1[[#This Row],[Staff Available Hours]],0)</f>
        <v>0.58333333333333337</v>
      </c>
      <c r="X418" t="s">
        <v>31</v>
      </c>
    </row>
    <row r="419" spans="1:24">
      <c r="A419" t="s">
        <v>476</v>
      </c>
      <c r="B419">
        <v>62</v>
      </c>
      <c r="C419" t="str" cm="1">
        <f t="array" ref="C419">_xlfn.IFS(B419&lt;=18,"0-18",B419&lt;=35,"19-35",B419&lt;=50,"36-50",B419&lt;=65,"51-65","True","65+")</f>
        <v>51-65</v>
      </c>
      <c r="D419" t="s">
        <v>45</v>
      </c>
      <c r="E419" s="6">
        <v>45100</v>
      </c>
      <c r="F419" s="6">
        <v>45145</v>
      </c>
      <c r="G419">
        <v>15</v>
      </c>
      <c r="H419" t="s">
        <v>57</v>
      </c>
      <c r="I419">
        <v>1</v>
      </c>
      <c r="J419" t="s">
        <v>66</v>
      </c>
      <c r="K419">
        <v>6195</v>
      </c>
      <c r="L419" t="s">
        <v>25</v>
      </c>
      <c r="M419" t="s">
        <v>54</v>
      </c>
      <c r="N419" t="s">
        <v>41</v>
      </c>
      <c r="O419" s="2">
        <v>45097</v>
      </c>
      <c r="P419" s="2">
        <v>45097.625</v>
      </c>
      <c r="Q419" s="38">
        <f t="shared" si="6"/>
        <v>0.625</v>
      </c>
      <c r="R419" t="s">
        <v>42</v>
      </c>
      <c r="S419" t="s">
        <v>29</v>
      </c>
      <c r="T419" t="s">
        <v>30</v>
      </c>
      <c r="U419">
        <v>8</v>
      </c>
      <c r="V419">
        <v>12</v>
      </c>
      <c r="W419" s="18">
        <f>IFERROR(Table1[[#This Row],[Staff Hours Worked]]/Table1[[#This Row],[Staff Available Hours]],0)</f>
        <v>0.66666666666666663</v>
      </c>
      <c r="X419" t="s">
        <v>68</v>
      </c>
    </row>
    <row r="420" spans="1:24">
      <c r="A420" t="s">
        <v>477</v>
      </c>
      <c r="B420">
        <v>23</v>
      </c>
      <c r="C420" t="str" cm="1">
        <f t="array" ref="C420">_xlfn.IFS(B420&lt;=18,"0-18",B420&lt;=35,"19-35",B420&lt;=50,"36-50",B420&lt;=65,"51-65","True","65+")</f>
        <v>19-35</v>
      </c>
      <c r="D420" t="s">
        <v>33</v>
      </c>
      <c r="E420" s="6">
        <v>45013</v>
      </c>
      <c r="F420" s="6">
        <v>44989</v>
      </c>
      <c r="G420">
        <v>6</v>
      </c>
      <c r="H420" t="s">
        <v>34</v>
      </c>
      <c r="I420">
        <v>5</v>
      </c>
      <c r="J420" t="s">
        <v>66</v>
      </c>
      <c r="K420">
        <v>39012</v>
      </c>
      <c r="L420" t="s">
        <v>60</v>
      </c>
      <c r="M420" t="s">
        <v>54</v>
      </c>
      <c r="N420" t="s">
        <v>41</v>
      </c>
      <c r="O420" s="2">
        <v>45011</v>
      </c>
      <c r="P420" s="2">
        <v>45011.791666666664</v>
      </c>
      <c r="Q420" s="38">
        <f t="shared" si="6"/>
        <v>0.79166666666424135</v>
      </c>
      <c r="R420" t="s">
        <v>55</v>
      </c>
      <c r="S420" t="s">
        <v>29</v>
      </c>
      <c r="T420" t="s">
        <v>47</v>
      </c>
      <c r="U420">
        <v>10</v>
      </c>
      <c r="V420">
        <v>12</v>
      </c>
      <c r="W420" s="18">
        <f>IFERROR(Table1[[#This Row],[Staff Hours Worked]]/Table1[[#This Row],[Staff Available Hours]],0)</f>
        <v>0.83333333333333337</v>
      </c>
      <c r="X420" t="s">
        <v>68</v>
      </c>
    </row>
    <row r="421" spans="1:24">
      <c r="A421" t="s">
        <v>478</v>
      </c>
      <c r="B421">
        <v>9</v>
      </c>
      <c r="C421" t="str" cm="1">
        <f t="array" ref="C421">_xlfn.IFS(B421&lt;=18,"0-18",B421&lt;=35,"19-35",B421&lt;=50,"36-50",B421&lt;=65,"51-65","True","65+")</f>
        <v>0-18</v>
      </c>
      <c r="D421" t="s">
        <v>45</v>
      </c>
      <c r="E421" s="6">
        <v>45217</v>
      </c>
      <c r="F421" s="6">
        <v>45219</v>
      </c>
      <c r="G421">
        <v>2</v>
      </c>
      <c r="H421" t="s">
        <v>50</v>
      </c>
      <c r="I421">
        <v>3</v>
      </c>
      <c r="J421" t="s">
        <v>71</v>
      </c>
      <c r="K421">
        <v>16415</v>
      </c>
      <c r="L421" t="s">
        <v>60</v>
      </c>
      <c r="M421" t="s">
        <v>54</v>
      </c>
      <c r="N421" t="s">
        <v>27</v>
      </c>
      <c r="O421" s="2">
        <v>45216</v>
      </c>
      <c r="P421" s="2">
        <v>45216.125</v>
      </c>
      <c r="Q421" s="38">
        <f t="shared" si="6"/>
        <v>0.125</v>
      </c>
      <c r="R421" t="s">
        <v>28</v>
      </c>
      <c r="S421" t="s">
        <v>29</v>
      </c>
      <c r="T421" t="s">
        <v>30</v>
      </c>
      <c r="U421">
        <v>6</v>
      </c>
      <c r="V421">
        <v>8</v>
      </c>
      <c r="W421" s="18">
        <f>IFERROR(Table1[[#This Row],[Staff Hours Worked]]/Table1[[#This Row],[Staff Available Hours]],0)</f>
        <v>0.75</v>
      </c>
      <c r="X421" t="s">
        <v>48</v>
      </c>
    </row>
    <row r="422" spans="1:24">
      <c r="A422" t="s">
        <v>479</v>
      </c>
      <c r="B422">
        <v>12</v>
      </c>
      <c r="C422" t="str" cm="1">
        <f t="array" ref="C422">_xlfn.IFS(B422&lt;=18,"0-18",B422&lt;=35,"19-35",B422&lt;=50,"36-50",B422&lt;=65,"51-65","True","65+")</f>
        <v>0-18</v>
      </c>
      <c r="D422" t="s">
        <v>22</v>
      </c>
      <c r="E422" s="6">
        <v>45602</v>
      </c>
      <c r="F422" s="6">
        <v>45461</v>
      </c>
      <c r="G422">
        <v>7</v>
      </c>
      <c r="H422" t="s">
        <v>34</v>
      </c>
      <c r="I422">
        <v>1</v>
      </c>
      <c r="J422" t="s">
        <v>71</v>
      </c>
      <c r="K422">
        <v>44534</v>
      </c>
      <c r="L422" t="s">
        <v>25</v>
      </c>
      <c r="M422" t="s">
        <v>26</v>
      </c>
      <c r="N422" t="s">
        <v>41</v>
      </c>
      <c r="O422" s="2">
        <v>45541</v>
      </c>
      <c r="P422" s="2">
        <v>45541.75</v>
      </c>
      <c r="Q422" s="38">
        <f t="shared" si="6"/>
        <v>0.75</v>
      </c>
      <c r="R422" t="s">
        <v>37</v>
      </c>
      <c r="S422" t="s">
        <v>29</v>
      </c>
      <c r="T422" t="s">
        <v>30</v>
      </c>
      <c r="U422">
        <v>9</v>
      </c>
      <c r="V422">
        <v>8</v>
      </c>
      <c r="W422" s="18">
        <f>IFERROR(Table1[[#This Row],[Staff Hours Worked]]/Table1[[#This Row],[Staff Available Hours]],0)</f>
        <v>1.125</v>
      </c>
      <c r="X422" t="s">
        <v>68</v>
      </c>
    </row>
    <row r="423" spans="1:24">
      <c r="A423" t="s">
        <v>480</v>
      </c>
      <c r="B423">
        <v>1</v>
      </c>
      <c r="C423" t="str" cm="1">
        <f t="array" ref="C423">_xlfn.IFS(B423&lt;=18,"0-18",B423&lt;=35,"19-35",B423&lt;=50,"36-50",B423&lt;=65,"51-65","True","65+")</f>
        <v>0-18</v>
      </c>
      <c r="D423" t="s">
        <v>45</v>
      </c>
      <c r="E423" s="6">
        <v>45211</v>
      </c>
      <c r="F423" s="6">
        <v>45284</v>
      </c>
      <c r="G423">
        <v>14</v>
      </c>
      <c r="H423" t="s">
        <v>40</v>
      </c>
      <c r="I423">
        <v>2</v>
      </c>
      <c r="J423" t="s">
        <v>35</v>
      </c>
      <c r="K423">
        <v>26686</v>
      </c>
      <c r="L423" t="s">
        <v>67</v>
      </c>
      <c r="M423" t="s">
        <v>54</v>
      </c>
      <c r="N423" t="s">
        <v>41</v>
      </c>
      <c r="O423" s="2">
        <v>45211</v>
      </c>
      <c r="P423" s="2">
        <v>45211.625</v>
      </c>
      <c r="Q423" s="38">
        <f t="shared" si="6"/>
        <v>0.625</v>
      </c>
      <c r="R423" t="s">
        <v>42</v>
      </c>
      <c r="S423" t="s">
        <v>29</v>
      </c>
      <c r="T423" t="s">
        <v>43</v>
      </c>
      <c r="U423">
        <v>11</v>
      </c>
      <c r="V423">
        <v>10</v>
      </c>
      <c r="W423" s="18">
        <f>IFERROR(Table1[[#This Row],[Staff Hours Worked]]/Table1[[#This Row],[Staff Available Hours]],0)</f>
        <v>1.1000000000000001</v>
      </c>
      <c r="X423" t="s">
        <v>48</v>
      </c>
    </row>
    <row r="424" spans="1:24">
      <c r="A424" t="s">
        <v>481</v>
      </c>
      <c r="B424">
        <v>58</v>
      </c>
      <c r="C424" t="str" cm="1">
        <f t="array" ref="C424">_xlfn.IFS(B424&lt;=18,"0-18",B424&lt;=35,"19-35",B424&lt;=50,"36-50",B424&lt;=65,"51-65","True","65+")</f>
        <v>51-65</v>
      </c>
      <c r="D424" t="s">
        <v>52</v>
      </c>
      <c r="E424" s="6">
        <v>45081</v>
      </c>
      <c r="F424" s="6">
        <v>45142</v>
      </c>
      <c r="G424">
        <v>2</v>
      </c>
      <c r="H424" t="s">
        <v>34</v>
      </c>
      <c r="I424">
        <v>2</v>
      </c>
      <c r="J424" t="s">
        <v>66</v>
      </c>
      <c r="K424">
        <v>16662</v>
      </c>
      <c r="L424" t="s">
        <v>60</v>
      </c>
      <c r="M424" t="s">
        <v>26</v>
      </c>
      <c r="N424" t="s">
        <v>41</v>
      </c>
      <c r="O424" s="2">
        <v>45020</v>
      </c>
      <c r="P424" s="2">
        <v>45050.458333333336</v>
      </c>
      <c r="Q424" s="38">
        <f t="shared" si="6"/>
        <v>30.458333333335759</v>
      </c>
      <c r="R424" t="s">
        <v>55</v>
      </c>
      <c r="S424" t="s">
        <v>29</v>
      </c>
      <c r="T424" t="s">
        <v>30</v>
      </c>
      <c r="U424">
        <v>8</v>
      </c>
      <c r="V424">
        <v>12</v>
      </c>
      <c r="W424" s="18">
        <f>IFERROR(Table1[[#This Row],[Staff Hours Worked]]/Table1[[#This Row],[Staff Available Hours]],0)</f>
        <v>0.66666666666666663</v>
      </c>
      <c r="X424" t="s">
        <v>48</v>
      </c>
    </row>
    <row r="425" spans="1:24">
      <c r="A425" t="s">
        <v>482</v>
      </c>
      <c r="B425">
        <v>1</v>
      </c>
      <c r="C425" t="str" cm="1">
        <f t="array" ref="C425">_xlfn.IFS(B425&lt;=18,"0-18",B425&lt;=35,"19-35",B425&lt;=50,"36-50",B425&lt;=65,"51-65","True","65+")</f>
        <v>0-18</v>
      </c>
      <c r="D425" t="s">
        <v>22</v>
      </c>
      <c r="E425" s="6">
        <v>45167</v>
      </c>
      <c r="F425" s="6">
        <v>44966</v>
      </c>
      <c r="G425">
        <v>4</v>
      </c>
      <c r="H425" t="s">
        <v>63</v>
      </c>
      <c r="I425">
        <v>4</v>
      </c>
      <c r="J425" t="s">
        <v>24</v>
      </c>
      <c r="K425">
        <v>33743</v>
      </c>
      <c r="L425" t="s">
        <v>36</v>
      </c>
      <c r="M425" t="s">
        <v>26</v>
      </c>
      <c r="N425" t="s">
        <v>41</v>
      </c>
      <c r="O425" s="2">
        <v>45162</v>
      </c>
      <c r="P425" s="2">
        <v>45162.791666666664</v>
      </c>
      <c r="Q425" s="38">
        <f t="shared" si="6"/>
        <v>0.79166666666424135</v>
      </c>
      <c r="R425" t="s">
        <v>64</v>
      </c>
      <c r="S425" t="s">
        <v>29</v>
      </c>
      <c r="T425" t="s">
        <v>47</v>
      </c>
      <c r="U425">
        <v>4</v>
      </c>
      <c r="V425">
        <v>8</v>
      </c>
      <c r="W425" s="18">
        <f>IFERROR(Table1[[#This Row],[Staff Hours Worked]]/Table1[[#This Row],[Staff Available Hours]],0)</f>
        <v>0.5</v>
      </c>
      <c r="X425" t="s">
        <v>48</v>
      </c>
    </row>
    <row r="426" spans="1:24">
      <c r="A426" t="s">
        <v>483</v>
      </c>
      <c r="B426">
        <v>34</v>
      </c>
      <c r="C426" t="str" cm="1">
        <f t="array" ref="C426">_xlfn.IFS(B426&lt;=18,"0-18",B426&lt;=35,"19-35",B426&lt;=50,"36-50",B426&lt;=65,"51-65","True","65+")</f>
        <v>19-35</v>
      </c>
      <c r="D426" t="s">
        <v>41</v>
      </c>
      <c r="E426" s="6">
        <v>45244</v>
      </c>
      <c r="F426" s="6">
        <v>45251</v>
      </c>
      <c r="G426">
        <v>7</v>
      </c>
      <c r="H426" t="s">
        <v>50</v>
      </c>
      <c r="I426">
        <v>1</v>
      </c>
      <c r="J426" t="s">
        <v>66</v>
      </c>
      <c r="K426">
        <v>37161</v>
      </c>
      <c r="L426" t="s">
        <v>36</v>
      </c>
      <c r="M426" t="s">
        <v>26</v>
      </c>
      <c r="N426" t="s">
        <v>27</v>
      </c>
      <c r="O426" s="2">
        <v>45244</v>
      </c>
      <c r="P426" s="2">
        <v>45244.458333333336</v>
      </c>
      <c r="Q426" s="38">
        <f t="shared" si="6"/>
        <v>0.45833333333575865</v>
      </c>
      <c r="R426" t="s">
        <v>42</v>
      </c>
      <c r="S426" t="s">
        <v>29</v>
      </c>
      <c r="T426" t="s">
        <v>30</v>
      </c>
      <c r="U426">
        <v>10</v>
      </c>
      <c r="V426">
        <v>8</v>
      </c>
      <c r="W426" s="18">
        <f>IFERROR(Table1[[#This Row],[Staff Hours Worked]]/Table1[[#This Row],[Staff Available Hours]],0)</f>
        <v>1.25</v>
      </c>
      <c r="X426" t="s">
        <v>48</v>
      </c>
    </row>
    <row r="427" spans="1:24">
      <c r="A427" t="s">
        <v>484</v>
      </c>
      <c r="B427">
        <v>48</v>
      </c>
      <c r="C427" t="str" cm="1">
        <f t="array" ref="C427">_xlfn.IFS(B427&lt;=18,"0-18",B427&lt;=35,"19-35",B427&lt;=50,"36-50",B427&lt;=65,"51-65","True","65+")</f>
        <v>36-50</v>
      </c>
      <c r="D427" t="s">
        <v>22</v>
      </c>
      <c r="E427" s="6">
        <v>45157</v>
      </c>
      <c r="F427" s="6">
        <v>45167</v>
      </c>
      <c r="G427">
        <v>10</v>
      </c>
      <c r="H427" t="s">
        <v>34</v>
      </c>
      <c r="I427">
        <v>5</v>
      </c>
      <c r="J427" t="s">
        <v>35</v>
      </c>
      <c r="K427">
        <v>48081</v>
      </c>
      <c r="L427" t="s">
        <v>53</v>
      </c>
      <c r="M427" t="s">
        <v>54</v>
      </c>
      <c r="N427" t="s">
        <v>27</v>
      </c>
      <c r="O427" s="2">
        <v>45155</v>
      </c>
      <c r="P427" s="2">
        <v>45156.25</v>
      </c>
      <c r="Q427" s="38">
        <f t="shared" si="6"/>
        <v>1.25</v>
      </c>
      <c r="R427" t="s">
        <v>28</v>
      </c>
      <c r="S427" t="s">
        <v>29</v>
      </c>
      <c r="T427" t="s">
        <v>30</v>
      </c>
      <c r="U427">
        <v>9</v>
      </c>
      <c r="V427">
        <v>8</v>
      </c>
      <c r="W427" s="18">
        <f>IFERROR(Table1[[#This Row],[Staff Hours Worked]]/Table1[[#This Row],[Staff Available Hours]],0)</f>
        <v>1.125</v>
      </c>
      <c r="X427" t="s">
        <v>48</v>
      </c>
    </row>
    <row r="428" spans="1:24">
      <c r="A428" t="s">
        <v>485</v>
      </c>
      <c r="B428">
        <v>89</v>
      </c>
      <c r="C428" t="str" cm="1">
        <f t="array" ref="C428">_xlfn.IFS(B428&lt;=18,"0-18",B428&lt;=35,"19-35",B428&lt;=50,"36-50",B428&lt;=65,"51-65","True","65+")</f>
        <v>65+</v>
      </c>
      <c r="D428" t="s">
        <v>33</v>
      </c>
      <c r="E428" s="6">
        <v>45130</v>
      </c>
      <c r="F428" s="6">
        <v>45137</v>
      </c>
      <c r="G428">
        <v>7</v>
      </c>
      <c r="H428" t="s">
        <v>50</v>
      </c>
      <c r="I428">
        <v>3</v>
      </c>
      <c r="J428" t="s">
        <v>71</v>
      </c>
      <c r="K428">
        <v>7402</v>
      </c>
      <c r="L428" t="s">
        <v>25</v>
      </c>
      <c r="M428" t="s">
        <v>26</v>
      </c>
      <c r="N428" t="s">
        <v>27</v>
      </c>
      <c r="O428" s="2">
        <v>45127</v>
      </c>
      <c r="P428" s="2">
        <v>45128.541666666664</v>
      </c>
      <c r="Q428" s="38">
        <f t="shared" si="6"/>
        <v>1.5416666666642413</v>
      </c>
      <c r="R428" t="s">
        <v>28</v>
      </c>
      <c r="S428" t="s">
        <v>29</v>
      </c>
      <c r="T428" t="s">
        <v>47</v>
      </c>
      <c r="U428">
        <v>6</v>
      </c>
      <c r="V428">
        <v>10</v>
      </c>
      <c r="W428" s="18">
        <f>IFERROR(Table1[[#This Row],[Staff Hours Worked]]/Table1[[#This Row],[Staff Available Hours]],0)</f>
        <v>0.6</v>
      </c>
      <c r="X428" t="s">
        <v>31</v>
      </c>
    </row>
    <row r="429" spans="1:24">
      <c r="A429" t="s">
        <v>486</v>
      </c>
      <c r="B429">
        <v>1</v>
      </c>
      <c r="C429" t="str" cm="1">
        <f t="array" ref="C429">_xlfn.IFS(B429&lt;=18,"0-18",B429&lt;=35,"19-35",B429&lt;=50,"36-50",B429&lt;=65,"51-65","True","65+")</f>
        <v>0-18</v>
      </c>
      <c r="D429" t="s">
        <v>62</v>
      </c>
      <c r="E429" s="6">
        <v>45077</v>
      </c>
      <c r="F429" s="6">
        <v>45175</v>
      </c>
      <c r="G429">
        <v>9</v>
      </c>
      <c r="H429" t="s">
        <v>50</v>
      </c>
      <c r="I429">
        <v>5</v>
      </c>
      <c r="J429" t="s">
        <v>71</v>
      </c>
      <c r="K429">
        <v>18275</v>
      </c>
      <c r="L429" t="s">
        <v>67</v>
      </c>
      <c r="M429" t="s">
        <v>54</v>
      </c>
      <c r="N429" t="s">
        <v>27</v>
      </c>
      <c r="O429" s="2">
        <v>45072</v>
      </c>
      <c r="P429" s="2">
        <v>45074</v>
      </c>
      <c r="Q429" s="38">
        <f t="shared" si="6"/>
        <v>2</v>
      </c>
      <c r="R429" t="s">
        <v>42</v>
      </c>
      <c r="S429" t="s">
        <v>29</v>
      </c>
      <c r="T429" t="s">
        <v>43</v>
      </c>
      <c r="U429">
        <v>10</v>
      </c>
      <c r="V429">
        <v>12</v>
      </c>
      <c r="W429" s="18">
        <f>IFERROR(Table1[[#This Row],[Staff Hours Worked]]/Table1[[#This Row],[Staff Available Hours]],0)</f>
        <v>0.83333333333333337</v>
      </c>
      <c r="X429" t="s">
        <v>48</v>
      </c>
    </row>
    <row r="430" spans="1:24">
      <c r="A430" t="s">
        <v>487</v>
      </c>
      <c r="B430">
        <v>16</v>
      </c>
      <c r="C430" t="str" cm="1">
        <f t="array" ref="C430">_xlfn.IFS(B430&lt;=18,"0-18",B430&lt;=35,"19-35",B430&lt;=50,"36-50",B430&lt;=65,"51-65","True","65+")</f>
        <v>0-18</v>
      </c>
      <c r="D430" t="s">
        <v>41</v>
      </c>
      <c r="E430" s="6">
        <v>44952</v>
      </c>
      <c r="F430" s="6">
        <v>44954</v>
      </c>
      <c r="G430">
        <v>2</v>
      </c>
      <c r="H430" t="s">
        <v>40</v>
      </c>
      <c r="I430">
        <v>2</v>
      </c>
      <c r="J430" t="s">
        <v>35</v>
      </c>
      <c r="K430">
        <v>33182</v>
      </c>
      <c r="L430" t="s">
        <v>53</v>
      </c>
      <c r="M430" t="s">
        <v>26</v>
      </c>
      <c r="N430" t="s">
        <v>27</v>
      </c>
      <c r="O430" s="2">
        <v>44950</v>
      </c>
      <c r="P430" s="2">
        <v>44951.333333333336</v>
      </c>
      <c r="Q430" s="38">
        <f t="shared" si="6"/>
        <v>1.3333333333357587</v>
      </c>
      <c r="R430" t="s">
        <v>42</v>
      </c>
      <c r="S430" t="s">
        <v>29</v>
      </c>
      <c r="T430" t="s">
        <v>47</v>
      </c>
      <c r="U430">
        <v>4</v>
      </c>
      <c r="V430">
        <v>10</v>
      </c>
      <c r="W430" s="18">
        <f>IFERROR(Table1[[#This Row],[Staff Hours Worked]]/Table1[[#This Row],[Staff Available Hours]],0)</f>
        <v>0.4</v>
      </c>
      <c r="X430" t="s">
        <v>31</v>
      </c>
    </row>
    <row r="431" spans="1:24">
      <c r="A431" t="s">
        <v>488</v>
      </c>
      <c r="B431">
        <v>61</v>
      </c>
      <c r="C431" t="str" cm="1">
        <f t="array" ref="C431">_xlfn.IFS(B431&lt;=18,"0-18",B431&lt;=35,"19-35",B431&lt;=50,"36-50",B431&lt;=65,"51-65","True","65+")</f>
        <v>51-65</v>
      </c>
      <c r="D431" t="s">
        <v>22</v>
      </c>
      <c r="E431" s="6">
        <v>44974</v>
      </c>
      <c r="F431" s="6">
        <v>44981</v>
      </c>
      <c r="G431">
        <v>7</v>
      </c>
      <c r="H431" t="s">
        <v>40</v>
      </c>
      <c r="I431">
        <v>5</v>
      </c>
      <c r="J431" t="s">
        <v>24</v>
      </c>
      <c r="K431">
        <v>19915</v>
      </c>
      <c r="L431" t="s">
        <v>25</v>
      </c>
      <c r="M431" t="s">
        <v>54</v>
      </c>
      <c r="N431" t="s">
        <v>27</v>
      </c>
      <c r="O431" s="2">
        <v>45262</v>
      </c>
      <c r="P431" s="2">
        <v>44970.5</v>
      </c>
      <c r="Q431" s="38">
        <f t="shared" si="6"/>
        <v>291.5</v>
      </c>
      <c r="R431" t="s">
        <v>55</v>
      </c>
      <c r="S431" t="s">
        <v>29</v>
      </c>
      <c r="T431" t="s">
        <v>43</v>
      </c>
      <c r="U431">
        <v>7</v>
      </c>
      <c r="V431">
        <v>12</v>
      </c>
      <c r="W431" s="18">
        <f>IFERROR(Table1[[#This Row],[Staff Hours Worked]]/Table1[[#This Row],[Staff Available Hours]],0)</f>
        <v>0.58333333333333337</v>
      </c>
      <c r="X431" t="s">
        <v>68</v>
      </c>
    </row>
    <row r="432" spans="1:24">
      <c r="A432" t="s">
        <v>489</v>
      </c>
      <c r="B432">
        <v>64</v>
      </c>
      <c r="C432" t="str" cm="1">
        <f t="array" ref="C432">_xlfn.IFS(B432&lt;=18,"0-18",B432&lt;=35,"19-35",B432&lt;=50,"36-50",B432&lt;=65,"51-65","True","65+")</f>
        <v>51-65</v>
      </c>
      <c r="D432" t="s">
        <v>41</v>
      </c>
      <c r="E432" s="6">
        <v>45147</v>
      </c>
      <c r="F432" s="6">
        <v>45191</v>
      </c>
      <c r="G432">
        <v>14</v>
      </c>
      <c r="H432" t="s">
        <v>63</v>
      </c>
      <c r="I432">
        <v>2</v>
      </c>
      <c r="J432" t="s">
        <v>71</v>
      </c>
      <c r="K432">
        <v>5909</v>
      </c>
      <c r="L432" t="s">
        <v>60</v>
      </c>
      <c r="M432" t="s">
        <v>54</v>
      </c>
      <c r="N432" t="s">
        <v>27</v>
      </c>
      <c r="O432" s="2">
        <v>45055</v>
      </c>
      <c r="P432" s="2">
        <v>45086.375</v>
      </c>
      <c r="Q432" s="38">
        <f t="shared" si="6"/>
        <v>31.375</v>
      </c>
      <c r="R432" t="s">
        <v>42</v>
      </c>
      <c r="S432" t="s">
        <v>29</v>
      </c>
      <c r="T432" t="s">
        <v>30</v>
      </c>
      <c r="U432">
        <v>8</v>
      </c>
      <c r="V432">
        <v>12</v>
      </c>
      <c r="W432" s="18">
        <f>IFERROR(Table1[[#This Row],[Staff Hours Worked]]/Table1[[#This Row],[Staff Available Hours]],0)</f>
        <v>0.66666666666666663</v>
      </c>
      <c r="X432" t="s">
        <v>48</v>
      </c>
    </row>
    <row r="433" spans="1:24">
      <c r="A433" t="s">
        <v>490</v>
      </c>
      <c r="B433">
        <v>63</v>
      </c>
      <c r="C433" t="str" cm="1">
        <f t="array" ref="C433">_xlfn.IFS(B433&lt;=18,"0-18",B433&lt;=35,"19-35",B433&lt;=50,"36-50",B433&lt;=65,"51-65","True","65+")</f>
        <v>51-65</v>
      </c>
      <c r="D433" t="s">
        <v>41</v>
      </c>
      <c r="E433" s="6">
        <v>45296</v>
      </c>
      <c r="F433" s="6">
        <v>45448</v>
      </c>
      <c r="G433">
        <v>5</v>
      </c>
      <c r="H433" t="s">
        <v>57</v>
      </c>
      <c r="I433">
        <v>2</v>
      </c>
      <c r="J433" t="s">
        <v>46</v>
      </c>
      <c r="K433">
        <v>5372</v>
      </c>
      <c r="L433" t="s">
        <v>36</v>
      </c>
      <c r="M433" t="s">
        <v>54</v>
      </c>
      <c r="N433" t="s">
        <v>27</v>
      </c>
      <c r="O433" s="2">
        <v>45412</v>
      </c>
      <c r="P433" s="2">
        <v>45412.333333333336</v>
      </c>
      <c r="Q433" s="38">
        <f t="shared" si="6"/>
        <v>0.33333333333575865</v>
      </c>
      <c r="R433" t="s">
        <v>64</v>
      </c>
      <c r="S433" t="s">
        <v>29</v>
      </c>
      <c r="T433" t="s">
        <v>43</v>
      </c>
      <c r="U433">
        <v>10</v>
      </c>
      <c r="V433">
        <v>8</v>
      </c>
      <c r="W433" s="18">
        <f>IFERROR(Table1[[#This Row],[Staff Hours Worked]]/Table1[[#This Row],[Staff Available Hours]],0)</f>
        <v>1.25</v>
      </c>
      <c r="X433" t="s">
        <v>68</v>
      </c>
    </row>
    <row r="434" spans="1:24">
      <c r="A434" t="s">
        <v>491</v>
      </c>
      <c r="B434">
        <v>69</v>
      </c>
      <c r="C434" t="str" cm="1">
        <f t="array" ref="C434">_xlfn.IFS(B434&lt;=18,"0-18",B434&lt;=35,"19-35",B434&lt;=50,"36-50",B434&lt;=65,"51-65","True","65+")</f>
        <v>65+</v>
      </c>
      <c r="D434" t="s">
        <v>41</v>
      </c>
      <c r="E434" s="6">
        <v>45001</v>
      </c>
      <c r="F434" s="6">
        <v>45013</v>
      </c>
      <c r="G434">
        <v>12</v>
      </c>
      <c r="H434" t="s">
        <v>50</v>
      </c>
      <c r="I434">
        <v>2</v>
      </c>
      <c r="J434" t="s">
        <v>71</v>
      </c>
      <c r="K434">
        <v>27620</v>
      </c>
      <c r="L434" t="s">
        <v>67</v>
      </c>
      <c r="M434" t="s">
        <v>54</v>
      </c>
      <c r="N434" t="s">
        <v>41</v>
      </c>
      <c r="O434" s="2">
        <v>45000</v>
      </c>
      <c r="P434" s="2">
        <v>45001.541666666664</v>
      </c>
      <c r="Q434" s="38">
        <f t="shared" si="6"/>
        <v>1.5416666666642413</v>
      </c>
      <c r="R434" t="s">
        <v>55</v>
      </c>
      <c r="S434" t="s">
        <v>38</v>
      </c>
      <c r="T434" t="s">
        <v>43</v>
      </c>
      <c r="U434">
        <v>9</v>
      </c>
      <c r="V434">
        <v>8</v>
      </c>
      <c r="W434" s="18">
        <f>IFERROR(Table1[[#This Row],[Staff Hours Worked]]/Table1[[#This Row],[Staff Available Hours]],0)</f>
        <v>1.125</v>
      </c>
      <c r="X434" t="s">
        <v>48</v>
      </c>
    </row>
    <row r="435" spans="1:24">
      <c r="A435" t="s">
        <v>492</v>
      </c>
      <c r="B435">
        <v>22</v>
      </c>
      <c r="C435" t="str" cm="1">
        <f t="array" ref="C435">_xlfn.IFS(B435&lt;=18,"0-18",B435&lt;=35,"19-35",B435&lt;=50,"36-50",B435&lt;=65,"51-65","True","65+")</f>
        <v>19-35</v>
      </c>
      <c r="D435" t="s">
        <v>62</v>
      </c>
      <c r="E435" s="6">
        <v>45600</v>
      </c>
      <c r="F435" s="6">
        <v>45399</v>
      </c>
      <c r="G435">
        <v>6</v>
      </c>
      <c r="H435" t="s">
        <v>57</v>
      </c>
      <c r="I435">
        <v>2</v>
      </c>
      <c r="J435" t="s">
        <v>46</v>
      </c>
      <c r="K435">
        <v>39112</v>
      </c>
      <c r="L435" t="s">
        <v>36</v>
      </c>
      <c r="M435" t="s">
        <v>54</v>
      </c>
      <c r="N435" t="s">
        <v>27</v>
      </c>
      <c r="O435" s="2">
        <v>45477</v>
      </c>
      <c r="P435" s="2">
        <v>45477.333333333336</v>
      </c>
      <c r="Q435" s="38">
        <f t="shared" si="6"/>
        <v>0.33333333333575865</v>
      </c>
      <c r="R435" t="s">
        <v>37</v>
      </c>
      <c r="S435" t="s">
        <v>29</v>
      </c>
      <c r="T435" t="s">
        <v>43</v>
      </c>
      <c r="U435">
        <v>5</v>
      </c>
      <c r="V435">
        <v>8</v>
      </c>
      <c r="W435" s="18">
        <f>IFERROR(Table1[[#This Row],[Staff Hours Worked]]/Table1[[#This Row],[Staff Available Hours]],0)</f>
        <v>0.625</v>
      </c>
      <c r="X435" t="s">
        <v>31</v>
      </c>
    </row>
    <row r="436" spans="1:24">
      <c r="A436" t="s">
        <v>493</v>
      </c>
      <c r="B436">
        <v>67</v>
      </c>
      <c r="C436" t="str" cm="1">
        <f t="array" ref="C436">_xlfn.IFS(B436&lt;=18,"0-18",B436&lt;=35,"19-35",B436&lt;=50,"36-50",B436&lt;=65,"51-65","True","65+")</f>
        <v>65+</v>
      </c>
      <c r="D436" t="s">
        <v>45</v>
      </c>
      <c r="E436" s="6">
        <v>45351</v>
      </c>
      <c r="F436" s="6">
        <v>45385</v>
      </c>
      <c r="G436">
        <v>4</v>
      </c>
      <c r="H436" t="s">
        <v>63</v>
      </c>
      <c r="I436">
        <v>2</v>
      </c>
      <c r="J436" t="s">
        <v>35</v>
      </c>
      <c r="K436">
        <v>13515</v>
      </c>
      <c r="L436" t="s">
        <v>60</v>
      </c>
      <c r="M436" t="s">
        <v>26</v>
      </c>
      <c r="N436" t="s">
        <v>27</v>
      </c>
      <c r="O436" s="2">
        <v>45349</v>
      </c>
      <c r="P436" s="2">
        <v>45349.75</v>
      </c>
      <c r="Q436" s="38">
        <f t="shared" si="6"/>
        <v>0.75</v>
      </c>
      <c r="R436" t="s">
        <v>64</v>
      </c>
      <c r="S436" t="s">
        <v>29</v>
      </c>
      <c r="T436" t="s">
        <v>30</v>
      </c>
      <c r="U436">
        <v>11</v>
      </c>
      <c r="V436">
        <v>8</v>
      </c>
      <c r="W436" s="18">
        <f>IFERROR(Table1[[#This Row],[Staff Hours Worked]]/Table1[[#This Row],[Staff Available Hours]],0)</f>
        <v>1.375</v>
      </c>
      <c r="X436" t="s">
        <v>31</v>
      </c>
    </row>
    <row r="437" spans="1:24">
      <c r="A437" t="s">
        <v>494</v>
      </c>
      <c r="B437">
        <v>76</v>
      </c>
      <c r="C437" t="str" cm="1">
        <f t="array" ref="C437">_xlfn.IFS(B437&lt;=18,"0-18",B437&lt;=35,"19-35",B437&lt;=50,"36-50",B437&lt;=65,"51-65","True","65+")</f>
        <v>65+</v>
      </c>
      <c r="D437" t="s">
        <v>41</v>
      </c>
      <c r="E437" s="6">
        <v>45126</v>
      </c>
      <c r="F437" s="6">
        <v>45132</v>
      </c>
      <c r="G437">
        <v>6</v>
      </c>
      <c r="H437" t="s">
        <v>50</v>
      </c>
      <c r="I437">
        <v>4</v>
      </c>
      <c r="J437" t="s">
        <v>35</v>
      </c>
      <c r="K437">
        <v>7431</v>
      </c>
      <c r="L437" t="s">
        <v>25</v>
      </c>
      <c r="M437" t="s">
        <v>54</v>
      </c>
      <c r="N437" t="s">
        <v>27</v>
      </c>
      <c r="O437" s="2">
        <v>45122</v>
      </c>
      <c r="P437" s="2">
        <v>45123.458333333336</v>
      </c>
      <c r="Q437" s="38">
        <f t="shared" si="6"/>
        <v>1.4583333333357587</v>
      </c>
      <c r="R437" t="s">
        <v>55</v>
      </c>
      <c r="S437" t="s">
        <v>29</v>
      </c>
      <c r="T437" t="s">
        <v>43</v>
      </c>
      <c r="U437">
        <v>11</v>
      </c>
      <c r="V437">
        <v>8</v>
      </c>
      <c r="W437" s="18">
        <f>IFERROR(Table1[[#This Row],[Staff Hours Worked]]/Table1[[#This Row],[Staff Available Hours]],0)</f>
        <v>1.375</v>
      </c>
      <c r="X437" t="s">
        <v>31</v>
      </c>
    </row>
    <row r="438" spans="1:24">
      <c r="A438" t="s">
        <v>495</v>
      </c>
      <c r="B438">
        <v>26</v>
      </c>
      <c r="C438" t="str" cm="1">
        <f t="array" ref="C438">_xlfn.IFS(B438&lt;=18,"0-18",B438&lt;=35,"19-35",B438&lt;=50,"36-50",B438&lt;=65,"51-65","True","65+")</f>
        <v>19-35</v>
      </c>
      <c r="D438" t="s">
        <v>52</v>
      </c>
      <c r="E438" s="6">
        <v>45320</v>
      </c>
      <c r="F438" s="6">
        <v>45598</v>
      </c>
      <c r="G438">
        <v>13</v>
      </c>
      <c r="H438" t="s">
        <v>50</v>
      </c>
      <c r="I438">
        <v>5</v>
      </c>
      <c r="J438" t="s">
        <v>71</v>
      </c>
      <c r="K438">
        <v>26054</v>
      </c>
      <c r="L438" t="s">
        <v>60</v>
      </c>
      <c r="M438" t="s">
        <v>54</v>
      </c>
      <c r="N438" t="s">
        <v>27</v>
      </c>
      <c r="O438" s="2">
        <v>45315</v>
      </c>
      <c r="P438" s="2">
        <v>45316</v>
      </c>
      <c r="Q438" s="38">
        <f t="shared" si="6"/>
        <v>1</v>
      </c>
      <c r="R438" t="s">
        <v>55</v>
      </c>
      <c r="S438" t="s">
        <v>29</v>
      </c>
      <c r="T438" t="s">
        <v>43</v>
      </c>
      <c r="U438">
        <v>11</v>
      </c>
      <c r="V438">
        <v>12</v>
      </c>
      <c r="W438" s="18">
        <f>IFERROR(Table1[[#This Row],[Staff Hours Worked]]/Table1[[#This Row],[Staff Available Hours]],0)</f>
        <v>0.91666666666666663</v>
      </c>
      <c r="X438" t="s">
        <v>68</v>
      </c>
    </row>
    <row r="439" spans="1:24">
      <c r="A439" t="s">
        <v>496</v>
      </c>
      <c r="B439">
        <v>16</v>
      </c>
      <c r="C439" t="str" cm="1">
        <f t="array" ref="C439">_xlfn.IFS(B439&lt;=18,"0-18",B439&lt;=35,"19-35",B439&lt;=50,"36-50",B439&lt;=65,"51-65","True","65+")</f>
        <v>0-18</v>
      </c>
      <c r="D439" t="s">
        <v>33</v>
      </c>
      <c r="E439" s="6">
        <v>45433</v>
      </c>
      <c r="F439" s="6">
        <v>45436</v>
      </c>
      <c r="G439">
        <v>3</v>
      </c>
      <c r="H439" t="s">
        <v>23</v>
      </c>
      <c r="I439">
        <v>4</v>
      </c>
      <c r="J439" t="s">
        <v>66</v>
      </c>
      <c r="K439">
        <v>37624</v>
      </c>
      <c r="L439" t="s">
        <v>60</v>
      </c>
      <c r="M439" t="s">
        <v>54</v>
      </c>
      <c r="N439" t="s">
        <v>27</v>
      </c>
      <c r="O439" s="2">
        <v>45431</v>
      </c>
      <c r="P439" s="2">
        <v>45432.458333333336</v>
      </c>
      <c r="Q439" s="38">
        <f t="shared" si="6"/>
        <v>1.4583333333357587</v>
      </c>
      <c r="R439" t="s">
        <v>28</v>
      </c>
      <c r="S439" t="s">
        <v>29</v>
      </c>
      <c r="T439" t="s">
        <v>30</v>
      </c>
      <c r="U439">
        <v>6</v>
      </c>
      <c r="V439">
        <v>8</v>
      </c>
      <c r="W439" s="18">
        <f>IFERROR(Table1[[#This Row],[Staff Hours Worked]]/Table1[[#This Row],[Staff Available Hours]],0)</f>
        <v>0.75</v>
      </c>
      <c r="X439" t="s">
        <v>48</v>
      </c>
    </row>
    <row r="440" spans="1:24">
      <c r="A440" t="s">
        <v>497</v>
      </c>
      <c r="B440">
        <v>51</v>
      </c>
      <c r="C440" t="str" cm="1">
        <f t="array" ref="C440">_xlfn.IFS(B440&lt;=18,"0-18",B440&lt;=35,"19-35",B440&lt;=50,"36-50",B440&lt;=65,"51-65","True","65+")</f>
        <v>51-65</v>
      </c>
      <c r="D440" t="s">
        <v>62</v>
      </c>
      <c r="E440" s="6">
        <v>45336</v>
      </c>
      <c r="F440" s="6">
        <v>45338</v>
      </c>
      <c r="G440">
        <v>2</v>
      </c>
      <c r="H440" t="s">
        <v>57</v>
      </c>
      <c r="I440">
        <v>4</v>
      </c>
      <c r="J440" t="s">
        <v>46</v>
      </c>
      <c r="K440">
        <v>15585</v>
      </c>
      <c r="L440" t="s">
        <v>36</v>
      </c>
      <c r="M440" t="s">
        <v>54</v>
      </c>
      <c r="N440" t="s">
        <v>27</v>
      </c>
      <c r="O440" s="2">
        <v>45335</v>
      </c>
      <c r="P440" s="2">
        <v>45335.125</v>
      </c>
      <c r="Q440" s="38">
        <f t="shared" si="6"/>
        <v>0.125</v>
      </c>
      <c r="R440" t="s">
        <v>55</v>
      </c>
      <c r="S440" t="s">
        <v>29</v>
      </c>
      <c r="T440" t="s">
        <v>47</v>
      </c>
      <c r="U440">
        <v>10</v>
      </c>
      <c r="V440">
        <v>8</v>
      </c>
      <c r="W440" s="18">
        <f>IFERROR(Table1[[#This Row],[Staff Hours Worked]]/Table1[[#This Row],[Staff Available Hours]],0)</f>
        <v>1.25</v>
      </c>
      <c r="X440" t="s">
        <v>68</v>
      </c>
    </row>
    <row r="441" spans="1:24">
      <c r="A441" t="s">
        <v>498</v>
      </c>
      <c r="B441">
        <v>86</v>
      </c>
      <c r="C441" t="str" cm="1">
        <f t="array" ref="C441">_xlfn.IFS(B441&lt;=18,"0-18",B441&lt;=35,"19-35",B441&lt;=50,"36-50",B441&lt;=65,"51-65","True","65+")</f>
        <v>65+</v>
      </c>
      <c r="D441" t="s">
        <v>22</v>
      </c>
      <c r="E441" s="6">
        <v>45116</v>
      </c>
      <c r="F441" s="6">
        <v>45185</v>
      </c>
      <c r="G441">
        <v>9</v>
      </c>
      <c r="H441" t="s">
        <v>34</v>
      </c>
      <c r="I441">
        <v>1</v>
      </c>
      <c r="J441" t="s">
        <v>24</v>
      </c>
      <c r="K441">
        <v>36958</v>
      </c>
      <c r="L441" t="s">
        <v>67</v>
      </c>
      <c r="M441" t="s">
        <v>54</v>
      </c>
      <c r="N441" t="s">
        <v>41</v>
      </c>
      <c r="O441" s="2">
        <v>45116</v>
      </c>
      <c r="P441" s="2">
        <v>45147.958333333336</v>
      </c>
      <c r="Q441" s="38">
        <f t="shared" si="6"/>
        <v>31.958333333335759</v>
      </c>
      <c r="R441" t="s">
        <v>64</v>
      </c>
      <c r="S441" t="s">
        <v>29</v>
      </c>
      <c r="T441" t="s">
        <v>47</v>
      </c>
      <c r="U441">
        <v>11</v>
      </c>
      <c r="V441">
        <v>10</v>
      </c>
      <c r="W441" s="18">
        <f>IFERROR(Table1[[#This Row],[Staff Hours Worked]]/Table1[[#This Row],[Staff Available Hours]],0)</f>
        <v>1.1000000000000001</v>
      </c>
      <c r="X441" t="s">
        <v>31</v>
      </c>
    </row>
    <row r="442" spans="1:24">
      <c r="A442" t="s">
        <v>499</v>
      </c>
      <c r="B442">
        <v>57</v>
      </c>
      <c r="C442" t="str" cm="1">
        <f t="array" ref="C442">_xlfn.IFS(B442&lt;=18,"0-18",B442&lt;=35,"19-35",B442&lt;=50,"36-50",B442&lt;=65,"51-65","True","65+")</f>
        <v>51-65</v>
      </c>
      <c r="D442" t="s">
        <v>62</v>
      </c>
      <c r="E442" s="6">
        <v>44932</v>
      </c>
      <c r="F442" s="6">
        <v>45266</v>
      </c>
      <c r="G442">
        <v>11</v>
      </c>
      <c r="H442" t="s">
        <v>40</v>
      </c>
      <c r="I442">
        <v>1</v>
      </c>
      <c r="J442" t="s">
        <v>71</v>
      </c>
      <c r="K442">
        <v>6695</v>
      </c>
      <c r="L442" t="s">
        <v>60</v>
      </c>
      <c r="M442" t="s">
        <v>54</v>
      </c>
      <c r="N442" t="s">
        <v>27</v>
      </c>
      <c r="O442" s="2">
        <v>45074</v>
      </c>
      <c r="P442" s="2">
        <v>45075.208333333336</v>
      </c>
      <c r="Q442" s="38">
        <f t="shared" si="6"/>
        <v>1.2083333333357587</v>
      </c>
      <c r="R442" t="s">
        <v>42</v>
      </c>
      <c r="S442" t="s">
        <v>29</v>
      </c>
      <c r="T442" t="s">
        <v>47</v>
      </c>
      <c r="U442">
        <v>9</v>
      </c>
      <c r="V442">
        <v>10</v>
      </c>
      <c r="W442" s="18">
        <f>IFERROR(Table1[[#This Row],[Staff Hours Worked]]/Table1[[#This Row],[Staff Available Hours]],0)</f>
        <v>0.9</v>
      </c>
      <c r="X442" t="s">
        <v>68</v>
      </c>
    </row>
    <row r="443" spans="1:24">
      <c r="A443" t="s">
        <v>500</v>
      </c>
      <c r="B443">
        <v>29</v>
      </c>
      <c r="C443" t="str" cm="1">
        <f t="array" ref="C443">_xlfn.IFS(B443&lt;=18,"0-18",B443&lt;=35,"19-35",B443&lt;=50,"36-50",B443&lt;=65,"51-65","True","65+")</f>
        <v>19-35</v>
      </c>
      <c r="D443" t="s">
        <v>22</v>
      </c>
      <c r="E443" s="6">
        <v>45078</v>
      </c>
      <c r="F443" s="6">
        <v>45139</v>
      </c>
      <c r="G443">
        <v>2</v>
      </c>
      <c r="H443" t="s">
        <v>34</v>
      </c>
      <c r="I443">
        <v>1</v>
      </c>
      <c r="J443" t="s">
        <v>24</v>
      </c>
      <c r="K443">
        <v>39675</v>
      </c>
      <c r="L443" t="s">
        <v>36</v>
      </c>
      <c r="M443" t="s">
        <v>54</v>
      </c>
      <c r="N443" t="s">
        <v>27</v>
      </c>
      <c r="O443" s="2">
        <v>44927</v>
      </c>
      <c r="P443" s="2">
        <v>44958.458333333336</v>
      </c>
      <c r="Q443" s="38">
        <f t="shared" si="6"/>
        <v>31.458333333335759</v>
      </c>
      <c r="R443" t="s">
        <v>64</v>
      </c>
      <c r="S443" t="s">
        <v>29</v>
      </c>
      <c r="T443" t="s">
        <v>30</v>
      </c>
      <c r="U443">
        <v>5</v>
      </c>
      <c r="V443">
        <v>12</v>
      </c>
      <c r="W443" s="18">
        <f>IFERROR(Table1[[#This Row],[Staff Hours Worked]]/Table1[[#This Row],[Staff Available Hours]],0)</f>
        <v>0.41666666666666669</v>
      </c>
      <c r="X443" t="s">
        <v>31</v>
      </c>
    </row>
    <row r="444" spans="1:24">
      <c r="A444" t="s">
        <v>501</v>
      </c>
      <c r="B444">
        <v>78</v>
      </c>
      <c r="C444" t="str" cm="1">
        <f t="array" ref="C444">_xlfn.IFS(B444&lt;=18,"0-18",B444&lt;=35,"19-35",B444&lt;=50,"36-50",B444&lt;=65,"51-65","True","65+")</f>
        <v>65+</v>
      </c>
      <c r="D444" t="s">
        <v>62</v>
      </c>
      <c r="E444" s="6">
        <v>45036</v>
      </c>
      <c r="F444" s="6">
        <v>45045</v>
      </c>
      <c r="G444">
        <v>9</v>
      </c>
      <c r="H444" t="s">
        <v>57</v>
      </c>
      <c r="I444">
        <v>3</v>
      </c>
      <c r="J444" t="s">
        <v>71</v>
      </c>
      <c r="K444">
        <v>38787</v>
      </c>
      <c r="L444" t="s">
        <v>67</v>
      </c>
      <c r="M444" t="s">
        <v>54</v>
      </c>
      <c r="N444" t="s">
        <v>27</v>
      </c>
      <c r="O444" s="2">
        <v>45032</v>
      </c>
      <c r="P444" s="2">
        <v>45032.583333333336</v>
      </c>
      <c r="Q444" s="38">
        <f t="shared" si="6"/>
        <v>0.58333333333575865</v>
      </c>
      <c r="R444" t="s">
        <v>37</v>
      </c>
      <c r="S444" t="s">
        <v>29</v>
      </c>
      <c r="T444" t="s">
        <v>30</v>
      </c>
      <c r="U444">
        <v>9</v>
      </c>
      <c r="V444">
        <v>12</v>
      </c>
      <c r="W444" s="18">
        <f>IFERROR(Table1[[#This Row],[Staff Hours Worked]]/Table1[[#This Row],[Staff Available Hours]],0)</f>
        <v>0.75</v>
      </c>
      <c r="X444" t="s">
        <v>31</v>
      </c>
    </row>
    <row r="445" spans="1:24">
      <c r="A445" t="s">
        <v>502</v>
      </c>
      <c r="B445">
        <v>69</v>
      </c>
      <c r="C445" t="str" cm="1">
        <f t="array" ref="C445">_xlfn.IFS(B445&lt;=18,"0-18",B445&lt;=35,"19-35",B445&lt;=50,"36-50",B445&lt;=65,"51-65","True","65+")</f>
        <v>65+</v>
      </c>
      <c r="D445" t="s">
        <v>22</v>
      </c>
      <c r="E445" s="6">
        <v>45599</v>
      </c>
      <c r="F445" s="6">
        <v>45371</v>
      </c>
      <c r="G445">
        <v>9</v>
      </c>
      <c r="H445" t="s">
        <v>40</v>
      </c>
      <c r="I445">
        <v>1</v>
      </c>
      <c r="J445" t="s">
        <v>66</v>
      </c>
      <c r="K445">
        <v>49225</v>
      </c>
      <c r="L445" t="s">
        <v>25</v>
      </c>
      <c r="M445" t="s">
        <v>26</v>
      </c>
      <c r="N445" t="s">
        <v>41</v>
      </c>
      <c r="O445" s="2">
        <v>45568</v>
      </c>
      <c r="P445" s="2">
        <v>45599.166666666664</v>
      </c>
      <c r="Q445" s="38">
        <f t="shared" si="6"/>
        <v>31.166666666664241</v>
      </c>
      <c r="R445" t="s">
        <v>55</v>
      </c>
      <c r="S445" t="s">
        <v>29</v>
      </c>
      <c r="T445" t="s">
        <v>47</v>
      </c>
      <c r="U445">
        <v>10</v>
      </c>
      <c r="V445">
        <v>10</v>
      </c>
      <c r="W445" s="18">
        <f>IFERROR(Table1[[#This Row],[Staff Hours Worked]]/Table1[[#This Row],[Staff Available Hours]],0)</f>
        <v>1</v>
      </c>
      <c r="X445" t="s">
        <v>31</v>
      </c>
    </row>
    <row r="446" spans="1:24">
      <c r="A446" t="s">
        <v>503</v>
      </c>
      <c r="B446">
        <v>47</v>
      </c>
      <c r="C446" t="str" cm="1">
        <f t="array" ref="C446">_xlfn.IFS(B446&lt;=18,"0-18",B446&lt;=35,"19-35",B446&lt;=50,"36-50",B446&lt;=65,"51-65","True","65+")</f>
        <v>36-50</v>
      </c>
      <c r="D446" t="s">
        <v>41</v>
      </c>
      <c r="E446" s="6">
        <v>45151</v>
      </c>
      <c r="F446" s="6">
        <v>45155</v>
      </c>
      <c r="G446">
        <v>4</v>
      </c>
      <c r="H446" t="s">
        <v>34</v>
      </c>
      <c r="I446">
        <v>5</v>
      </c>
      <c r="J446" t="s">
        <v>66</v>
      </c>
      <c r="K446">
        <v>6403</v>
      </c>
      <c r="L446" t="s">
        <v>25</v>
      </c>
      <c r="M446" t="s">
        <v>54</v>
      </c>
      <c r="N446" t="s">
        <v>27</v>
      </c>
      <c r="O446" s="2">
        <v>45268</v>
      </c>
      <c r="P446" s="2">
        <v>45268.291666666664</v>
      </c>
      <c r="Q446" s="38">
        <f t="shared" si="6"/>
        <v>0.29166666666424135</v>
      </c>
      <c r="R446" t="s">
        <v>55</v>
      </c>
      <c r="S446" t="s">
        <v>29</v>
      </c>
      <c r="T446" t="s">
        <v>43</v>
      </c>
      <c r="U446">
        <v>4</v>
      </c>
      <c r="V446">
        <v>10</v>
      </c>
      <c r="W446" s="18">
        <f>IFERROR(Table1[[#This Row],[Staff Hours Worked]]/Table1[[#This Row],[Staff Available Hours]],0)</f>
        <v>0.4</v>
      </c>
      <c r="X446" t="s">
        <v>48</v>
      </c>
    </row>
    <row r="447" spans="1:24">
      <c r="A447" t="s">
        <v>504</v>
      </c>
      <c r="B447">
        <v>62</v>
      </c>
      <c r="C447" t="str" cm="1">
        <f t="array" ref="C447">_xlfn.IFS(B447&lt;=18,"0-18",B447&lt;=35,"19-35",B447&lt;=50,"36-50",B447&lt;=65,"51-65","True","65+")</f>
        <v>51-65</v>
      </c>
      <c r="D447" t="s">
        <v>45</v>
      </c>
      <c r="E447" s="6">
        <v>45107</v>
      </c>
      <c r="F447" s="6">
        <v>45122</v>
      </c>
      <c r="G447">
        <v>15</v>
      </c>
      <c r="H447" t="s">
        <v>23</v>
      </c>
      <c r="I447">
        <v>4</v>
      </c>
      <c r="J447" t="s">
        <v>66</v>
      </c>
      <c r="K447">
        <v>22810</v>
      </c>
      <c r="L447" t="s">
        <v>53</v>
      </c>
      <c r="M447" t="s">
        <v>26</v>
      </c>
      <c r="N447" t="s">
        <v>27</v>
      </c>
      <c r="O447" s="2">
        <v>45107</v>
      </c>
      <c r="P447" s="2">
        <v>44964</v>
      </c>
      <c r="Q447" s="38">
        <f t="shared" si="6"/>
        <v>143</v>
      </c>
      <c r="R447" t="s">
        <v>55</v>
      </c>
      <c r="S447" t="s">
        <v>29</v>
      </c>
      <c r="T447" t="s">
        <v>47</v>
      </c>
      <c r="U447">
        <v>5</v>
      </c>
      <c r="V447">
        <v>8</v>
      </c>
      <c r="W447" s="18">
        <f>IFERROR(Table1[[#This Row],[Staff Hours Worked]]/Table1[[#This Row],[Staff Available Hours]],0)</f>
        <v>0.625</v>
      </c>
      <c r="X447" t="s">
        <v>48</v>
      </c>
    </row>
    <row r="448" spans="1:24">
      <c r="A448" t="s">
        <v>505</v>
      </c>
      <c r="B448">
        <v>69</v>
      </c>
      <c r="C448" t="str" cm="1">
        <f t="array" ref="C448">_xlfn.IFS(B448&lt;=18,"0-18",B448&lt;=35,"19-35",B448&lt;=50,"36-50",B448&lt;=65,"51-65","True","65+")</f>
        <v>65+</v>
      </c>
      <c r="D448" t="s">
        <v>22</v>
      </c>
      <c r="E448" s="6">
        <v>45457</v>
      </c>
      <c r="F448" s="6">
        <v>45470</v>
      </c>
      <c r="G448">
        <v>13</v>
      </c>
      <c r="H448" t="s">
        <v>40</v>
      </c>
      <c r="I448">
        <v>5</v>
      </c>
      <c r="J448" t="s">
        <v>66</v>
      </c>
      <c r="K448">
        <v>13855</v>
      </c>
      <c r="L448" t="s">
        <v>36</v>
      </c>
      <c r="M448" t="s">
        <v>54</v>
      </c>
      <c r="N448" t="s">
        <v>41</v>
      </c>
      <c r="O448" s="2">
        <v>45541</v>
      </c>
      <c r="P448" s="2">
        <v>45571.75</v>
      </c>
      <c r="Q448" s="38">
        <f t="shared" si="6"/>
        <v>30.75</v>
      </c>
      <c r="R448" t="s">
        <v>55</v>
      </c>
      <c r="S448" t="s">
        <v>29</v>
      </c>
      <c r="T448" t="s">
        <v>30</v>
      </c>
      <c r="U448">
        <v>5</v>
      </c>
      <c r="V448">
        <v>8</v>
      </c>
      <c r="W448" s="18">
        <f>IFERROR(Table1[[#This Row],[Staff Hours Worked]]/Table1[[#This Row],[Staff Available Hours]],0)</f>
        <v>0.625</v>
      </c>
      <c r="X448" t="s">
        <v>31</v>
      </c>
    </row>
    <row r="449" spans="1:24">
      <c r="A449" t="s">
        <v>506</v>
      </c>
      <c r="B449">
        <v>76</v>
      </c>
      <c r="C449" t="str" cm="1">
        <f t="array" ref="C449">_xlfn.IFS(B449&lt;=18,"0-18",B449&lt;=35,"19-35",B449&lt;=50,"36-50",B449&lt;=65,"51-65","True","65+")</f>
        <v>65+</v>
      </c>
      <c r="D449" t="s">
        <v>22</v>
      </c>
      <c r="E449" s="6">
        <v>45402</v>
      </c>
      <c r="F449" s="6">
        <v>45408</v>
      </c>
      <c r="G449">
        <v>6</v>
      </c>
      <c r="H449" t="s">
        <v>50</v>
      </c>
      <c r="I449">
        <v>1</v>
      </c>
      <c r="J449" t="s">
        <v>35</v>
      </c>
      <c r="K449">
        <v>43636</v>
      </c>
      <c r="L449" t="s">
        <v>67</v>
      </c>
      <c r="M449" t="s">
        <v>54</v>
      </c>
      <c r="N449" t="s">
        <v>27</v>
      </c>
      <c r="O449" s="2">
        <v>45398</v>
      </c>
      <c r="P449" s="2">
        <v>45398.666666666664</v>
      </c>
      <c r="Q449" s="38">
        <f t="shared" si="6"/>
        <v>0.66666666666424135</v>
      </c>
      <c r="R449" t="s">
        <v>28</v>
      </c>
      <c r="S449" t="s">
        <v>29</v>
      </c>
      <c r="T449" t="s">
        <v>43</v>
      </c>
      <c r="U449">
        <v>9</v>
      </c>
      <c r="V449">
        <v>12</v>
      </c>
      <c r="W449" s="18">
        <f>IFERROR(Table1[[#This Row],[Staff Hours Worked]]/Table1[[#This Row],[Staff Available Hours]],0)</f>
        <v>0.75</v>
      </c>
      <c r="X449" t="s">
        <v>68</v>
      </c>
    </row>
    <row r="450" spans="1:24">
      <c r="A450" t="s">
        <v>507</v>
      </c>
      <c r="B450">
        <v>16</v>
      </c>
      <c r="C450" t="str" cm="1">
        <f t="array" ref="C450">_xlfn.IFS(B450&lt;=18,"0-18",B450&lt;=35,"19-35",B450&lt;=50,"36-50",B450&lt;=65,"51-65","True","65+")</f>
        <v>0-18</v>
      </c>
      <c r="D450" t="s">
        <v>52</v>
      </c>
      <c r="E450" s="6">
        <v>44978</v>
      </c>
      <c r="F450" s="6">
        <v>44984</v>
      </c>
      <c r="G450">
        <v>6</v>
      </c>
      <c r="H450" t="s">
        <v>34</v>
      </c>
      <c r="I450">
        <v>3</v>
      </c>
      <c r="J450" t="s">
        <v>35</v>
      </c>
      <c r="K450">
        <v>15839</v>
      </c>
      <c r="L450" t="s">
        <v>60</v>
      </c>
      <c r="M450" t="s">
        <v>54</v>
      </c>
      <c r="N450" t="s">
        <v>41</v>
      </c>
      <c r="O450" s="2">
        <v>44977</v>
      </c>
      <c r="P450" s="2">
        <v>44977.833333333336</v>
      </c>
      <c r="Q450" s="38">
        <f t="shared" ref="Q450:Q513" si="7">IF(OR(O450="",P450=""),"",ABS(P450-O450))</f>
        <v>0.83333333333575865</v>
      </c>
      <c r="R450" t="s">
        <v>28</v>
      </c>
      <c r="S450" t="s">
        <v>29</v>
      </c>
      <c r="T450" t="s">
        <v>43</v>
      </c>
      <c r="U450">
        <v>7</v>
      </c>
      <c r="V450">
        <v>10</v>
      </c>
      <c r="W450" s="18">
        <f>IFERROR(Table1[[#This Row],[Staff Hours Worked]]/Table1[[#This Row],[Staff Available Hours]],0)</f>
        <v>0.7</v>
      </c>
      <c r="X450" t="s">
        <v>68</v>
      </c>
    </row>
    <row r="451" spans="1:24">
      <c r="A451" t="s">
        <v>508</v>
      </c>
      <c r="B451">
        <v>48</v>
      </c>
      <c r="C451" t="str" cm="1">
        <f t="array" ref="C451">_xlfn.IFS(B451&lt;=18,"0-18",B451&lt;=35,"19-35",B451&lt;=50,"36-50",B451&lt;=65,"51-65","True","65+")</f>
        <v>36-50</v>
      </c>
      <c r="D451" t="s">
        <v>22</v>
      </c>
      <c r="E451" s="6">
        <v>45182</v>
      </c>
      <c r="F451" s="6">
        <v>45194</v>
      </c>
      <c r="G451">
        <v>12</v>
      </c>
      <c r="H451" t="s">
        <v>40</v>
      </c>
      <c r="I451">
        <v>3</v>
      </c>
      <c r="J451" t="s">
        <v>46</v>
      </c>
      <c r="K451">
        <v>5010</v>
      </c>
      <c r="L451" t="s">
        <v>25</v>
      </c>
      <c r="M451" t="s">
        <v>54</v>
      </c>
      <c r="N451" t="s">
        <v>27</v>
      </c>
      <c r="O451" s="2">
        <v>45147</v>
      </c>
      <c r="P451" s="2">
        <v>45147.125</v>
      </c>
      <c r="Q451" s="38">
        <f t="shared" si="7"/>
        <v>0.125</v>
      </c>
      <c r="R451" t="s">
        <v>42</v>
      </c>
      <c r="S451" t="s">
        <v>29</v>
      </c>
      <c r="T451" t="s">
        <v>30</v>
      </c>
      <c r="U451">
        <v>10</v>
      </c>
      <c r="V451">
        <v>12</v>
      </c>
      <c r="W451" s="18">
        <f>IFERROR(Table1[[#This Row],[Staff Hours Worked]]/Table1[[#This Row],[Staff Available Hours]],0)</f>
        <v>0.83333333333333337</v>
      </c>
      <c r="X451" t="s">
        <v>48</v>
      </c>
    </row>
    <row r="452" spans="1:24">
      <c r="A452" t="s">
        <v>509</v>
      </c>
      <c r="B452">
        <v>85</v>
      </c>
      <c r="C452" t="str" cm="1">
        <f t="array" ref="C452">_xlfn.IFS(B452&lt;=18,"0-18",B452&lt;=35,"19-35",B452&lt;=50,"36-50",B452&lt;=65,"51-65","True","65+")</f>
        <v>65+</v>
      </c>
      <c r="D452" t="s">
        <v>52</v>
      </c>
      <c r="E452" s="6">
        <v>45051</v>
      </c>
      <c r="F452" s="6">
        <v>45065</v>
      </c>
      <c r="G452">
        <v>14</v>
      </c>
      <c r="H452" t="s">
        <v>23</v>
      </c>
      <c r="I452">
        <v>4</v>
      </c>
      <c r="J452" t="s">
        <v>24</v>
      </c>
      <c r="K452">
        <v>44098</v>
      </c>
      <c r="L452" t="s">
        <v>67</v>
      </c>
      <c r="M452" t="s">
        <v>26</v>
      </c>
      <c r="N452" t="s">
        <v>27</v>
      </c>
      <c r="O452" s="2">
        <v>45021</v>
      </c>
      <c r="P452" s="2">
        <v>45051.208333333336</v>
      </c>
      <c r="Q452" s="38">
        <f t="shared" si="7"/>
        <v>30.208333333335759</v>
      </c>
      <c r="R452" t="s">
        <v>55</v>
      </c>
      <c r="S452" t="s">
        <v>29</v>
      </c>
      <c r="T452" t="s">
        <v>43</v>
      </c>
      <c r="U452">
        <v>11</v>
      </c>
      <c r="V452">
        <v>8</v>
      </c>
      <c r="W452" s="18">
        <f>IFERROR(Table1[[#This Row],[Staff Hours Worked]]/Table1[[#This Row],[Staff Available Hours]],0)</f>
        <v>1.375</v>
      </c>
      <c r="X452" t="s">
        <v>31</v>
      </c>
    </row>
    <row r="453" spans="1:24">
      <c r="A453" t="s">
        <v>510</v>
      </c>
      <c r="B453">
        <v>39</v>
      </c>
      <c r="C453" t="str" cm="1">
        <f t="array" ref="C453">_xlfn.IFS(B453&lt;=18,"0-18",B453&lt;=35,"19-35",B453&lt;=50,"36-50",B453&lt;=65,"51-65","True","65+")</f>
        <v>36-50</v>
      </c>
      <c r="D453" t="s">
        <v>33</v>
      </c>
      <c r="E453" s="6">
        <v>45630</v>
      </c>
      <c r="F453" s="6">
        <v>45405</v>
      </c>
      <c r="G453">
        <v>11</v>
      </c>
      <c r="H453" t="s">
        <v>40</v>
      </c>
      <c r="I453">
        <v>5</v>
      </c>
      <c r="J453" t="s">
        <v>71</v>
      </c>
      <c r="K453">
        <v>14230</v>
      </c>
      <c r="L453" t="s">
        <v>36</v>
      </c>
      <c r="M453" t="s">
        <v>26</v>
      </c>
      <c r="N453" t="s">
        <v>27</v>
      </c>
      <c r="O453" s="2">
        <v>45630</v>
      </c>
      <c r="P453" s="2">
        <v>45630.708333333336</v>
      </c>
      <c r="Q453" s="38">
        <f t="shared" si="7"/>
        <v>0.70833333333575865</v>
      </c>
      <c r="R453" t="s">
        <v>37</v>
      </c>
      <c r="S453" t="s">
        <v>29</v>
      </c>
      <c r="T453" t="s">
        <v>47</v>
      </c>
      <c r="U453">
        <v>7</v>
      </c>
      <c r="V453">
        <v>12</v>
      </c>
      <c r="W453" s="18">
        <f>IFERROR(Table1[[#This Row],[Staff Hours Worked]]/Table1[[#This Row],[Staff Available Hours]],0)</f>
        <v>0.58333333333333337</v>
      </c>
      <c r="X453" t="s">
        <v>68</v>
      </c>
    </row>
    <row r="454" spans="1:24">
      <c r="A454" t="s">
        <v>511</v>
      </c>
      <c r="B454">
        <v>33</v>
      </c>
      <c r="C454" t="str" cm="1">
        <f t="array" ref="C454">_xlfn.IFS(B454&lt;=18,"0-18",B454&lt;=35,"19-35",B454&lt;=50,"36-50",B454&lt;=65,"51-65","True","65+")</f>
        <v>19-35</v>
      </c>
      <c r="D454" t="s">
        <v>41</v>
      </c>
      <c r="E454" s="6">
        <v>45063</v>
      </c>
      <c r="F454" s="6">
        <v>45077</v>
      </c>
      <c r="G454">
        <v>14</v>
      </c>
      <c r="H454" t="s">
        <v>40</v>
      </c>
      <c r="I454">
        <v>2</v>
      </c>
      <c r="J454" t="s">
        <v>71</v>
      </c>
      <c r="K454">
        <v>45232</v>
      </c>
      <c r="L454" t="s">
        <v>53</v>
      </c>
      <c r="M454" t="s">
        <v>54</v>
      </c>
      <c r="N454" t="s">
        <v>41</v>
      </c>
      <c r="O454" s="2">
        <v>45063</v>
      </c>
      <c r="P454" s="2">
        <v>45063.958333333336</v>
      </c>
      <c r="Q454" s="38">
        <f t="shared" si="7"/>
        <v>0.95833333333575865</v>
      </c>
      <c r="R454" t="s">
        <v>42</v>
      </c>
      <c r="S454" t="s">
        <v>29</v>
      </c>
      <c r="T454" t="s">
        <v>30</v>
      </c>
      <c r="U454">
        <v>8</v>
      </c>
      <c r="V454">
        <v>12</v>
      </c>
      <c r="W454" s="18">
        <f>IFERROR(Table1[[#This Row],[Staff Hours Worked]]/Table1[[#This Row],[Staff Available Hours]],0)</f>
        <v>0.66666666666666663</v>
      </c>
      <c r="X454" t="s">
        <v>31</v>
      </c>
    </row>
    <row r="455" spans="1:24">
      <c r="A455" t="s">
        <v>512</v>
      </c>
      <c r="B455">
        <v>23</v>
      </c>
      <c r="C455" t="str" cm="1">
        <f t="array" ref="C455">_xlfn.IFS(B455&lt;=18,"0-18",B455&lt;=35,"19-35",B455&lt;=50,"36-50",B455&lt;=65,"51-65","True","65+")</f>
        <v>19-35</v>
      </c>
      <c r="D455" t="s">
        <v>52</v>
      </c>
      <c r="E455" s="6">
        <v>45402</v>
      </c>
      <c r="F455" s="6">
        <v>45405</v>
      </c>
      <c r="G455">
        <v>3</v>
      </c>
      <c r="H455" t="s">
        <v>23</v>
      </c>
      <c r="I455">
        <v>5</v>
      </c>
      <c r="J455" t="s">
        <v>35</v>
      </c>
      <c r="K455">
        <v>40771</v>
      </c>
      <c r="L455" t="s">
        <v>25</v>
      </c>
      <c r="M455" t="s">
        <v>54</v>
      </c>
      <c r="N455" t="s">
        <v>27</v>
      </c>
      <c r="O455" s="2">
        <v>45399</v>
      </c>
      <c r="P455" s="2">
        <v>45399.25</v>
      </c>
      <c r="Q455" s="38">
        <f t="shared" si="7"/>
        <v>0.25</v>
      </c>
      <c r="R455" t="s">
        <v>55</v>
      </c>
      <c r="S455" t="s">
        <v>29</v>
      </c>
      <c r="T455" t="s">
        <v>30</v>
      </c>
      <c r="U455">
        <v>11</v>
      </c>
      <c r="V455">
        <v>12</v>
      </c>
      <c r="W455" s="18">
        <f>IFERROR(Table1[[#This Row],[Staff Hours Worked]]/Table1[[#This Row],[Staff Available Hours]],0)</f>
        <v>0.91666666666666663</v>
      </c>
      <c r="X455" t="s">
        <v>68</v>
      </c>
    </row>
    <row r="456" spans="1:24">
      <c r="A456" t="s">
        <v>513</v>
      </c>
      <c r="B456">
        <v>10</v>
      </c>
      <c r="C456" t="str" cm="1">
        <f t="array" ref="C456">_xlfn.IFS(B456&lt;=18,"0-18",B456&lt;=35,"19-35",B456&lt;=50,"36-50",B456&lt;=65,"51-65","True","65+")</f>
        <v>0-18</v>
      </c>
      <c r="D456" t="s">
        <v>45</v>
      </c>
      <c r="E456" s="6">
        <v>45251</v>
      </c>
      <c r="F456" s="6">
        <v>45255</v>
      </c>
      <c r="G456">
        <v>4</v>
      </c>
      <c r="H456" t="s">
        <v>34</v>
      </c>
      <c r="I456">
        <v>1</v>
      </c>
      <c r="J456" t="s">
        <v>71</v>
      </c>
      <c r="K456">
        <v>34256</v>
      </c>
      <c r="L456" t="s">
        <v>67</v>
      </c>
      <c r="M456" t="s">
        <v>54</v>
      </c>
      <c r="N456" t="s">
        <v>41</v>
      </c>
      <c r="O456" s="2">
        <v>45249</v>
      </c>
      <c r="P456" s="2">
        <v>45250.208333333336</v>
      </c>
      <c r="Q456" s="38">
        <f t="shared" si="7"/>
        <v>1.2083333333357587</v>
      </c>
      <c r="R456" t="s">
        <v>28</v>
      </c>
      <c r="S456" t="s">
        <v>29</v>
      </c>
      <c r="T456" t="s">
        <v>30</v>
      </c>
      <c r="U456">
        <v>4</v>
      </c>
      <c r="V456">
        <v>8</v>
      </c>
      <c r="W456" s="18">
        <f>IFERROR(Table1[[#This Row],[Staff Hours Worked]]/Table1[[#This Row],[Staff Available Hours]],0)</f>
        <v>0.5</v>
      </c>
      <c r="X456" t="s">
        <v>48</v>
      </c>
    </row>
    <row r="457" spans="1:24">
      <c r="A457" t="s">
        <v>514</v>
      </c>
      <c r="B457">
        <v>69</v>
      </c>
      <c r="C457" t="str" cm="1">
        <f t="array" ref="C457">_xlfn.IFS(B457&lt;=18,"0-18",B457&lt;=35,"19-35",B457&lt;=50,"36-50",B457&lt;=65,"51-65","True","65+")</f>
        <v>65+</v>
      </c>
      <c r="D457" t="s">
        <v>41</v>
      </c>
      <c r="E457" s="6">
        <v>45380</v>
      </c>
      <c r="F457" s="6">
        <v>45382</v>
      </c>
      <c r="G457">
        <v>2</v>
      </c>
      <c r="H457" t="s">
        <v>63</v>
      </c>
      <c r="I457">
        <v>2</v>
      </c>
      <c r="J457" t="s">
        <v>35</v>
      </c>
      <c r="K457">
        <v>30651</v>
      </c>
      <c r="L457" t="s">
        <v>67</v>
      </c>
      <c r="M457" t="s">
        <v>54</v>
      </c>
      <c r="N457" t="s">
        <v>41</v>
      </c>
      <c r="O457" s="2">
        <v>45375</v>
      </c>
      <c r="P457" s="2">
        <v>45375.333333333336</v>
      </c>
      <c r="Q457" s="38">
        <f t="shared" si="7"/>
        <v>0.33333333333575865</v>
      </c>
      <c r="R457" t="s">
        <v>37</v>
      </c>
      <c r="S457" t="s">
        <v>29</v>
      </c>
      <c r="T457" t="s">
        <v>30</v>
      </c>
      <c r="U457">
        <v>7</v>
      </c>
      <c r="V457">
        <v>12</v>
      </c>
      <c r="W457" s="18">
        <f>IFERROR(Table1[[#This Row],[Staff Hours Worked]]/Table1[[#This Row],[Staff Available Hours]],0)</f>
        <v>0.58333333333333337</v>
      </c>
      <c r="X457" t="s">
        <v>31</v>
      </c>
    </row>
    <row r="458" spans="1:24">
      <c r="A458" t="s">
        <v>515</v>
      </c>
      <c r="B458">
        <v>34</v>
      </c>
      <c r="C458" t="str" cm="1">
        <f t="array" ref="C458">_xlfn.IFS(B458&lt;=18,"0-18",B458&lt;=35,"19-35",B458&lt;=50,"36-50",B458&lt;=65,"51-65","True","65+")</f>
        <v>19-35</v>
      </c>
      <c r="D458" t="s">
        <v>52</v>
      </c>
      <c r="E458" s="6">
        <v>45443</v>
      </c>
      <c r="F458" s="6">
        <v>45357</v>
      </c>
      <c r="G458">
        <v>3</v>
      </c>
      <c r="H458" t="s">
        <v>34</v>
      </c>
      <c r="I458">
        <v>3</v>
      </c>
      <c r="J458" t="s">
        <v>46</v>
      </c>
      <c r="K458">
        <v>37383</v>
      </c>
      <c r="L458" t="s">
        <v>67</v>
      </c>
      <c r="M458" t="s">
        <v>54</v>
      </c>
      <c r="N458" t="s">
        <v>41</v>
      </c>
      <c r="O458" s="2">
        <v>45440</v>
      </c>
      <c r="P458" s="2">
        <v>45440.666666666664</v>
      </c>
      <c r="Q458" s="38">
        <f t="shared" si="7"/>
        <v>0.66666666666424135</v>
      </c>
      <c r="R458" t="s">
        <v>42</v>
      </c>
      <c r="S458" t="s">
        <v>38</v>
      </c>
      <c r="T458" t="s">
        <v>43</v>
      </c>
      <c r="U458">
        <v>9</v>
      </c>
      <c r="V458">
        <v>8</v>
      </c>
      <c r="W458" s="18">
        <f>IFERROR(Table1[[#This Row],[Staff Hours Worked]]/Table1[[#This Row],[Staff Available Hours]],0)</f>
        <v>1.125</v>
      </c>
      <c r="X458" t="s">
        <v>31</v>
      </c>
    </row>
    <row r="459" spans="1:24">
      <c r="A459" t="s">
        <v>516</v>
      </c>
      <c r="B459">
        <v>52</v>
      </c>
      <c r="C459" t="str" cm="1">
        <f t="array" ref="C459">_xlfn.IFS(B459&lt;=18,"0-18",B459&lt;=35,"19-35",B459&lt;=50,"36-50",B459&lt;=65,"51-65","True","65+")</f>
        <v>51-65</v>
      </c>
      <c r="D459" t="s">
        <v>41</v>
      </c>
      <c r="E459" s="6">
        <v>45629</v>
      </c>
      <c r="F459" s="6">
        <v>45368</v>
      </c>
      <c r="G459">
        <v>5</v>
      </c>
      <c r="H459" t="s">
        <v>57</v>
      </c>
      <c r="I459">
        <v>4</v>
      </c>
      <c r="J459" t="s">
        <v>24</v>
      </c>
      <c r="K459">
        <v>44963</v>
      </c>
      <c r="L459" t="s">
        <v>36</v>
      </c>
      <c r="M459" t="s">
        <v>26</v>
      </c>
      <c r="N459" t="s">
        <v>41</v>
      </c>
      <c r="O459" s="2">
        <v>45629</v>
      </c>
      <c r="P459" s="2">
        <v>45629.583333333336</v>
      </c>
      <c r="Q459" s="38">
        <f t="shared" si="7"/>
        <v>0.58333333333575865</v>
      </c>
      <c r="R459" t="s">
        <v>37</v>
      </c>
      <c r="S459" t="s">
        <v>29</v>
      </c>
      <c r="T459" t="s">
        <v>30</v>
      </c>
      <c r="U459">
        <v>10</v>
      </c>
      <c r="V459">
        <v>10</v>
      </c>
      <c r="W459" s="18">
        <f>IFERROR(Table1[[#This Row],[Staff Hours Worked]]/Table1[[#This Row],[Staff Available Hours]],0)</f>
        <v>1</v>
      </c>
      <c r="X459" t="s">
        <v>68</v>
      </c>
    </row>
    <row r="460" spans="1:24">
      <c r="A460" t="s">
        <v>517</v>
      </c>
      <c r="B460">
        <v>10</v>
      </c>
      <c r="C460" t="str" cm="1">
        <f t="array" ref="C460">_xlfn.IFS(B460&lt;=18,"0-18",B460&lt;=35,"19-35",B460&lt;=50,"36-50",B460&lt;=65,"51-65","True","65+")</f>
        <v>0-18</v>
      </c>
      <c r="D460" t="s">
        <v>41</v>
      </c>
      <c r="E460" s="6">
        <v>45295</v>
      </c>
      <c r="F460" s="6">
        <v>45416</v>
      </c>
      <c r="G460">
        <v>4</v>
      </c>
      <c r="H460" t="s">
        <v>23</v>
      </c>
      <c r="I460">
        <v>4</v>
      </c>
      <c r="J460" t="s">
        <v>46</v>
      </c>
      <c r="K460">
        <v>18662</v>
      </c>
      <c r="L460" t="s">
        <v>36</v>
      </c>
      <c r="M460" t="s">
        <v>26</v>
      </c>
      <c r="N460" t="s">
        <v>27</v>
      </c>
      <c r="O460" s="2">
        <v>45378</v>
      </c>
      <c r="P460" s="2">
        <v>45380</v>
      </c>
      <c r="Q460" s="38">
        <f t="shared" si="7"/>
        <v>2</v>
      </c>
      <c r="R460" t="s">
        <v>55</v>
      </c>
      <c r="S460" t="s">
        <v>29</v>
      </c>
      <c r="T460" t="s">
        <v>30</v>
      </c>
      <c r="U460">
        <v>7</v>
      </c>
      <c r="V460">
        <v>12</v>
      </c>
      <c r="W460" s="18">
        <f>IFERROR(Table1[[#This Row],[Staff Hours Worked]]/Table1[[#This Row],[Staff Available Hours]],0)</f>
        <v>0.58333333333333337</v>
      </c>
      <c r="X460" t="s">
        <v>68</v>
      </c>
    </row>
    <row r="461" spans="1:24">
      <c r="A461" t="s">
        <v>518</v>
      </c>
      <c r="B461">
        <v>19</v>
      </c>
      <c r="C461" t="str" cm="1">
        <f t="array" ref="C461">_xlfn.IFS(B461&lt;=18,"0-18",B461&lt;=35,"19-35",B461&lt;=50,"36-50",B461&lt;=65,"51-65","True","65+")</f>
        <v>19-35</v>
      </c>
      <c r="D461" t="s">
        <v>41</v>
      </c>
      <c r="E461" s="6">
        <v>45266</v>
      </c>
      <c r="F461" s="6">
        <v>45092</v>
      </c>
      <c r="G461">
        <v>3</v>
      </c>
      <c r="H461" t="s">
        <v>34</v>
      </c>
      <c r="I461">
        <v>3</v>
      </c>
      <c r="J461" t="s">
        <v>66</v>
      </c>
      <c r="K461">
        <v>18739</v>
      </c>
      <c r="L461" t="s">
        <v>36</v>
      </c>
      <c r="M461" t="s">
        <v>26</v>
      </c>
      <c r="N461" t="s">
        <v>41</v>
      </c>
      <c r="O461" s="2">
        <v>45236</v>
      </c>
      <c r="P461" s="2">
        <v>45266.583333333336</v>
      </c>
      <c r="Q461" s="38">
        <f t="shared" si="7"/>
        <v>30.583333333335759</v>
      </c>
      <c r="R461" t="s">
        <v>64</v>
      </c>
      <c r="S461" t="s">
        <v>29</v>
      </c>
      <c r="T461" t="s">
        <v>43</v>
      </c>
      <c r="U461">
        <v>8</v>
      </c>
      <c r="V461">
        <v>12</v>
      </c>
      <c r="W461" s="18">
        <f>IFERROR(Table1[[#This Row],[Staff Hours Worked]]/Table1[[#This Row],[Staff Available Hours]],0)</f>
        <v>0.66666666666666663</v>
      </c>
      <c r="X461" t="s">
        <v>68</v>
      </c>
    </row>
    <row r="462" spans="1:24">
      <c r="A462" t="s">
        <v>519</v>
      </c>
      <c r="B462">
        <v>58</v>
      </c>
      <c r="C462" t="str" cm="1">
        <f t="array" ref="C462">_xlfn.IFS(B462&lt;=18,"0-18",B462&lt;=35,"19-35",B462&lt;=50,"36-50",B462&lt;=65,"51-65","True","65+")</f>
        <v>51-65</v>
      </c>
      <c r="D462" t="s">
        <v>33</v>
      </c>
      <c r="E462" s="6">
        <v>45296</v>
      </c>
      <c r="F462" s="6">
        <v>45601</v>
      </c>
      <c r="G462">
        <v>10</v>
      </c>
      <c r="H462" t="s">
        <v>40</v>
      </c>
      <c r="I462">
        <v>1</v>
      </c>
      <c r="J462" t="s">
        <v>66</v>
      </c>
      <c r="K462">
        <v>6789</v>
      </c>
      <c r="L462" t="s">
        <v>60</v>
      </c>
      <c r="M462" t="s">
        <v>26</v>
      </c>
      <c r="N462" t="s">
        <v>27</v>
      </c>
      <c r="O462" s="2">
        <v>45296</v>
      </c>
      <c r="P462" s="2">
        <v>45327.875</v>
      </c>
      <c r="Q462" s="38">
        <f t="shared" si="7"/>
        <v>31.875</v>
      </c>
      <c r="R462" t="s">
        <v>37</v>
      </c>
      <c r="S462" t="s">
        <v>29</v>
      </c>
      <c r="T462" t="s">
        <v>30</v>
      </c>
      <c r="U462">
        <v>6</v>
      </c>
      <c r="V462">
        <v>8</v>
      </c>
      <c r="W462" s="18">
        <f>IFERROR(Table1[[#This Row],[Staff Hours Worked]]/Table1[[#This Row],[Staff Available Hours]],0)</f>
        <v>0.75</v>
      </c>
      <c r="X462" t="s">
        <v>31</v>
      </c>
    </row>
    <row r="463" spans="1:24">
      <c r="A463" t="s">
        <v>520</v>
      </c>
      <c r="B463">
        <v>1</v>
      </c>
      <c r="C463" t="str" cm="1">
        <f t="array" ref="C463">_xlfn.IFS(B463&lt;=18,"0-18",B463&lt;=35,"19-35",B463&lt;=50,"36-50",B463&lt;=65,"51-65","True","65+")</f>
        <v>0-18</v>
      </c>
      <c r="D463" t="s">
        <v>45</v>
      </c>
      <c r="E463" s="6">
        <v>45416</v>
      </c>
      <c r="F463" s="6">
        <v>45508</v>
      </c>
      <c r="G463">
        <v>3</v>
      </c>
      <c r="H463" t="s">
        <v>23</v>
      </c>
      <c r="I463">
        <v>3</v>
      </c>
      <c r="J463" t="s">
        <v>66</v>
      </c>
      <c r="K463">
        <v>24420</v>
      </c>
      <c r="L463" t="s">
        <v>67</v>
      </c>
      <c r="M463" t="s">
        <v>26</v>
      </c>
      <c r="N463" t="s">
        <v>27</v>
      </c>
      <c r="O463" s="2">
        <v>45295</v>
      </c>
      <c r="P463" s="2">
        <v>45295.958333333336</v>
      </c>
      <c r="Q463" s="38">
        <f t="shared" si="7"/>
        <v>0.95833333333575865</v>
      </c>
      <c r="R463" t="s">
        <v>37</v>
      </c>
      <c r="S463" t="s">
        <v>29</v>
      </c>
      <c r="T463" t="s">
        <v>43</v>
      </c>
      <c r="U463">
        <v>8</v>
      </c>
      <c r="V463">
        <v>12</v>
      </c>
      <c r="W463" s="18">
        <f>IFERROR(Table1[[#This Row],[Staff Hours Worked]]/Table1[[#This Row],[Staff Available Hours]],0)</f>
        <v>0.66666666666666663</v>
      </c>
      <c r="X463" t="s">
        <v>48</v>
      </c>
    </row>
    <row r="464" spans="1:24">
      <c r="A464" t="s">
        <v>521</v>
      </c>
      <c r="B464">
        <v>69</v>
      </c>
      <c r="C464" t="str" cm="1">
        <f t="array" ref="C464">_xlfn.IFS(B464&lt;=18,"0-18",B464&lt;=35,"19-35",B464&lt;=50,"36-50",B464&lt;=65,"51-65","True","65+")</f>
        <v>65+</v>
      </c>
      <c r="D464" t="s">
        <v>62</v>
      </c>
      <c r="E464" s="6">
        <v>45192</v>
      </c>
      <c r="F464" s="6">
        <v>45087</v>
      </c>
      <c r="G464">
        <v>13</v>
      </c>
      <c r="H464" t="s">
        <v>50</v>
      </c>
      <c r="I464">
        <v>1</v>
      </c>
      <c r="J464" t="s">
        <v>46</v>
      </c>
      <c r="K464">
        <v>28761</v>
      </c>
      <c r="L464" t="s">
        <v>25</v>
      </c>
      <c r="M464" t="s">
        <v>54</v>
      </c>
      <c r="N464" t="s">
        <v>27</v>
      </c>
      <c r="O464" s="2">
        <v>45191</v>
      </c>
      <c r="P464" s="2">
        <v>45192.916666666664</v>
      </c>
      <c r="Q464" s="38">
        <f t="shared" si="7"/>
        <v>1.9166666666642413</v>
      </c>
      <c r="R464" t="s">
        <v>28</v>
      </c>
      <c r="S464" t="s">
        <v>29</v>
      </c>
      <c r="T464" t="s">
        <v>43</v>
      </c>
      <c r="U464">
        <v>5</v>
      </c>
      <c r="V464">
        <v>8</v>
      </c>
      <c r="W464" s="18">
        <f>IFERROR(Table1[[#This Row],[Staff Hours Worked]]/Table1[[#This Row],[Staff Available Hours]],0)</f>
        <v>0.625</v>
      </c>
      <c r="X464" t="s">
        <v>48</v>
      </c>
    </row>
    <row r="465" spans="1:24">
      <c r="A465" t="s">
        <v>522</v>
      </c>
      <c r="B465">
        <v>4</v>
      </c>
      <c r="C465" t="str" cm="1">
        <f t="array" ref="C465">_xlfn.IFS(B465&lt;=18,"0-18",B465&lt;=35,"19-35",B465&lt;=50,"36-50",B465&lt;=65,"51-65","True","65+")</f>
        <v>0-18</v>
      </c>
      <c r="D465" t="s">
        <v>62</v>
      </c>
      <c r="E465" s="6">
        <v>45239</v>
      </c>
      <c r="F465" s="6">
        <v>45193</v>
      </c>
      <c r="G465">
        <v>13</v>
      </c>
      <c r="H465" t="s">
        <v>34</v>
      </c>
      <c r="I465">
        <v>2</v>
      </c>
      <c r="J465" t="s">
        <v>71</v>
      </c>
      <c r="K465">
        <v>45366</v>
      </c>
      <c r="L465" t="s">
        <v>36</v>
      </c>
      <c r="M465" t="s">
        <v>54</v>
      </c>
      <c r="N465" t="s">
        <v>27</v>
      </c>
      <c r="O465" s="2">
        <v>45147</v>
      </c>
      <c r="P465" s="2">
        <v>45178.666666666664</v>
      </c>
      <c r="Q465" s="38">
        <f t="shared" si="7"/>
        <v>31.666666666664241</v>
      </c>
      <c r="R465" t="s">
        <v>55</v>
      </c>
      <c r="S465" t="s">
        <v>29</v>
      </c>
      <c r="T465" t="s">
        <v>30</v>
      </c>
      <c r="U465">
        <v>11</v>
      </c>
      <c r="V465">
        <v>12</v>
      </c>
      <c r="W465" s="18">
        <f>IFERROR(Table1[[#This Row],[Staff Hours Worked]]/Table1[[#This Row],[Staff Available Hours]],0)</f>
        <v>0.91666666666666663</v>
      </c>
      <c r="X465" t="s">
        <v>68</v>
      </c>
    </row>
    <row r="466" spans="1:24">
      <c r="A466" t="s">
        <v>523</v>
      </c>
      <c r="B466">
        <v>16</v>
      </c>
      <c r="C466" t="str" cm="1">
        <f t="array" ref="C466">_xlfn.IFS(B466&lt;=18,"0-18",B466&lt;=35,"19-35",B466&lt;=50,"36-50",B466&lt;=65,"51-65","True","65+")</f>
        <v>0-18</v>
      </c>
      <c r="D466" t="s">
        <v>52</v>
      </c>
      <c r="E466" s="6">
        <v>45240</v>
      </c>
      <c r="F466" s="6">
        <v>45221</v>
      </c>
      <c r="G466">
        <v>11</v>
      </c>
      <c r="H466" t="s">
        <v>23</v>
      </c>
      <c r="I466">
        <v>3</v>
      </c>
      <c r="J466" t="s">
        <v>24</v>
      </c>
      <c r="K466">
        <v>42606</v>
      </c>
      <c r="L466" t="s">
        <v>36</v>
      </c>
      <c r="M466" t="s">
        <v>54</v>
      </c>
      <c r="N466" t="s">
        <v>27</v>
      </c>
      <c r="O466" s="2">
        <v>45087</v>
      </c>
      <c r="P466" s="2">
        <v>45117.708333333336</v>
      </c>
      <c r="Q466" s="38">
        <f t="shared" si="7"/>
        <v>30.708333333335759</v>
      </c>
      <c r="R466" t="s">
        <v>37</v>
      </c>
      <c r="S466" t="s">
        <v>38</v>
      </c>
      <c r="T466" t="s">
        <v>47</v>
      </c>
      <c r="U466">
        <v>10</v>
      </c>
      <c r="V466">
        <v>10</v>
      </c>
      <c r="W466" s="18">
        <f>IFERROR(Table1[[#This Row],[Staff Hours Worked]]/Table1[[#This Row],[Staff Available Hours]],0)</f>
        <v>1</v>
      </c>
      <c r="X466" t="s">
        <v>48</v>
      </c>
    </row>
    <row r="467" spans="1:24">
      <c r="A467" t="s">
        <v>524</v>
      </c>
      <c r="B467">
        <v>24</v>
      </c>
      <c r="C467" t="str" cm="1">
        <f t="array" ref="C467">_xlfn.IFS(B467&lt;=18,"0-18",B467&lt;=35,"19-35",B467&lt;=50,"36-50",B467&lt;=65,"51-65","True","65+")</f>
        <v>19-35</v>
      </c>
      <c r="D467" t="s">
        <v>41</v>
      </c>
      <c r="E467" s="6">
        <v>45460</v>
      </c>
      <c r="F467" s="6">
        <v>45462</v>
      </c>
      <c r="G467">
        <v>2</v>
      </c>
      <c r="H467" t="s">
        <v>34</v>
      </c>
      <c r="I467">
        <v>1</v>
      </c>
      <c r="J467" t="s">
        <v>66</v>
      </c>
      <c r="K467">
        <v>43640</v>
      </c>
      <c r="L467" t="s">
        <v>67</v>
      </c>
      <c r="M467" t="s">
        <v>26</v>
      </c>
      <c r="N467" t="s">
        <v>27</v>
      </c>
      <c r="O467" s="2">
        <v>45457</v>
      </c>
      <c r="P467" s="2">
        <v>45458.166666666664</v>
      </c>
      <c r="Q467" s="38">
        <f t="shared" si="7"/>
        <v>1.1666666666642413</v>
      </c>
      <c r="R467" t="s">
        <v>55</v>
      </c>
      <c r="S467" t="s">
        <v>29</v>
      </c>
      <c r="T467" t="s">
        <v>30</v>
      </c>
      <c r="U467">
        <v>5</v>
      </c>
      <c r="V467">
        <v>10</v>
      </c>
      <c r="W467" s="18">
        <f>IFERROR(Table1[[#This Row],[Staff Hours Worked]]/Table1[[#This Row],[Staff Available Hours]],0)</f>
        <v>0.5</v>
      </c>
      <c r="X467" t="s">
        <v>68</v>
      </c>
    </row>
    <row r="468" spans="1:24">
      <c r="A468" t="s">
        <v>525</v>
      </c>
      <c r="B468">
        <v>80</v>
      </c>
      <c r="C468" t="str" cm="1">
        <f t="array" ref="C468">_xlfn.IFS(B468&lt;=18,"0-18",B468&lt;=35,"19-35",B468&lt;=50,"36-50",B468&lt;=65,"51-65","True","65+")</f>
        <v>65+</v>
      </c>
      <c r="D468" t="s">
        <v>52</v>
      </c>
      <c r="E468" s="6">
        <v>45601</v>
      </c>
      <c r="F468" s="6">
        <v>45426</v>
      </c>
      <c r="G468">
        <v>3</v>
      </c>
      <c r="H468" t="s">
        <v>23</v>
      </c>
      <c r="I468">
        <v>2</v>
      </c>
      <c r="J468" t="s">
        <v>66</v>
      </c>
      <c r="K468">
        <v>49135</v>
      </c>
      <c r="L468" t="s">
        <v>36</v>
      </c>
      <c r="M468" t="s">
        <v>26</v>
      </c>
      <c r="N468" t="s">
        <v>41</v>
      </c>
      <c r="O468" s="2">
        <v>45509</v>
      </c>
      <c r="P468" s="2">
        <v>45509.458333333336</v>
      </c>
      <c r="Q468" s="38">
        <f t="shared" si="7"/>
        <v>0.45833333333575865</v>
      </c>
      <c r="R468" t="s">
        <v>28</v>
      </c>
      <c r="S468" t="s">
        <v>29</v>
      </c>
      <c r="T468" t="s">
        <v>47</v>
      </c>
      <c r="U468">
        <v>7</v>
      </c>
      <c r="V468">
        <v>10</v>
      </c>
      <c r="W468" s="18">
        <f>IFERROR(Table1[[#This Row],[Staff Hours Worked]]/Table1[[#This Row],[Staff Available Hours]],0)</f>
        <v>0.7</v>
      </c>
      <c r="X468" t="s">
        <v>48</v>
      </c>
    </row>
    <row r="469" spans="1:24">
      <c r="A469" t="s">
        <v>526</v>
      </c>
      <c r="B469">
        <v>2</v>
      </c>
      <c r="C469" t="str" cm="1">
        <f t="array" ref="C469">_xlfn.IFS(B469&lt;=18,"0-18",B469&lt;=35,"19-35",B469&lt;=50,"36-50",B469&lt;=65,"51-65","True","65+")</f>
        <v>0-18</v>
      </c>
      <c r="D469" t="s">
        <v>33</v>
      </c>
      <c r="E469" s="6">
        <v>44966</v>
      </c>
      <c r="F469" s="6">
        <v>45184</v>
      </c>
      <c r="G469">
        <v>13</v>
      </c>
      <c r="H469" t="s">
        <v>40</v>
      </c>
      <c r="I469">
        <v>3</v>
      </c>
      <c r="J469" t="s">
        <v>66</v>
      </c>
      <c r="K469">
        <v>42067</v>
      </c>
      <c r="L469" t="s">
        <v>60</v>
      </c>
      <c r="M469" t="s">
        <v>26</v>
      </c>
      <c r="N469" t="s">
        <v>27</v>
      </c>
      <c r="O469" s="2">
        <v>45166</v>
      </c>
      <c r="P469" s="2">
        <v>45167.666666666664</v>
      </c>
      <c r="Q469" s="38">
        <f t="shared" si="7"/>
        <v>1.6666666666642413</v>
      </c>
      <c r="R469" t="s">
        <v>55</v>
      </c>
      <c r="S469" t="s">
        <v>38</v>
      </c>
      <c r="T469" t="s">
        <v>43</v>
      </c>
      <c r="U469">
        <v>7</v>
      </c>
      <c r="V469">
        <v>12</v>
      </c>
      <c r="W469" s="18">
        <f>IFERROR(Table1[[#This Row],[Staff Hours Worked]]/Table1[[#This Row],[Staff Available Hours]],0)</f>
        <v>0.58333333333333337</v>
      </c>
      <c r="X469" t="s">
        <v>31</v>
      </c>
    </row>
    <row r="470" spans="1:24">
      <c r="A470" t="s">
        <v>527</v>
      </c>
      <c r="B470">
        <v>32</v>
      </c>
      <c r="C470" t="str" cm="1">
        <f t="array" ref="C470">_xlfn.IFS(B470&lt;=18,"0-18",B470&lt;=35,"19-35",B470&lt;=50,"36-50",B470&lt;=65,"51-65","True","65+")</f>
        <v>19-35</v>
      </c>
      <c r="D470" t="s">
        <v>33</v>
      </c>
      <c r="E470" s="6">
        <v>45179</v>
      </c>
      <c r="F470" s="6">
        <v>45219</v>
      </c>
      <c r="G470">
        <v>11</v>
      </c>
      <c r="H470" t="s">
        <v>50</v>
      </c>
      <c r="I470">
        <v>4</v>
      </c>
      <c r="J470" t="s">
        <v>24</v>
      </c>
      <c r="K470">
        <v>22357</v>
      </c>
      <c r="L470" t="s">
        <v>60</v>
      </c>
      <c r="M470" t="s">
        <v>26</v>
      </c>
      <c r="N470" t="s">
        <v>41</v>
      </c>
      <c r="O470" s="2">
        <v>45148</v>
      </c>
      <c r="P470" s="2">
        <v>45148.375</v>
      </c>
      <c r="Q470" s="38">
        <f t="shared" si="7"/>
        <v>0.375</v>
      </c>
      <c r="R470" t="s">
        <v>28</v>
      </c>
      <c r="S470" t="s">
        <v>29</v>
      </c>
      <c r="T470" t="s">
        <v>47</v>
      </c>
      <c r="U470">
        <v>8</v>
      </c>
      <c r="V470">
        <v>12</v>
      </c>
      <c r="W470" s="18">
        <f>IFERROR(Table1[[#This Row],[Staff Hours Worked]]/Table1[[#This Row],[Staff Available Hours]],0)</f>
        <v>0.66666666666666663</v>
      </c>
      <c r="X470" t="s">
        <v>68</v>
      </c>
    </row>
    <row r="471" spans="1:24">
      <c r="A471" t="s">
        <v>528</v>
      </c>
      <c r="B471">
        <v>84</v>
      </c>
      <c r="C471" t="str" cm="1">
        <f t="array" ref="C471">_xlfn.IFS(B471&lt;=18,"0-18",B471&lt;=35,"19-35",B471&lt;=50,"36-50",B471&lt;=65,"51-65","True","65+")</f>
        <v>65+</v>
      </c>
      <c r="D471" t="s">
        <v>22</v>
      </c>
      <c r="E471" s="6">
        <v>45377</v>
      </c>
      <c r="F471" s="6">
        <v>45355</v>
      </c>
      <c r="G471">
        <v>8</v>
      </c>
      <c r="H471" t="s">
        <v>50</v>
      </c>
      <c r="I471">
        <v>3</v>
      </c>
      <c r="J471" t="s">
        <v>66</v>
      </c>
      <c r="K471">
        <v>44851</v>
      </c>
      <c r="L471" t="s">
        <v>36</v>
      </c>
      <c r="M471" t="s">
        <v>26</v>
      </c>
      <c r="N471" t="s">
        <v>41</v>
      </c>
      <c r="O471" s="2">
        <v>45375</v>
      </c>
      <c r="P471" s="2">
        <v>45375.583333333336</v>
      </c>
      <c r="Q471" s="38">
        <f t="shared" si="7"/>
        <v>0.58333333333575865</v>
      </c>
      <c r="R471" t="s">
        <v>28</v>
      </c>
      <c r="S471" t="s">
        <v>38</v>
      </c>
      <c r="T471" t="s">
        <v>30</v>
      </c>
      <c r="U471">
        <v>8</v>
      </c>
      <c r="V471">
        <v>10</v>
      </c>
      <c r="W471" s="18">
        <f>IFERROR(Table1[[#This Row],[Staff Hours Worked]]/Table1[[#This Row],[Staff Available Hours]],0)</f>
        <v>0.8</v>
      </c>
      <c r="X471" t="s">
        <v>48</v>
      </c>
    </row>
    <row r="472" spans="1:24">
      <c r="A472" t="s">
        <v>529</v>
      </c>
      <c r="B472">
        <v>24</v>
      </c>
      <c r="C472" t="str" cm="1">
        <f t="array" ref="C472">_xlfn.IFS(B472&lt;=18,"0-18",B472&lt;=35,"19-35",B472&lt;=50,"36-50",B472&lt;=65,"51-65","True","65+")</f>
        <v>19-35</v>
      </c>
      <c r="D472" t="s">
        <v>33</v>
      </c>
      <c r="E472" s="6">
        <v>45006</v>
      </c>
      <c r="F472" s="6">
        <v>45014</v>
      </c>
      <c r="G472">
        <v>8</v>
      </c>
      <c r="H472" t="s">
        <v>57</v>
      </c>
      <c r="I472">
        <v>5</v>
      </c>
      <c r="J472" t="s">
        <v>24</v>
      </c>
      <c r="K472">
        <v>43262</v>
      </c>
      <c r="L472" t="s">
        <v>67</v>
      </c>
      <c r="M472" t="s">
        <v>26</v>
      </c>
      <c r="N472" t="s">
        <v>41</v>
      </c>
      <c r="O472" s="2">
        <v>45004</v>
      </c>
      <c r="P472" s="2">
        <v>45004.583333333336</v>
      </c>
      <c r="Q472" s="38">
        <f t="shared" si="7"/>
        <v>0.58333333333575865</v>
      </c>
      <c r="R472" t="s">
        <v>42</v>
      </c>
      <c r="S472" t="s">
        <v>38</v>
      </c>
      <c r="T472" t="s">
        <v>30</v>
      </c>
      <c r="U472">
        <v>9</v>
      </c>
      <c r="V472">
        <v>10</v>
      </c>
      <c r="W472" s="18">
        <f>IFERROR(Table1[[#This Row],[Staff Hours Worked]]/Table1[[#This Row],[Staff Available Hours]],0)</f>
        <v>0.9</v>
      </c>
      <c r="X472" t="s">
        <v>31</v>
      </c>
    </row>
    <row r="473" spans="1:24">
      <c r="A473" t="s">
        <v>530</v>
      </c>
      <c r="B473">
        <v>12</v>
      </c>
      <c r="C473" t="str" cm="1">
        <f t="array" ref="C473">_xlfn.IFS(B473&lt;=18,"0-18",B473&lt;=35,"19-35",B473&lt;=50,"36-50",B473&lt;=65,"51-65","True","65+")</f>
        <v>0-18</v>
      </c>
      <c r="D473" t="s">
        <v>22</v>
      </c>
      <c r="E473" s="6">
        <v>45219</v>
      </c>
      <c r="F473" s="6">
        <v>44968</v>
      </c>
      <c r="G473">
        <v>13</v>
      </c>
      <c r="H473" t="s">
        <v>23</v>
      </c>
      <c r="I473">
        <v>3</v>
      </c>
      <c r="J473" t="s">
        <v>66</v>
      </c>
      <c r="K473">
        <v>16317</v>
      </c>
      <c r="L473" t="s">
        <v>67</v>
      </c>
      <c r="M473" t="s">
        <v>54</v>
      </c>
      <c r="N473" t="s">
        <v>27</v>
      </c>
      <c r="O473" s="2">
        <v>45217</v>
      </c>
      <c r="P473" s="2">
        <v>45217.166666666664</v>
      </c>
      <c r="Q473" s="38">
        <f t="shared" si="7"/>
        <v>0.16666666666424135</v>
      </c>
      <c r="R473" t="s">
        <v>55</v>
      </c>
      <c r="S473" t="s">
        <v>29</v>
      </c>
      <c r="T473" t="s">
        <v>47</v>
      </c>
      <c r="U473">
        <v>4</v>
      </c>
      <c r="V473">
        <v>8</v>
      </c>
      <c r="W473" s="18">
        <f>IFERROR(Table1[[#This Row],[Staff Hours Worked]]/Table1[[#This Row],[Staff Available Hours]],0)</f>
        <v>0.5</v>
      </c>
      <c r="X473" t="s">
        <v>48</v>
      </c>
    </row>
    <row r="474" spans="1:24">
      <c r="A474" t="s">
        <v>531</v>
      </c>
      <c r="B474">
        <v>50</v>
      </c>
      <c r="C474" t="str" cm="1">
        <f t="array" ref="C474">_xlfn.IFS(B474&lt;=18,"0-18",B474&lt;=35,"19-35",B474&lt;=50,"36-50",B474&lt;=65,"51-65","True","65+")</f>
        <v>36-50</v>
      </c>
      <c r="D474" t="s">
        <v>45</v>
      </c>
      <c r="E474" s="6">
        <v>45167</v>
      </c>
      <c r="F474" s="6">
        <v>45147</v>
      </c>
      <c r="G474">
        <v>10</v>
      </c>
      <c r="H474" t="s">
        <v>34</v>
      </c>
      <c r="I474">
        <v>5</v>
      </c>
      <c r="J474" t="s">
        <v>46</v>
      </c>
      <c r="K474">
        <v>26534</v>
      </c>
      <c r="L474" t="s">
        <v>67</v>
      </c>
      <c r="M474" t="s">
        <v>26</v>
      </c>
      <c r="N474" t="s">
        <v>41</v>
      </c>
      <c r="O474" s="2">
        <v>45162</v>
      </c>
      <c r="P474" s="2">
        <v>45163.541666666664</v>
      </c>
      <c r="Q474" s="38">
        <f t="shared" si="7"/>
        <v>1.5416666666642413</v>
      </c>
      <c r="R474" t="s">
        <v>64</v>
      </c>
      <c r="S474" t="s">
        <v>29</v>
      </c>
      <c r="T474" t="s">
        <v>30</v>
      </c>
      <c r="U474">
        <v>9</v>
      </c>
      <c r="V474">
        <v>8</v>
      </c>
      <c r="W474" s="18">
        <f>IFERROR(Table1[[#This Row],[Staff Hours Worked]]/Table1[[#This Row],[Staff Available Hours]],0)</f>
        <v>1.125</v>
      </c>
      <c r="X474" t="s">
        <v>31</v>
      </c>
    </row>
    <row r="475" spans="1:24">
      <c r="A475" t="s">
        <v>532</v>
      </c>
      <c r="B475">
        <v>35</v>
      </c>
      <c r="C475" t="str" cm="1">
        <f t="array" ref="C475">_xlfn.IFS(B475&lt;=18,"0-18",B475&lt;=35,"19-35",B475&lt;=50,"36-50",B475&lt;=65,"51-65","True","65+")</f>
        <v>19-35</v>
      </c>
      <c r="D475" t="s">
        <v>52</v>
      </c>
      <c r="E475" s="6">
        <v>45087</v>
      </c>
      <c r="F475" s="6">
        <v>45218</v>
      </c>
      <c r="G475">
        <v>13</v>
      </c>
      <c r="H475" t="s">
        <v>50</v>
      </c>
      <c r="I475">
        <v>2</v>
      </c>
      <c r="J475" t="s">
        <v>46</v>
      </c>
      <c r="K475">
        <v>30734</v>
      </c>
      <c r="L475" t="s">
        <v>53</v>
      </c>
      <c r="M475" t="s">
        <v>54</v>
      </c>
      <c r="N475" t="s">
        <v>27</v>
      </c>
      <c r="O475" s="2">
        <v>45087</v>
      </c>
      <c r="P475" s="2">
        <v>45087.958333333336</v>
      </c>
      <c r="Q475" s="38">
        <f t="shared" si="7"/>
        <v>0.95833333333575865</v>
      </c>
      <c r="R475" t="s">
        <v>42</v>
      </c>
      <c r="S475" t="s">
        <v>29</v>
      </c>
      <c r="T475" t="s">
        <v>47</v>
      </c>
      <c r="U475">
        <v>5</v>
      </c>
      <c r="V475">
        <v>10</v>
      </c>
      <c r="W475" s="18">
        <f>IFERROR(Table1[[#This Row],[Staff Hours Worked]]/Table1[[#This Row],[Staff Available Hours]],0)</f>
        <v>0.5</v>
      </c>
      <c r="X475" t="s">
        <v>31</v>
      </c>
    </row>
    <row r="476" spans="1:24">
      <c r="A476" t="s">
        <v>533</v>
      </c>
      <c r="B476">
        <v>33</v>
      </c>
      <c r="C476" t="str" cm="1">
        <f t="array" ref="C476">_xlfn.IFS(B476&lt;=18,"0-18",B476&lt;=35,"19-35",B476&lt;=50,"36-50",B476&lt;=65,"51-65","True","65+")</f>
        <v>19-35</v>
      </c>
      <c r="D476" t="s">
        <v>45</v>
      </c>
      <c r="E476" s="6">
        <v>45211</v>
      </c>
      <c r="F476" s="6">
        <v>45280</v>
      </c>
      <c r="G476">
        <v>10</v>
      </c>
      <c r="H476" t="s">
        <v>50</v>
      </c>
      <c r="I476">
        <v>3</v>
      </c>
      <c r="J476" t="s">
        <v>24</v>
      </c>
      <c r="K476">
        <v>40897</v>
      </c>
      <c r="L476" t="s">
        <v>36</v>
      </c>
      <c r="M476" t="s">
        <v>54</v>
      </c>
      <c r="N476" t="s">
        <v>41</v>
      </c>
      <c r="O476" s="2">
        <v>45211</v>
      </c>
      <c r="P476" s="2">
        <v>45242.458333333336</v>
      </c>
      <c r="Q476" s="38">
        <f t="shared" si="7"/>
        <v>31.458333333335759</v>
      </c>
      <c r="R476" t="s">
        <v>28</v>
      </c>
      <c r="S476" t="s">
        <v>29</v>
      </c>
      <c r="T476" t="s">
        <v>43</v>
      </c>
      <c r="U476">
        <v>9</v>
      </c>
      <c r="V476">
        <v>10</v>
      </c>
      <c r="W476" s="18">
        <f>IFERROR(Table1[[#This Row],[Staff Hours Worked]]/Table1[[#This Row],[Staff Available Hours]],0)</f>
        <v>0.9</v>
      </c>
      <c r="X476" t="s">
        <v>48</v>
      </c>
    </row>
    <row r="477" spans="1:24">
      <c r="A477" t="s">
        <v>534</v>
      </c>
      <c r="B477">
        <v>33</v>
      </c>
      <c r="C477" t="str" cm="1">
        <f t="array" ref="C477">_xlfn.IFS(B477&lt;=18,"0-18",B477&lt;=35,"19-35",B477&lt;=50,"36-50",B477&lt;=65,"51-65","True","65+")</f>
        <v>19-35</v>
      </c>
      <c r="D477" t="s">
        <v>33</v>
      </c>
      <c r="E477" s="6">
        <v>45254</v>
      </c>
      <c r="F477" s="6">
        <v>44969</v>
      </c>
      <c r="G477">
        <v>8</v>
      </c>
      <c r="H477" t="s">
        <v>63</v>
      </c>
      <c r="I477">
        <v>2</v>
      </c>
      <c r="J477" t="s">
        <v>46</v>
      </c>
      <c r="K477">
        <v>37872</v>
      </c>
      <c r="L477" t="s">
        <v>67</v>
      </c>
      <c r="M477" t="s">
        <v>26</v>
      </c>
      <c r="N477" t="s">
        <v>27</v>
      </c>
      <c r="O477" s="2">
        <v>45249</v>
      </c>
      <c r="P477" s="2">
        <v>45249.75</v>
      </c>
      <c r="Q477" s="38">
        <f t="shared" si="7"/>
        <v>0.75</v>
      </c>
      <c r="R477" t="s">
        <v>64</v>
      </c>
      <c r="S477" t="s">
        <v>38</v>
      </c>
      <c r="T477" t="s">
        <v>47</v>
      </c>
      <c r="U477">
        <v>8</v>
      </c>
      <c r="V477">
        <v>12</v>
      </c>
      <c r="W477" s="18">
        <f>IFERROR(Table1[[#This Row],[Staff Hours Worked]]/Table1[[#This Row],[Staff Available Hours]],0)</f>
        <v>0.66666666666666663</v>
      </c>
      <c r="X477" t="s">
        <v>48</v>
      </c>
    </row>
    <row r="478" spans="1:24">
      <c r="A478" t="s">
        <v>535</v>
      </c>
      <c r="B478">
        <v>61</v>
      </c>
      <c r="C478" t="str" cm="1">
        <f t="array" ref="C478">_xlfn.IFS(B478&lt;=18,"0-18",B478&lt;=35,"19-35",B478&lt;=50,"36-50",B478&lt;=65,"51-65","True","65+")</f>
        <v>51-65</v>
      </c>
      <c r="D478" t="s">
        <v>45</v>
      </c>
      <c r="E478" s="6">
        <v>45009</v>
      </c>
      <c r="F478" s="6">
        <v>45020</v>
      </c>
      <c r="G478">
        <v>11</v>
      </c>
      <c r="H478" t="s">
        <v>63</v>
      </c>
      <c r="I478">
        <v>2</v>
      </c>
      <c r="J478" t="s">
        <v>24</v>
      </c>
      <c r="K478">
        <v>45201</v>
      </c>
      <c r="L478" t="s">
        <v>60</v>
      </c>
      <c r="M478" t="s">
        <v>26</v>
      </c>
      <c r="N478" t="s">
        <v>41</v>
      </c>
      <c r="O478" s="2">
        <v>45005</v>
      </c>
      <c r="P478" s="2">
        <v>45006.625</v>
      </c>
      <c r="Q478" s="38">
        <f t="shared" si="7"/>
        <v>1.625</v>
      </c>
      <c r="R478" t="s">
        <v>37</v>
      </c>
      <c r="S478" t="s">
        <v>29</v>
      </c>
      <c r="T478" t="s">
        <v>47</v>
      </c>
      <c r="U478">
        <v>10</v>
      </c>
      <c r="V478">
        <v>10</v>
      </c>
      <c r="W478" s="18">
        <f>IFERROR(Table1[[#This Row],[Staff Hours Worked]]/Table1[[#This Row],[Staff Available Hours]],0)</f>
        <v>1</v>
      </c>
      <c r="X478" t="s">
        <v>31</v>
      </c>
    </row>
    <row r="479" spans="1:24">
      <c r="A479" t="s">
        <v>536</v>
      </c>
      <c r="B479">
        <v>51</v>
      </c>
      <c r="C479" t="str" cm="1">
        <f t="array" ref="C479">_xlfn.IFS(B479&lt;=18,"0-18",B479&lt;=35,"19-35",B479&lt;=50,"36-50",B479&lt;=65,"51-65","True","65+")</f>
        <v>51-65</v>
      </c>
      <c r="D479" t="s">
        <v>45</v>
      </c>
      <c r="E479" s="6">
        <v>45068</v>
      </c>
      <c r="F479" s="6">
        <v>45083</v>
      </c>
      <c r="G479">
        <v>15</v>
      </c>
      <c r="H479" t="s">
        <v>50</v>
      </c>
      <c r="I479">
        <v>1</v>
      </c>
      <c r="J479" t="s">
        <v>46</v>
      </c>
      <c r="K479">
        <v>12689</v>
      </c>
      <c r="L479" t="s">
        <v>25</v>
      </c>
      <c r="M479" t="s">
        <v>54</v>
      </c>
      <c r="N479" t="s">
        <v>41</v>
      </c>
      <c r="O479" s="2">
        <v>45067</v>
      </c>
      <c r="P479" s="2">
        <v>45068.458333333336</v>
      </c>
      <c r="Q479" s="38">
        <f t="shared" si="7"/>
        <v>1.4583333333357587</v>
      </c>
      <c r="R479" t="s">
        <v>37</v>
      </c>
      <c r="S479" t="s">
        <v>29</v>
      </c>
      <c r="T479" t="s">
        <v>47</v>
      </c>
      <c r="U479">
        <v>9</v>
      </c>
      <c r="V479">
        <v>8</v>
      </c>
      <c r="W479" s="18">
        <f>IFERROR(Table1[[#This Row],[Staff Hours Worked]]/Table1[[#This Row],[Staff Available Hours]],0)</f>
        <v>1.125</v>
      </c>
      <c r="X479" t="s">
        <v>31</v>
      </c>
    </row>
    <row r="480" spans="1:24">
      <c r="A480" t="s">
        <v>537</v>
      </c>
      <c r="B480">
        <v>43</v>
      </c>
      <c r="C480" t="str" cm="1">
        <f t="array" ref="C480">_xlfn.IFS(B480&lt;=18,"0-18",B480&lt;=35,"19-35",B480&lt;=50,"36-50",B480&lt;=65,"51-65","True","65+")</f>
        <v>36-50</v>
      </c>
      <c r="D480" t="s">
        <v>45</v>
      </c>
      <c r="E480" s="6">
        <v>45022</v>
      </c>
      <c r="F480" s="6">
        <v>45096</v>
      </c>
      <c r="G480">
        <v>15</v>
      </c>
      <c r="H480" t="s">
        <v>23</v>
      </c>
      <c r="I480">
        <v>2</v>
      </c>
      <c r="J480" t="s">
        <v>46</v>
      </c>
      <c r="K480">
        <v>8567</v>
      </c>
      <c r="L480" t="s">
        <v>25</v>
      </c>
      <c r="M480" t="s">
        <v>54</v>
      </c>
      <c r="N480" t="s">
        <v>27</v>
      </c>
      <c r="O480" s="2">
        <v>45077</v>
      </c>
      <c r="P480" s="2">
        <v>45077.458333333336</v>
      </c>
      <c r="Q480" s="38">
        <f t="shared" si="7"/>
        <v>0.45833333333575865</v>
      </c>
      <c r="R480" t="s">
        <v>42</v>
      </c>
      <c r="S480" t="s">
        <v>29</v>
      </c>
      <c r="T480" t="s">
        <v>47</v>
      </c>
      <c r="U480">
        <v>6</v>
      </c>
      <c r="V480">
        <v>8</v>
      </c>
      <c r="W480" s="18">
        <f>IFERROR(Table1[[#This Row],[Staff Hours Worked]]/Table1[[#This Row],[Staff Available Hours]],0)</f>
        <v>0.75</v>
      </c>
      <c r="X480" t="s">
        <v>31</v>
      </c>
    </row>
    <row r="481" spans="1:24">
      <c r="A481" t="s">
        <v>538</v>
      </c>
      <c r="B481">
        <v>12</v>
      </c>
      <c r="C481" t="str" cm="1">
        <f t="array" ref="C481">_xlfn.IFS(B481&lt;=18,"0-18",B481&lt;=35,"19-35",B481&lt;=50,"36-50",B481&lt;=65,"51-65","True","65+")</f>
        <v>0-18</v>
      </c>
      <c r="D481" t="s">
        <v>33</v>
      </c>
      <c r="E481" s="6">
        <v>45163</v>
      </c>
      <c r="F481" s="6">
        <v>45025</v>
      </c>
      <c r="G481">
        <v>10</v>
      </c>
      <c r="H481" t="s">
        <v>57</v>
      </c>
      <c r="I481">
        <v>2</v>
      </c>
      <c r="J481" t="s">
        <v>24</v>
      </c>
      <c r="K481">
        <v>25732</v>
      </c>
      <c r="L481" t="s">
        <v>67</v>
      </c>
      <c r="M481" t="s">
        <v>26</v>
      </c>
      <c r="N481" t="s">
        <v>41</v>
      </c>
      <c r="O481" s="2">
        <v>45158</v>
      </c>
      <c r="P481" s="2">
        <v>45158.875</v>
      </c>
      <c r="Q481" s="38">
        <f t="shared" si="7"/>
        <v>0.875</v>
      </c>
      <c r="R481" t="s">
        <v>64</v>
      </c>
      <c r="S481" t="s">
        <v>29</v>
      </c>
      <c r="T481" t="s">
        <v>43</v>
      </c>
      <c r="U481">
        <v>11</v>
      </c>
      <c r="V481">
        <v>8</v>
      </c>
      <c r="W481" s="18">
        <f>IFERROR(Table1[[#This Row],[Staff Hours Worked]]/Table1[[#This Row],[Staff Available Hours]],0)</f>
        <v>1.375</v>
      </c>
      <c r="X481" t="s">
        <v>68</v>
      </c>
    </row>
    <row r="482" spans="1:24">
      <c r="A482" t="s">
        <v>539</v>
      </c>
      <c r="B482">
        <v>67</v>
      </c>
      <c r="C482" t="str" cm="1">
        <f t="array" ref="C482">_xlfn.IFS(B482&lt;=18,"0-18",B482&lt;=35,"19-35",B482&lt;=50,"36-50",B482&lt;=65,"51-65","True","65+")</f>
        <v>65+</v>
      </c>
      <c r="D482" t="s">
        <v>41</v>
      </c>
      <c r="E482" s="6">
        <v>45319</v>
      </c>
      <c r="F482" s="6">
        <v>45506</v>
      </c>
      <c r="G482">
        <v>11</v>
      </c>
      <c r="H482" t="s">
        <v>50</v>
      </c>
      <c r="I482">
        <v>3</v>
      </c>
      <c r="J482" t="s">
        <v>71</v>
      </c>
      <c r="K482">
        <v>25774</v>
      </c>
      <c r="L482" t="s">
        <v>25</v>
      </c>
      <c r="M482" t="s">
        <v>54</v>
      </c>
      <c r="N482" t="s">
        <v>27</v>
      </c>
      <c r="O482" s="2">
        <v>45314</v>
      </c>
      <c r="P482" s="2">
        <v>45315.916666666664</v>
      </c>
      <c r="Q482" s="38">
        <f t="shared" si="7"/>
        <v>1.9166666666642413</v>
      </c>
      <c r="R482" t="s">
        <v>55</v>
      </c>
      <c r="S482" t="s">
        <v>29</v>
      </c>
      <c r="T482" t="s">
        <v>43</v>
      </c>
      <c r="U482">
        <v>4</v>
      </c>
      <c r="V482">
        <v>8</v>
      </c>
      <c r="W482" s="18">
        <f>IFERROR(Table1[[#This Row],[Staff Hours Worked]]/Table1[[#This Row],[Staff Available Hours]],0)</f>
        <v>0.5</v>
      </c>
      <c r="X482" t="s">
        <v>31</v>
      </c>
    </row>
    <row r="483" spans="1:24">
      <c r="A483" t="s">
        <v>540</v>
      </c>
      <c r="B483">
        <v>65</v>
      </c>
      <c r="C483" t="str" cm="1">
        <f t="array" ref="C483">_xlfn.IFS(B483&lt;=18,"0-18",B483&lt;=35,"19-35",B483&lt;=50,"36-50",B483&lt;=65,"51-65","True","65+")</f>
        <v>51-65</v>
      </c>
      <c r="D483" t="s">
        <v>45</v>
      </c>
      <c r="E483" s="6">
        <v>45083</v>
      </c>
      <c r="F483" s="6">
        <v>45094</v>
      </c>
      <c r="G483">
        <v>11</v>
      </c>
      <c r="H483" t="s">
        <v>40</v>
      </c>
      <c r="I483">
        <v>3</v>
      </c>
      <c r="J483" t="s">
        <v>46</v>
      </c>
      <c r="K483">
        <v>28195</v>
      </c>
      <c r="L483" t="s">
        <v>25</v>
      </c>
      <c r="M483" t="s">
        <v>26</v>
      </c>
      <c r="N483" t="s">
        <v>27</v>
      </c>
      <c r="O483" s="2">
        <v>45083</v>
      </c>
      <c r="P483" s="2">
        <v>45083.791666666664</v>
      </c>
      <c r="Q483" s="38">
        <f t="shared" si="7"/>
        <v>0.79166666666424135</v>
      </c>
      <c r="R483" t="s">
        <v>64</v>
      </c>
      <c r="S483" t="s">
        <v>29</v>
      </c>
      <c r="T483" t="s">
        <v>43</v>
      </c>
      <c r="U483">
        <v>8</v>
      </c>
      <c r="V483">
        <v>8</v>
      </c>
      <c r="W483" s="18">
        <f>IFERROR(Table1[[#This Row],[Staff Hours Worked]]/Table1[[#This Row],[Staff Available Hours]],0)</f>
        <v>1</v>
      </c>
      <c r="X483" t="s">
        <v>68</v>
      </c>
    </row>
    <row r="484" spans="1:24">
      <c r="A484" t="s">
        <v>541</v>
      </c>
      <c r="B484">
        <v>33</v>
      </c>
      <c r="C484" t="str" cm="1">
        <f t="array" ref="C484">_xlfn.IFS(B484&lt;=18,"0-18",B484&lt;=35,"19-35",B484&lt;=50,"36-50",B484&lt;=65,"51-65","True","65+")</f>
        <v>19-35</v>
      </c>
      <c r="D484" t="s">
        <v>22</v>
      </c>
      <c r="E484" s="6">
        <v>45146</v>
      </c>
      <c r="F484" s="6">
        <v>45156</v>
      </c>
      <c r="G484">
        <v>10</v>
      </c>
      <c r="H484" t="s">
        <v>34</v>
      </c>
      <c r="I484">
        <v>4</v>
      </c>
      <c r="J484" t="s">
        <v>66</v>
      </c>
      <c r="K484">
        <v>42412</v>
      </c>
      <c r="L484" t="s">
        <v>53</v>
      </c>
      <c r="M484" t="s">
        <v>54</v>
      </c>
      <c r="N484" t="s">
        <v>41</v>
      </c>
      <c r="O484" s="2">
        <v>45115</v>
      </c>
      <c r="P484" s="2">
        <v>45115.791666666664</v>
      </c>
      <c r="Q484" s="38">
        <f t="shared" si="7"/>
        <v>0.79166666666424135</v>
      </c>
      <c r="R484" t="s">
        <v>42</v>
      </c>
      <c r="S484" t="s">
        <v>29</v>
      </c>
      <c r="T484" t="s">
        <v>47</v>
      </c>
      <c r="U484">
        <v>10</v>
      </c>
      <c r="V484">
        <v>8</v>
      </c>
      <c r="W484" s="18">
        <f>IFERROR(Table1[[#This Row],[Staff Hours Worked]]/Table1[[#This Row],[Staff Available Hours]],0)</f>
        <v>1.25</v>
      </c>
      <c r="X484" t="s">
        <v>31</v>
      </c>
    </row>
    <row r="485" spans="1:24">
      <c r="A485" t="s">
        <v>542</v>
      </c>
      <c r="B485">
        <v>40</v>
      </c>
      <c r="C485" t="str" cm="1">
        <f t="array" ref="C485">_xlfn.IFS(B485&lt;=18,"0-18",B485&lt;=35,"19-35",B485&lt;=50,"36-50",B485&lt;=65,"51-65","True","65+")</f>
        <v>36-50</v>
      </c>
      <c r="D485" t="s">
        <v>33</v>
      </c>
      <c r="E485" s="6">
        <v>45110</v>
      </c>
      <c r="F485" s="6">
        <v>44998</v>
      </c>
      <c r="G485">
        <v>6</v>
      </c>
      <c r="H485" t="s">
        <v>57</v>
      </c>
      <c r="I485">
        <v>1</v>
      </c>
      <c r="J485" t="s">
        <v>71</v>
      </c>
      <c r="K485">
        <v>49098</v>
      </c>
      <c r="L485" t="s">
        <v>60</v>
      </c>
      <c r="M485" t="s">
        <v>54</v>
      </c>
      <c r="N485" t="s">
        <v>27</v>
      </c>
      <c r="O485" s="2">
        <v>45019</v>
      </c>
      <c r="P485" s="2">
        <v>45049.541666666664</v>
      </c>
      <c r="Q485" s="38">
        <f t="shared" si="7"/>
        <v>30.541666666664241</v>
      </c>
      <c r="R485" t="s">
        <v>55</v>
      </c>
      <c r="S485" t="s">
        <v>29</v>
      </c>
      <c r="T485" t="s">
        <v>43</v>
      </c>
      <c r="U485">
        <v>7</v>
      </c>
      <c r="V485">
        <v>10</v>
      </c>
      <c r="W485" s="18">
        <f>IFERROR(Table1[[#This Row],[Staff Hours Worked]]/Table1[[#This Row],[Staff Available Hours]],0)</f>
        <v>0.7</v>
      </c>
      <c r="X485" t="s">
        <v>68</v>
      </c>
    </row>
    <row r="486" spans="1:24">
      <c r="A486" t="s">
        <v>543</v>
      </c>
      <c r="B486">
        <v>74</v>
      </c>
      <c r="C486" t="str" cm="1">
        <f t="array" ref="C486">_xlfn.IFS(B486&lt;=18,"0-18",B486&lt;=35,"19-35",B486&lt;=50,"36-50",B486&lt;=65,"51-65","True","65+")</f>
        <v>65+</v>
      </c>
      <c r="D486" t="s">
        <v>45</v>
      </c>
      <c r="E486" s="6">
        <v>45351</v>
      </c>
      <c r="F486" s="6">
        <v>45365</v>
      </c>
      <c r="G486">
        <v>14</v>
      </c>
      <c r="H486" t="s">
        <v>40</v>
      </c>
      <c r="I486">
        <v>2</v>
      </c>
      <c r="J486" t="s">
        <v>24</v>
      </c>
      <c r="K486">
        <v>27257</v>
      </c>
      <c r="L486" t="s">
        <v>60</v>
      </c>
      <c r="M486" t="s">
        <v>54</v>
      </c>
      <c r="N486" t="s">
        <v>41</v>
      </c>
      <c r="O486" s="2">
        <v>45350</v>
      </c>
      <c r="P486" s="2">
        <v>45350.75</v>
      </c>
      <c r="Q486" s="38">
        <f t="shared" si="7"/>
        <v>0.75</v>
      </c>
      <c r="R486" t="s">
        <v>55</v>
      </c>
      <c r="S486" t="s">
        <v>38</v>
      </c>
      <c r="T486" t="s">
        <v>30</v>
      </c>
      <c r="U486">
        <v>11</v>
      </c>
      <c r="V486">
        <v>8</v>
      </c>
      <c r="W486" s="18">
        <f>IFERROR(Table1[[#This Row],[Staff Hours Worked]]/Table1[[#This Row],[Staff Available Hours]],0)</f>
        <v>1.375</v>
      </c>
      <c r="X486" t="s">
        <v>31</v>
      </c>
    </row>
    <row r="487" spans="1:24">
      <c r="A487" t="s">
        <v>544</v>
      </c>
      <c r="B487">
        <v>43</v>
      </c>
      <c r="C487" t="str" cm="1">
        <f t="array" ref="C487">_xlfn.IFS(B487&lt;=18,"0-18",B487&lt;=35,"19-35",B487&lt;=50,"36-50",B487&lt;=65,"51-65","True","65+")</f>
        <v>36-50</v>
      </c>
      <c r="D487" t="s">
        <v>41</v>
      </c>
      <c r="E487" s="6">
        <v>45344</v>
      </c>
      <c r="F487" s="6">
        <v>45385</v>
      </c>
      <c r="G487">
        <v>11</v>
      </c>
      <c r="H487" t="s">
        <v>57</v>
      </c>
      <c r="I487">
        <v>1</v>
      </c>
      <c r="J487" t="s">
        <v>71</v>
      </c>
      <c r="K487">
        <v>9394</v>
      </c>
      <c r="L487" t="s">
        <v>53</v>
      </c>
      <c r="M487" t="s">
        <v>54</v>
      </c>
      <c r="N487" t="s">
        <v>27</v>
      </c>
      <c r="O487" s="2">
        <v>45344</v>
      </c>
      <c r="P487" s="2">
        <v>45345.375</v>
      </c>
      <c r="Q487" s="38">
        <f t="shared" si="7"/>
        <v>1.375</v>
      </c>
      <c r="R487" t="s">
        <v>37</v>
      </c>
      <c r="S487" t="s">
        <v>29</v>
      </c>
      <c r="T487" t="s">
        <v>43</v>
      </c>
      <c r="U487">
        <v>9</v>
      </c>
      <c r="V487">
        <v>8</v>
      </c>
      <c r="W487" s="18">
        <f>IFERROR(Table1[[#This Row],[Staff Hours Worked]]/Table1[[#This Row],[Staff Available Hours]],0)</f>
        <v>1.125</v>
      </c>
      <c r="X487" t="s">
        <v>31</v>
      </c>
    </row>
    <row r="488" spans="1:24">
      <c r="A488" t="s">
        <v>545</v>
      </c>
      <c r="B488">
        <v>44</v>
      </c>
      <c r="C488" t="str" cm="1">
        <f t="array" ref="C488">_xlfn.IFS(B488&lt;=18,"0-18",B488&lt;=35,"19-35",B488&lt;=50,"36-50",B488&lt;=65,"51-65","True","65+")</f>
        <v>36-50</v>
      </c>
      <c r="D488" t="s">
        <v>33</v>
      </c>
      <c r="E488" s="6">
        <v>45058</v>
      </c>
      <c r="F488" s="6">
        <v>45242</v>
      </c>
      <c r="G488">
        <v>6</v>
      </c>
      <c r="H488" t="s">
        <v>40</v>
      </c>
      <c r="I488">
        <v>5</v>
      </c>
      <c r="J488" t="s">
        <v>35</v>
      </c>
      <c r="K488">
        <v>41302</v>
      </c>
      <c r="L488" t="s">
        <v>53</v>
      </c>
      <c r="M488" t="s">
        <v>54</v>
      </c>
      <c r="N488" t="s">
        <v>41</v>
      </c>
      <c r="O488" s="2">
        <v>44969</v>
      </c>
      <c r="P488" s="2">
        <v>44997.833333333336</v>
      </c>
      <c r="Q488" s="38">
        <f t="shared" si="7"/>
        <v>28.833333333335759</v>
      </c>
      <c r="R488" t="s">
        <v>64</v>
      </c>
      <c r="S488" t="s">
        <v>29</v>
      </c>
      <c r="T488" t="s">
        <v>47</v>
      </c>
      <c r="U488">
        <v>8</v>
      </c>
      <c r="V488">
        <v>8</v>
      </c>
      <c r="W488" s="18">
        <f>IFERROR(Table1[[#This Row],[Staff Hours Worked]]/Table1[[#This Row],[Staff Available Hours]],0)</f>
        <v>1</v>
      </c>
      <c r="X488" t="s">
        <v>31</v>
      </c>
    </row>
    <row r="489" spans="1:24">
      <c r="A489" t="s">
        <v>546</v>
      </c>
      <c r="B489">
        <v>29</v>
      </c>
      <c r="C489" t="str" cm="1">
        <f t="array" ref="C489">_xlfn.IFS(B489&lt;=18,"0-18",B489&lt;=35,"19-35",B489&lt;=50,"36-50",B489&lt;=65,"51-65","True","65+")</f>
        <v>19-35</v>
      </c>
      <c r="D489" t="s">
        <v>62</v>
      </c>
      <c r="E489" s="6">
        <v>45404</v>
      </c>
      <c r="F489" s="6">
        <v>45407</v>
      </c>
      <c r="G489">
        <v>3</v>
      </c>
      <c r="H489" t="s">
        <v>34</v>
      </c>
      <c r="I489">
        <v>2</v>
      </c>
      <c r="J489" t="s">
        <v>35</v>
      </c>
      <c r="K489">
        <v>27228</v>
      </c>
      <c r="L489" t="s">
        <v>25</v>
      </c>
      <c r="M489" t="s">
        <v>26</v>
      </c>
      <c r="N489" t="s">
        <v>27</v>
      </c>
      <c r="O489" s="2">
        <v>45401</v>
      </c>
      <c r="P489" s="2">
        <v>45401.291666666664</v>
      </c>
      <c r="Q489" s="38">
        <f t="shared" si="7"/>
        <v>0.29166666666424135</v>
      </c>
      <c r="R489" t="s">
        <v>55</v>
      </c>
      <c r="S489" t="s">
        <v>29</v>
      </c>
      <c r="T489" t="s">
        <v>30</v>
      </c>
      <c r="U489">
        <v>7</v>
      </c>
      <c r="V489">
        <v>8</v>
      </c>
      <c r="W489" s="18">
        <f>IFERROR(Table1[[#This Row],[Staff Hours Worked]]/Table1[[#This Row],[Staff Available Hours]],0)</f>
        <v>0.875</v>
      </c>
      <c r="X489" t="s">
        <v>48</v>
      </c>
    </row>
    <row r="490" spans="1:24">
      <c r="A490" t="s">
        <v>547</v>
      </c>
      <c r="B490">
        <v>13</v>
      </c>
      <c r="C490" t="str" cm="1">
        <f t="array" ref="C490">_xlfn.IFS(B490&lt;=18,"0-18",B490&lt;=35,"19-35",B490&lt;=50,"36-50",B490&lt;=65,"51-65","True","65+")</f>
        <v>0-18</v>
      </c>
      <c r="D490" t="s">
        <v>41</v>
      </c>
      <c r="E490" s="6">
        <v>45294</v>
      </c>
      <c r="F490" s="6">
        <v>45538</v>
      </c>
      <c r="G490">
        <v>8</v>
      </c>
      <c r="H490" t="s">
        <v>34</v>
      </c>
      <c r="I490">
        <v>1</v>
      </c>
      <c r="J490" t="s">
        <v>46</v>
      </c>
      <c r="K490">
        <v>17388</v>
      </c>
      <c r="L490" t="s">
        <v>36</v>
      </c>
      <c r="M490" t="s">
        <v>54</v>
      </c>
      <c r="N490" t="s">
        <v>41</v>
      </c>
      <c r="O490" s="2">
        <v>45351</v>
      </c>
      <c r="P490" s="2">
        <v>45351.375</v>
      </c>
      <c r="Q490" s="38">
        <f t="shared" si="7"/>
        <v>0.375</v>
      </c>
      <c r="R490" t="s">
        <v>42</v>
      </c>
      <c r="S490" t="s">
        <v>29</v>
      </c>
      <c r="T490" t="s">
        <v>47</v>
      </c>
      <c r="U490">
        <v>7</v>
      </c>
      <c r="V490">
        <v>10</v>
      </c>
      <c r="W490" s="18">
        <f>IFERROR(Table1[[#This Row],[Staff Hours Worked]]/Table1[[#This Row],[Staff Available Hours]],0)</f>
        <v>0.7</v>
      </c>
      <c r="X490" t="s">
        <v>48</v>
      </c>
    </row>
    <row r="491" spans="1:24">
      <c r="A491" t="s">
        <v>548</v>
      </c>
      <c r="B491">
        <v>12</v>
      </c>
      <c r="C491" t="str" cm="1">
        <f t="array" ref="C491">_xlfn.IFS(B491&lt;=18,"0-18",B491&lt;=35,"19-35",B491&lt;=50,"36-50",B491&lt;=65,"51-65","True","65+")</f>
        <v>0-18</v>
      </c>
      <c r="D491" t="s">
        <v>22</v>
      </c>
      <c r="E491" s="6">
        <v>45049</v>
      </c>
      <c r="F491" s="6">
        <v>45110</v>
      </c>
      <c r="G491">
        <v>2</v>
      </c>
      <c r="H491" t="s">
        <v>63</v>
      </c>
      <c r="I491">
        <v>4</v>
      </c>
      <c r="J491" t="s">
        <v>46</v>
      </c>
      <c r="K491">
        <v>16319</v>
      </c>
      <c r="L491" t="s">
        <v>25</v>
      </c>
      <c r="M491" t="s">
        <v>54</v>
      </c>
      <c r="N491" t="s">
        <v>27</v>
      </c>
      <c r="O491" s="2">
        <v>44985</v>
      </c>
      <c r="P491" s="2">
        <v>44929.125</v>
      </c>
      <c r="Q491" s="38">
        <f t="shared" si="7"/>
        <v>55.875</v>
      </c>
      <c r="R491" t="s">
        <v>37</v>
      </c>
      <c r="S491" t="s">
        <v>29</v>
      </c>
      <c r="T491" t="s">
        <v>30</v>
      </c>
      <c r="U491">
        <v>5</v>
      </c>
      <c r="V491">
        <v>12</v>
      </c>
      <c r="W491" s="18">
        <f>IFERROR(Table1[[#This Row],[Staff Hours Worked]]/Table1[[#This Row],[Staff Available Hours]],0)</f>
        <v>0.41666666666666669</v>
      </c>
      <c r="X491" t="s">
        <v>31</v>
      </c>
    </row>
    <row r="492" spans="1:24">
      <c r="A492" t="s">
        <v>549</v>
      </c>
      <c r="B492">
        <v>46</v>
      </c>
      <c r="C492" t="str" cm="1">
        <f t="array" ref="C492">_xlfn.IFS(B492&lt;=18,"0-18",B492&lt;=35,"19-35",B492&lt;=50,"36-50",B492&lt;=65,"51-65","True","65+")</f>
        <v>36-50</v>
      </c>
      <c r="D492" t="s">
        <v>45</v>
      </c>
      <c r="E492" s="6">
        <v>45138</v>
      </c>
      <c r="F492" s="6">
        <v>45146</v>
      </c>
      <c r="G492">
        <v>8</v>
      </c>
      <c r="H492" t="s">
        <v>23</v>
      </c>
      <c r="I492">
        <v>4</v>
      </c>
      <c r="J492" t="s">
        <v>66</v>
      </c>
      <c r="K492">
        <v>11475</v>
      </c>
      <c r="L492" t="s">
        <v>53</v>
      </c>
      <c r="M492" t="s">
        <v>54</v>
      </c>
      <c r="N492" t="s">
        <v>27</v>
      </c>
      <c r="O492" s="2">
        <v>45136</v>
      </c>
      <c r="P492" s="2">
        <v>45136.166666666664</v>
      </c>
      <c r="Q492" s="38">
        <f t="shared" si="7"/>
        <v>0.16666666666424135</v>
      </c>
      <c r="R492" t="s">
        <v>55</v>
      </c>
      <c r="S492" t="s">
        <v>38</v>
      </c>
      <c r="T492" t="s">
        <v>47</v>
      </c>
      <c r="U492">
        <v>5</v>
      </c>
      <c r="V492">
        <v>12</v>
      </c>
      <c r="W492" s="18">
        <f>IFERROR(Table1[[#This Row],[Staff Hours Worked]]/Table1[[#This Row],[Staff Available Hours]],0)</f>
        <v>0.41666666666666669</v>
      </c>
      <c r="X492" t="s">
        <v>68</v>
      </c>
    </row>
    <row r="493" spans="1:24">
      <c r="A493" t="s">
        <v>550</v>
      </c>
      <c r="B493">
        <v>2</v>
      </c>
      <c r="C493" t="str" cm="1">
        <f t="array" ref="C493">_xlfn.IFS(B493&lt;=18,"0-18",B493&lt;=35,"19-35",B493&lt;=50,"36-50",B493&lt;=65,"51-65","True","65+")</f>
        <v>0-18</v>
      </c>
      <c r="D493" t="s">
        <v>62</v>
      </c>
      <c r="E493" s="6">
        <v>45446</v>
      </c>
      <c r="F493" s="6">
        <v>45365</v>
      </c>
      <c r="G493">
        <v>8</v>
      </c>
      <c r="H493" t="s">
        <v>40</v>
      </c>
      <c r="I493">
        <v>2</v>
      </c>
      <c r="J493" t="s">
        <v>71</v>
      </c>
      <c r="K493">
        <v>36555</v>
      </c>
      <c r="L493" t="s">
        <v>60</v>
      </c>
      <c r="M493" t="s">
        <v>54</v>
      </c>
      <c r="N493" t="s">
        <v>27</v>
      </c>
      <c r="O493" s="2">
        <v>45446</v>
      </c>
      <c r="P493" s="2">
        <v>45446.75</v>
      </c>
      <c r="Q493" s="38">
        <f t="shared" si="7"/>
        <v>0.75</v>
      </c>
      <c r="R493" t="s">
        <v>64</v>
      </c>
      <c r="S493" t="s">
        <v>29</v>
      </c>
      <c r="T493" t="s">
        <v>47</v>
      </c>
      <c r="U493">
        <v>10</v>
      </c>
      <c r="V493">
        <v>12</v>
      </c>
      <c r="W493" s="18">
        <f>IFERROR(Table1[[#This Row],[Staff Hours Worked]]/Table1[[#This Row],[Staff Available Hours]],0)</f>
        <v>0.83333333333333337</v>
      </c>
      <c r="X493" t="s">
        <v>68</v>
      </c>
    </row>
    <row r="494" spans="1:24">
      <c r="A494" t="s">
        <v>551</v>
      </c>
      <c r="B494">
        <v>35</v>
      </c>
      <c r="C494" t="str" cm="1">
        <f t="array" ref="C494">_xlfn.IFS(B494&lt;=18,"0-18",B494&lt;=35,"19-35",B494&lt;=50,"36-50",B494&lt;=65,"51-65","True","65+")</f>
        <v>19-35</v>
      </c>
      <c r="D494" t="s">
        <v>62</v>
      </c>
      <c r="E494" s="6">
        <v>45353</v>
      </c>
      <c r="F494" s="6">
        <v>45336</v>
      </c>
      <c r="G494">
        <v>11</v>
      </c>
      <c r="H494" t="s">
        <v>63</v>
      </c>
      <c r="I494">
        <v>5</v>
      </c>
      <c r="J494" t="s">
        <v>35</v>
      </c>
      <c r="K494">
        <v>23158</v>
      </c>
      <c r="L494" t="s">
        <v>25</v>
      </c>
      <c r="M494" t="s">
        <v>26</v>
      </c>
      <c r="N494" t="s">
        <v>27</v>
      </c>
      <c r="O494" s="2">
        <v>45353</v>
      </c>
      <c r="P494" s="2">
        <v>45384.75</v>
      </c>
      <c r="Q494" s="38">
        <f t="shared" si="7"/>
        <v>31.75</v>
      </c>
      <c r="R494" t="s">
        <v>37</v>
      </c>
      <c r="S494" t="s">
        <v>29</v>
      </c>
      <c r="T494" t="s">
        <v>30</v>
      </c>
      <c r="U494">
        <v>8</v>
      </c>
      <c r="V494">
        <v>12</v>
      </c>
      <c r="W494" s="18">
        <f>IFERROR(Table1[[#This Row],[Staff Hours Worked]]/Table1[[#This Row],[Staff Available Hours]],0)</f>
        <v>0.66666666666666663</v>
      </c>
      <c r="X494" t="s">
        <v>31</v>
      </c>
    </row>
    <row r="495" spans="1:24">
      <c r="A495" t="s">
        <v>552</v>
      </c>
      <c r="B495">
        <v>87</v>
      </c>
      <c r="C495" t="str" cm="1">
        <f t="array" ref="C495">_xlfn.IFS(B495&lt;=18,"0-18",B495&lt;=35,"19-35",B495&lt;=50,"36-50",B495&lt;=65,"51-65","True","65+")</f>
        <v>65+</v>
      </c>
      <c r="D495" t="s">
        <v>33</v>
      </c>
      <c r="E495" s="6">
        <v>44947</v>
      </c>
      <c r="F495" s="6">
        <v>44952</v>
      </c>
      <c r="G495">
        <v>5</v>
      </c>
      <c r="H495" t="s">
        <v>40</v>
      </c>
      <c r="I495">
        <v>4</v>
      </c>
      <c r="J495" t="s">
        <v>46</v>
      </c>
      <c r="K495">
        <v>19728</v>
      </c>
      <c r="L495" t="s">
        <v>36</v>
      </c>
      <c r="M495" t="s">
        <v>54</v>
      </c>
      <c r="N495" t="s">
        <v>27</v>
      </c>
      <c r="O495" s="2">
        <v>44945</v>
      </c>
      <c r="P495" s="2">
        <v>44945.375</v>
      </c>
      <c r="Q495" s="38">
        <f t="shared" si="7"/>
        <v>0.375</v>
      </c>
      <c r="R495" t="s">
        <v>64</v>
      </c>
      <c r="S495" t="s">
        <v>29</v>
      </c>
      <c r="T495" t="s">
        <v>43</v>
      </c>
      <c r="U495">
        <v>11</v>
      </c>
      <c r="V495">
        <v>8</v>
      </c>
      <c r="W495" s="18">
        <f>IFERROR(Table1[[#This Row],[Staff Hours Worked]]/Table1[[#This Row],[Staff Available Hours]],0)</f>
        <v>1.375</v>
      </c>
      <c r="X495" t="s">
        <v>48</v>
      </c>
    </row>
    <row r="496" spans="1:24">
      <c r="A496" t="s">
        <v>553</v>
      </c>
      <c r="B496">
        <v>81</v>
      </c>
      <c r="C496" t="str" cm="1">
        <f t="array" ref="C496">_xlfn.IFS(B496&lt;=18,"0-18",B496&lt;=35,"19-35",B496&lt;=50,"36-50",B496&lt;=65,"51-65","True","65+")</f>
        <v>65+</v>
      </c>
      <c r="D496" t="s">
        <v>62</v>
      </c>
      <c r="E496" s="6">
        <v>45316</v>
      </c>
      <c r="F496" s="6">
        <v>45475</v>
      </c>
      <c r="G496">
        <v>13</v>
      </c>
      <c r="H496" t="s">
        <v>63</v>
      </c>
      <c r="I496">
        <v>4</v>
      </c>
      <c r="J496" t="s">
        <v>71</v>
      </c>
      <c r="K496">
        <v>49774</v>
      </c>
      <c r="L496" t="s">
        <v>25</v>
      </c>
      <c r="M496" t="s">
        <v>26</v>
      </c>
      <c r="N496" t="s">
        <v>27</v>
      </c>
      <c r="O496" s="2">
        <v>45312</v>
      </c>
      <c r="P496" s="2">
        <v>45313.875</v>
      </c>
      <c r="Q496" s="38">
        <f t="shared" si="7"/>
        <v>1.875</v>
      </c>
      <c r="R496" t="s">
        <v>64</v>
      </c>
      <c r="S496" t="s">
        <v>29</v>
      </c>
      <c r="T496" t="s">
        <v>30</v>
      </c>
      <c r="U496">
        <v>10</v>
      </c>
      <c r="V496">
        <v>12</v>
      </c>
      <c r="W496" s="18">
        <f>IFERROR(Table1[[#This Row],[Staff Hours Worked]]/Table1[[#This Row],[Staff Available Hours]],0)</f>
        <v>0.83333333333333337</v>
      </c>
      <c r="X496" t="s">
        <v>68</v>
      </c>
    </row>
    <row r="497" spans="1:24">
      <c r="A497" t="s">
        <v>554</v>
      </c>
      <c r="B497">
        <v>8</v>
      </c>
      <c r="C497" t="str" cm="1">
        <f t="array" ref="C497">_xlfn.IFS(B497&lt;=18,"0-18",B497&lt;=35,"19-35",B497&lt;=50,"36-50",B497&lt;=65,"51-65","True","65+")</f>
        <v>0-18</v>
      </c>
      <c r="D497" t="s">
        <v>22</v>
      </c>
      <c r="E497" s="6">
        <v>45356</v>
      </c>
      <c r="F497" s="6">
        <v>45509</v>
      </c>
      <c r="G497">
        <v>5</v>
      </c>
      <c r="H497" t="s">
        <v>34</v>
      </c>
      <c r="I497">
        <v>5</v>
      </c>
      <c r="J497" t="s">
        <v>46</v>
      </c>
      <c r="K497">
        <v>34545</v>
      </c>
      <c r="L497" t="s">
        <v>67</v>
      </c>
      <c r="M497" t="s">
        <v>54</v>
      </c>
      <c r="N497" t="s">
        <v>41</v>
      </c>
      <c r="O497" s="2">
        <v>45411</v>
      </c>
      <c r="P497" s="2">
        <v>45411.375</v>
      </c>
      <c r="Q497" s="38">
        <f t="shared" si="7"/>
        <v>0.375</v>
      </c>
      <c r="R497" t="s">
        <v>64</v>
      </c>
      <c r="S497" t="s">
        <v>29</v>
      </c>
      <c r="T497" t="s">
        <v>30</v>
      </c>
      <c r="U497">
        <v>8</v>
      </c>
      <c r="V497">
        <v>12</v>
      </c>
      <c r="W497" s="18">
        <f>IFERROR(Table1[[#This Row],[Staff Hours Worked]]/Table1[[#This Row],[Staff Available Hours]],0)</f>
        <v>0.66666666666666663</v>
      </c>
      <c r="X497" t="s">
        <v>48</v>
      </c>
    </row>
    <row r="498" spans="1:24">
      <c r="A498" t="s">
        <v>555</v>
      </c>
      <c r="B498">
        <v>26</v>
      </c>
      <c r="C498" t="str" cm="1">
        <f t="array" ref="C498">_xlfn.IFS(B498&lt;=18,"0-18",B498&lt;=35,"19-35",B498&lt;=50,"36-50",B498&lt;=65,"51-65","True","65+")</f>
        <v>19-35</v>
      </c>
      <c r="D498" t="s">
        <v>22</v>
      </c>
      <c r="E498" s="6">
        <v>45108</v>
      </c>
      <c r="F498" s="6">
        <v>44943</v>
      </c>
      <c r="G498">
        <v>10</v>
      </c>
      <c r="H498" t="s">
        <v>57</v>
      </c>
      <c r="I498">
        <v>1</v>
      </c>
      <c r="J498" t="s">
        <v>46</v>
      </c>
      <c r="K498">
        <v>36100</v>
      </c>
      <c r="L498" t="s">
        <v>25</v>
      </c>
      <c r="M498" t="s">
        <v>54</v>
      </c>
      <c r="N498" t="s">
        <v>41</v>
      </c>
      <c r="O498" s="2">
        <v>45108</v>
      </c>
      <c r="P498" s="2">
        <v>45108.666666666664</v>
      </c>
      <c r="Q498" s="38">
        <f t="shared" si="7"/>
        <v>0.66666666666424135</v>
      </c>
      <c r="R498" t="s">
        <v>37</v>
      </c>
      <c r="S498" t="s">
        <v>29</v>
      </c>
      <c r="T498" t="s">
        <v>30</v>
      </c>
      <c r="U498">
        <v>6</v>
      </c>
      <c r="V498">
        <v>10</v>
      </c>
      <c r="W498" s="18">
        <f>IFERROR(Table1[[#This Row],[Staff Hours Worked]]/Table1[[#This Row],[Staff Available Hours]],0)</f>
        <v>0.6</v>
      </c>
      <c r="X498" t="s">
        <v>68</v>
      </c>
    </row>
    <row r="499" spans="1:24">
      <c r="A499" t="s">
        <v>556</v>
      </c>
      <c r="B499">
        <v>74</v>
      </c>
      <c r="C499" t="str" cm="1">
        <f t="array" ref="C499">_xlfn.IFS(B499&lt;=18,"0-18",B499&lt;=35,"19-35",B499&lt;=50,"36-50",B499&lt;=65,"51-65","True","65+")</f>
        <v>65+</v>
      </c>
      <c r="D499" t="s">
        <v>52</v>
      </c>
      <c r="E499" s="6">
        <v>45287</v>
      </c>
      <c r="F499" s="6">
        <v>45288</v>
      </c>
      <c r="G499">
        <v>1</v>
      </c>
      <c r="H499" t="s">
        <v>63</v>
      </c>
      <c r="I499">
        <v>4</v>
      </c>
      <c r="J499" t="s">
        <v>35</v>
      </c>
      <c r="K499">
        <v>21150</v>
      </c>
      <c r="L499" t="s">
        <v>53</v>
      </c>
      <c r="M499" t="s">
        <v>54</v>
      </c>
      <c r="N499" t="s">
        <v>41</v>
      </c>
      <c r="O499" s="2">
        <v>45285</v>
      </c>
      <c r="P499" s="2">
        <v>45285.416666666664</v>
      </c>
      <c r="Q499" s="38">
        <f t="shared" si="7"/>
        <v>0.41666666666424135</v>
      </c>
      <c r="R499" t="s">
        <v>55</v>
      </c>
      <c r="S499" t="s">
        <v>29</v>
      </c>
      <c r="T499" t="s">
        <v>30</v>
      </c>
      <c r="U499">
        <v>4</v>
      </c>
      <c r="V499">
        <v>10</v>
      </c>
      <c r="W499" s="18">
        <f>IFERROR(Table1[[#This Row],[Staff Hours Worked]]/Table1[[#This Row],[Staff Available Hours]],0)</f>
        <v>0.4</v>
      </c>
      <c r="X499" t="s">
        <v>31</v>
      </c>
    </row>
    <row r="500" spans="1:24">
      <c r="A500" t="s">
        <v>557</v>
      </c>
      <c r="B500">
        <v>34</v>
      </c>
      <c r="C500" t="str" cm="1">
        <f t="array" ref="C500">_xlfn.IFS(B500&lt;=18,"0-18",B500&lt;=35,"19-35",B500&lt;=50,"36-50",B500&lt;=65,"51-65","True","65+")</f>
        <v>19-35</v>
      </c>
      <c r="D500" t="s">
        <v>22</v>
      </c>
      <c r="E500" s="6">
        <v>44968</v>
      </c>
      <c r="F500" s="6">
        <v>45149</v>
      </c>
      <c r="G500">
        <v>6</v>
      </c>
      <c r="H500" t="s">
        <v>40</v>
      </c>
      <c r="I500">
        <v>3</v>
      </c>
      <c r="J500" t="s">
        <v>35</v>
      </c>
      <c r="K500">
        <v>38214</v>
      </c>
      <c r="L500" t="s">
        <v>60</v>
      </c>
      <c r="M500" t="s">
        <v>54</v>
      </c>
      <c r="N500" t="s">
        <v>27</v>
      </c>
      <c r="O500" s="2">
        <v>45230</v>
      </c>
      <c r="P500" s="2">
        <v>44937.916666666664</v>
      </c>
      <c r="Q500" s="38">
        <f t="shared" si="7"/>
        <v>292.08333333333576</v>
      </c>
      <c r="R500" t="s">
        <v>28</v>
      </c>
      <c r="S500" t="s">
        <v>29</v>
      </c>
      <c r="T500" t="s">
        <v>30</v>
      </c>
      <c r="U500">
        <v>4</v>
      </c>
      <c r="V500">
        <v>10</v>
      </c>
      <c r="W500" s="18">
        <f>IFERROR(Table1[[#This Row],[Staff Hours Worked]]/Table1[[#This Row],[Staff Available Hours]],0)</f>
        <v>0.4</v>
      </c>
      <c r="X500" t="s">
        <v>48</v>
      </c>
    </row>
    <row r="501" spans="1:24">
      <c r="A501" t="s">
        <v>558</v>
      </c>
      <c r="B501">
        <v>7</v>
      </c>
      <c r="C501" t="str" cm="1">
        <f t="array" ref="C501">_xlfn.IFS(B501&lt;=18,"0-18",B501&lt;=35,"19-35",B501&lt;=50,"36-50",B501&lt;=65,"51-65","True","65+")</f>
        <v>0-18</v>
      </c>
      <c r="D501" t="s">
        <v>41</v>
      </c>
      <c r="E501" s="6">
        <v>45384</v>
      </c>
      <c r="F501" s="6">
        <v>45335</v>
      </c>
      <c r="G501">
        <v>9</v>
      </c>
      <c r="H501" t="s">
        <v>40</v>
      </c>
      <c r="I501">
        <v>4</v>
      </c>
      <c r="J501" t="s">
        <v>46</v>
      </c>
      <c r="K501">
        <v>37876</v>
      </c>
      <c r="L501" t="s">
        <v>60</v>
      </c>
      <c r="M501" t="s">
        <v>26</v>
      </c>
      <c r="N501" t="s">
        <v>27</v>
      </c>
      <c r="O501" s="2">
        <v>45293</v>
      </c>
      <c r="P501" s="2">
        <v>45293.875</v>
      </c>
      <c r="Q501" s="38">
        <f t="shared" si="7"/>
        <v>0.875</v>
      </c>
      <c r="R501" t="s">
        <v>55</v>
      </c>
      <c r="S501" t="s">
        <v>29</v>
      </c>
      <c r="T501" t="s">
        <v>47</v>
      </c>
      <c r="U501">
        <v>11</v>
      </c>
      <c r="V501">
        <v>8</v>
      </c>
      <c r="W501" s="18">
        <f>IFERROR(Table1[[#This Row],[Staff Hours Worked]]/Table1[[#This Row],[Staff Available Hours]],0)</f>
        <v>1.375</v>
      </c>
      <c r="X501" t="s">
        <v>68</v>
      </c>
    </row>
    <row r="502" spans="1:24">
      <c r="A502" t="s">
        <v>559</v>
      </c>
      <c r="B502">
        <v>68</v>
      </c>
      <c r="C502" t="str" cm="1">
        <f t="array" ref="C502">_xlfn.IFS(B502&lt;=18,"0-18",B502&lt;=35,"19-35",B502&lt;=50,"36-50",B502&lt;=65,"51-65","True","65+")</f>
        <v>65+</v>
      </c>
      <c r="D502" t="s">
        <v>62</v>
      </c>
      <c r="E502" s="6">
        <v>45415</v>
      </c>
      <c r="F502" s="6">
        <v>45476</v>
      </c>
      <c r="G502">
        <v>2</v>
      </c>
      <c r="H502" t="s">
        <v>23</v>
      </c>
      <c r="I502">
        <v>1</v>
      </c>
      <c r="J502" t="s">
        <v>24</v>
      </c>
      <c r="K502">
        <v>8239</v>
      </c>
      <c r="L502" t="s">
        <v>53</v>
      </c>
      <c r="M502" t="s">
        <v>54</v>
      </c>
      <c r="N502" t="s">
        <v>27</v>
      </c>
      <c r="O502" s="2">
        <v>45351</v>
      </c>
      <c r="P502" s="2">
        <v>45351.666666666664</v>
      </c>
      <c r="Q502" s="38">
        <f t="shared" si="7"/>
        <v>0.66666666666424135</v>
      </c>
      <c r="R502" t="s">
        <v>37</v>
      </c>
      <c r="S502" t="s">
        <v>29</v>
      </c>
      <c r="T502" t="s">
        <v>47</v>
      </c>
      <c r="U502">
        <v>8</v>
      </c>
      <c r="V502">
        <v>8</v>
      </c>
      <c r="W502" s="18">
        <f>IFERROR(Table1[[#This Row],[Staff Hours Worked]]/Table1[[#This Row],[Staff Available Hours]],0)</f>
        <v>1</v>
      </c>
      <c r="X502" t="s">
        <v>31</v>
      </c>
    </row>
    <row r="503" spans="1:24">
      <c r="A503" t="s">
        <v>560</v>
      </c>
      <c r="B503">
        <v>58</v>
      </c>
      <c r="C503" t="str" cm="1">
        <f t="array" ref="C503">_xlfn.IFS(B503&lt;=18,"0-18",B503&lt;=35,"19-35",B503&lt;=50,"36-50",B503&lt;=65,"51-65","True","65+")</f>
        <v>51-65</v>
      </c>
      <c r="D503" t="s">
        <v>22</v>
      </c>
      <c r="E503" s="6">
        <v>45152</v>
      </c>
      <c r="F503" s="6">
        <v>45157</v>
      </c>
      <c r="G503">
        <v>5</v>
      </c>
      <c r="H503" t="s">
        <v>34</v>
      </c>
      <c r="I503">
        <v>1</v>
      </c>
      <c r="J503" t="s">
        <v>46</v>
      </c>
      <c r="K503">
        <v>43699</v>
      </c>
      <c r="L503" t="s">
        <v>67</v>
      </c>
      <c r="M503" t="s">
        <v>26</v>
      </c>
      <c r="N503" t="s">
        <v>41</v>
      </c>
      <c r="O503" s="2">
        <v>45207</v>
      </c>
      <c r="P503" s="2">
        <v>45238.833333333336</v>
      </c>
      <c r="Q503" s="38">
        <f t="shared" si="7"/>
        <v>31.833333333335759</v>
      </c>
      <c r="R503" t="s">
        <v>28</v>
      </c>
      <c r="S503" t="s">
        <v>29</v>
      </c>
      <c r="T503" t="s">
        <v>43</v>
      </c>
      <c r="U503">
        <v>5</v>
      </c>
      <c r="V503">
        <v>8</v>
      </c>
      <c r="W503" s="18">
        <f>IFERROR(Table1[[#This Row],[Staff Hours Worked]]/Table1[[#This Row],[Staff Available Hours]],0)</f>
        <v>0.625</v>
      </c>
      <c r="X503" t="s">
        <v>31</v>
      </c>
    </row>
    <row r="504" spans="1:24">
      <c r="A504" t="s">
        <v>561</v>
      </c>
      <c r="B504">
        <v>75</v>
      </c>
      <c r="C504" t="str" cm="1">
        <f t="array" ref="C504">_xlfn.IFS(B504&lt;=18,"0-18",B504&lt;=35,"19-35",B504&lt;=50,"36-50",B504&lt;=65,"51-65","True","65+")</f>
        <v>65+</v>
      </c>
      <c r="D504" t="s">
        <v>33</v>
      </c>
      <c r="E504" s="6">
        <v>45426</v>
      </c>
      <c r="F504" s="6">
        <v>45434</v>
      </c>
      <c r="G504">
        <v>8</v>
      </c>
      <c r="H504" t="s">
        <v>40</v>
      </c>
      <c r="I504">
        <v>2</v>
      </c>
      <c r="J504" t="s">
        <v>46</v>
      </c>
      <c r="K504">
        <v>41821</v>
      </c>
      <c r="L504" t="s">
        <v>53</v>
      </c>
      <c r="M504" t="s">
        <v>54</v>
      </c>
      <c r="N504" t="s">
        <v>27</v>
      </c>
      <c r="O504" s="2">
        <v>45570</v>
      </c>
      <c r="P504" s="2">
        <v>45601.083333333336</v>
      </c>
      <c r="Q504" s="38">
        <f t="shared" si="7"/>
        <v>31.083333333335759</v>
      </c>
      <c r="R504" t="s">
        <v>28</v>
      </c>
      <c r="S504" t="s">
        <v>29</v>
      </c>
      <c r="T504" t="s">
        <v>43</v>
      </c>
      <c r="U504">
        <v>11</v>
      </c>
      <c r="V504">
        <v>10</v>
      </c>
      <c r="W504" s="18">
        <f>IFERROR(Table1[[#This Row],[Staff Hours Worked]]/Table1[[#This Row],[Staff Available Hours]],0)</f>
        <v>1.1000000000000001</v>
      </c>
      <c r="X504" t="s">
        <v>31</v>
      </c>
    </row>
    <row r="505" spans="1:24">
      <c r="A505" t="s">
        <v>562</v>
      </c>
      <c r="B505">
        <v>29</v>
      </c>
      <c r="C505" t="str" cm="1">
        <f t="array" ref="C505">_xlfn.IFS(B505&lt;=18,"0-18",B505&lt;=35,"19-35",B505&lt;=50,"36-50",B505&lt;=65,"51-65","True","65+")</f>
        <v>19-35</v>
      </c>
      <c r="D505" t="s">
        <v>52</v>
      </c>
      <c r="E505" s="6">
        <v>45151</v>
      </c>
      <c r="F505" s="6">
        <v>45159</v>
      </c>
      <c r="G505">
        <v>8</v>
      </c>
      <c r="H505" t="s">
        <v>50</v>
      </c>
      <c r="I505">
        <v>3</v>
      </c>
      <c r="J505" t="s">
        <v>66</v>
      </c>
      <c r="K505">
        <v>35615</v>
      </c>
      <c r="L505" t="s">
        <v>25</v>
      </c>
      <c r="M505" t="s">
        <v>26</v>
      </c>
      <c r="N505" t="s">
        <v>41</v>
      </c>
      <c r="O505" s="2">
        <v>45207</v>
      </c>
      <c r="P505" s="2">
        <v>45238.333333333336</v>
      </c>
      <c r="Q505" s="38">
        <f t="shared" si="7"/>
        <v>31.333333333335759</v>
      </c>
      <c r="R505" t="s">
        <v>28</v>
      </c>
      <c r="S505" t="s">
        <v>38</v>
      </c>
      <c r="T505" t="s">
        <v>30</v>
      </c>
      <c r="U505">
        <v>9</v>
      </c>
      <c r="V505">
        <v>12</v>
      </c>
      <c r="W505" s="18">
        <f>IFERROR(Table1[[#This Row],[Staff Hours Worked]]/Table1[[#This Row],[Staff Available Hours]],0)</f>
        <v>0.75</v>
      </c>
      <c r="X505" t="s">
        <v>48</v>
      </c>
    </row>
    <row r="506" spans="1:24">
      <c r="A506" t="s">
        <v>563</v>
      </c>
      <c r="B506">
        <v>36</v>
      </c>
      <c r="C506" t="str" cm="1">
        <f t="array" ref="C506">_xlfn.IFS(B506&lt;=18,"0-18",B506&lt;=35,"19-35",B506&lt;=50,"36-50",B506&lt;=65,"51-65","True","65+")</f>
        <v>36-50</v>
      </c>
      <c r="D506" t="s">
        <v>62</v>
      </c>
      <c r="E506" s="6">
        <v>45117</v>
      </c>
      <c r="F506" s="6">
        <v>45148</v>
      </c>
      <c r="G506">
        <v>1</v>
      </c>
      <c r="H506" t="s">
        <v>57</v>
      </c>
      <c r="I506">
        <v>1</v>
      </c>
      <c r="J506" t="s">
        <v>66</v>
      </c>
      <c r="K506">
        <v>18746</v>
      </c>
      <c r="L506" t="s">
        <v>53</v>
      </c>
      <c r="M506" t="s">
        <v>26</v>
      </c>
      <c r="N506" t="s">
        <v>27</v>
      </c>
      <c r="O506" s="2">
        <v>45087</v>
      </c>
      <c r="P506" s="2">
        <v>45087.416666666664</v>
      </c>
      <c r="Q506" s="38">
        <f t="shared" si="7"/>
        <v>0.41666666666424135</v>
      </c>
      <c r="R506" t="s">
        <v>42</v>
      </c>
      <c r="S506" t="s">
        <v>29</v>
      </c>
      <c r="T506" t="s">
        <v>43</v>
      </c>
      <c r="U506">
        <v>10</v>
      </c>
      <c r="V506">
        <v>10</v>
      </c>
      <c r="W506" s="18">
        <f>IFERROR(Table1[[#This Row],[Staff Hours Worked]]/Table1[[#This Row],[Staff Available Hours]],0)</f>
        <v>1</v>
      </c>
      <c r="X506" t="s">
        <v>48</v>
      </c>
    </row>
    <row r="507" spans="1:24">
      <c r="A507" t="s">
        <v>564</v>
      </c>
      <c r="B507">
        <v>89</v>
      </c>
      <c r="C507" t="str" cm="1">
        <f t="array" ref="C507">_xlfn.IFS(B507&lt;=18,"0-18",B507&lt;=35,"19-35",B507&lt;=50,"36-50",B507&lt;=65,"51-65","True","65+")</f>
        <v>65+</v>
      </c>
      <c r="D507" t="s">
        <v>52</v>
      </c>
      <c r="E507" s="6">
        <v>45373</v>
      </c>
      <c r="F507" s="6">
        <v>45374</v>
      </c>
      <c r="G507">
        <v>1</v>
      </c>
      <c r="H507" t="s">
        <v>63</v>
      </c>
      <c r="I507">
        <v>5</v>
      </c>
      <c r="J507" t="s">
        <v>66</v>
      </c>
      <c r="K507">
        <v>25921</v>
      </c>
      <c r="L507" t="s">
        <v>53</v>
      </c>
      <c r="M507" t="s">
        <v>54</v>
      </c>
      <c r="N507" t="s">
        <v>27</v>
      </c>
      <c r="O507" s="2">
        <v>45369</v>
      </c>
      <c r="P507" s="2">
        <v>45370.541666666664</v>
      </c>
      <c r="Q507" s="38">
        <f t="shared" si="7"/>
        <v>1.5416666666642413</v>
      </c>
      <c r="R507" t="s">
        <v>37</v>
      </c>
      <c r="S507" t="s">
        <v>29</v>
      </c>
      <c r="T507" t="s">
        <v>43</v>
      </c>
      <c r="U507">
        <v>6</v>
      </c>
      <c r="V507">
        <v>8</v>
      </c>
      <c r="W507" s="18">
        <f>IFERROR(Table1[[#This Row],[Staff Hours Worked]]/Table1[[#This Row],[Staff Available Hours]],0)</f>
        <v>0.75</v>
      </c>
      <c r="X507" t="s">
        <v>31</v>
      </c>
    </row>
    <row r="508" spans="1:24">
      <c r="A508" t="s">
        <v>565</v>
      </c>
      <c r="B508">
        <v>21</v>
      </c>
      <c r="C508" t="str" cm="1">
        <f t="array" ref="C508">_xlfn.IFS(B508&lt;=18,"0-18",B508&lt;=35,"19-35",B508&lt;=50,"36-50",B508&lt;=65,"51-65","True","65+")</f>
        <v>19-35</v>
      </c>
      <c r="D508" t="s">
        <v>62</v>
      </c>
      <c r="E508" s="6">
        <v>45631</v>
      </c>
      <c r="F508" s="6">
        <v>45430</v>
      </c>
      <c r="G508">
        <v>6</v>
      </c>
      <c r="H508" t="s">
        <v>23</v>
      </c>
      <c r="I508">
        <v>3</v>
      </c>
      <c r="J508" t="s">
        <v>24</v>
      </c>
      <c r="K508">
        <v>27745</v>
      </c>
      <c r="L508" t="s">
        <v>67</v>
      </c>
      <c r="M508" t="s">
        <v>54</v>
      </c>
      <c r="N508" t="s">
        <v>27</v>
      </c>
      <c r="O508" s="2">
        <v>45540</v>
      </c>
      <c r="P508" s="2">
        <v>45570.708333333336</v>
      </c>
      <c r="Q508" s="38">
        <f t="shared" si="7"/>
        <v>30.708333333335759</v>
      </c>
      <c r="R508" t="s">
        <v>42</v>
      </c>
      <c r="S508" t="s">
        <v>38</v>
      </c>
      <c r="T508" t="s">
        <v>30</v>
      </c>
      <c r="U508">
        <v>4</v>
      </c>
      <c r="V508">
        <v>10</v>
      </c>
      <c r="W508" s="18">
        <f>IFERROR(Table1[[#This Row],[Staff Hours Worked]]/Table1[[#This Row],[Staff Available Hours]],0)</f>
        <v>0.4</v>
      </c>
      <c r="X508" t="s">
        <v>48</v>
      </c>
    </row>
    <row r="509" spans="1:24">
      <c r="A509" t="s">
        <v>566</v>
      </c>
      <c r="B509">
        <v>36</v>
      </c>
      <c r="C509" t="str" cm="1">
        <f t="array" ref="C509">_xlfn.IFS(B509&lt;=18,"0-18",B509&lt;=35,"19-35",B509&lt;=50,"36-50",B509&lt;=65,"51-65","True","65+")</f>
        <v>36-50</v>
      </c>
      <c r="D509" t="s">
        <v>33</v>
      </c>
      <c r="E509" s="6">
        <v>44956</v>
      </c>
      <c r="F509" s="6">
        <v>44970</v>
      </c>
      <c r="G509">
        <v>14</v>
      </c>
      <c r="H509" t="s">
        <v>57</v>
      </c>
      <c r="I509">
        <v>3</v>
      </c>
      <c r="J509" t="s">
        <v>24</v>
      </c>
      <c r="K509">
        <v>6245</v>
      </c>
      <c r="L509" t="s">
        <v>25</v>
      </c>
      <c r="M509" t="s">
        <v>26</v>
      </c>
      <c r="N509" t="s">
        <v>27</v>
      </c>
      <c r="O509" s="2">
        <v>44954</v>
      </c>
      <c r="P509" s="2">
        <v>44954.75</v>
      </c>
      <c r="Q509" s="38">
        <f t="shared" si="7"/>
        <v>0.75</v>
      </c>
      <c r="R509" t="s">
        <v>28</v>
      </c>
      <c r="S509" t="s">
        <v>29</v>
      </c>
      <c r="T509" t="s">
        <v>47</v>
      </c>
      <c r="U509">
        <v>8</v>
      </c>
      <c r="V509">
        <v>12</v>
      </c>
      <c r="W509" s="18">
        <f>IFERROR(Table1[[#This Row],[Staff Hours Worked]]/Table1[[#This Row],[Staff Available Hours]],0)</f>
        <v>0.66666666666666663</v>
      </c>
      <c r="X509" t="s">
        <v>68</v>
      </c>
    </row>
    <row r="510" spans="1:24">
      <c r="A510" t="s">
        <v>567</v>
      </c>
      <c r="B510">
        <v>10</v>
      </c>
      <c r="C510" t="str" cm="1">
        <f t="array" ref="C510">_xlfn.IFS(B510&lt;=18,"0-18",B510&lt;=35,"19-35",B510&lt;=50,"36-50",B510&lt;=65,"51-65","True","65+")</f>
        <v>0-18</v>
      </c>
      <c r="D510" t="s">
        <v>52</v>
      </c>
      <c r="E510" s="6">
        <v>45353</v>
      </c>
      <c r="F510" s="6">
        <v>45506</v>
      </c>
      <c r="G510">
        <v>5</v>
      </c>
      <c r="H510" t="s">
        <v>34</v>
      </c>
      <c r="I510">
        <v>5</v>
      </c>
      <c r="J510" t="s">
        <v>46</v>
      </c>
      <c r="K510">
        <v>29853</v>
      </c>
      <c r="L510" t="s">
        <v>36</v>
      </c>
      <c r="M510" t="s">
        <v>54</v>
      </c>
      <c r="N510" t="s">
        <v>27</v>
      </c>
      <c r="O510" s="2">
        <v>45324</v>
      </c>
      <c r="P510" s="2">
        <v>45353.708333333336</v>
      </c>
      <c r="Q510" s="38">
        <f t="shared" si="7"/>
        <v>29.708333333335759</v>
      </c>
      <c r="R510" t="s">
        <v>42</v>
      </c>
      <c r="S510" t="s">
        <v>29</v>
      </c>
      <c r="T510" t="s">
        <v>47</v>
      </c>
      <c r="U510">
        <v>5</v>
      </c>
      <c r="V510">
        <v>8</v>
      </c>
      <c r="W510" s="18">
        <f>IFERROR(Table1[[#This Row],[Staff Hours Worked]]/Table1[[#This Row],[Staff Available Hours]],0)</f>
        <v>0.625</v>
      </c>
      <c r="X510" t="s">
        <v>31</v>
      </c>
    </row>
    <row r="511" spans="1:24">
      <c r="A511" t="s">
        <v>568</v>
      </c>
      <c r="B511">
        <v>73</v>
      </c>
      <c r="C511" t="str" cm="1">
        <f t="array" ref="C511">_xlfn.IFS(B511&lt;=18,"0-18",B511&lt;=35,"19-35",B511&lt;=50,"36-50",B511&lt;=65,"51-65","True","65+")</f>
        <v>65+</v>
      </c>
      <c r="D511" t="s">
        <v>45</v>
      </c>
      <c r="E511" s="6">
        <v>45242</v>
      </c>
      <c r="F511" s="6">
        <v>45273</v>
      </c>
      <c r="G511">
        <v>2</v>
      </c>
      <c r="H511" t="s">
        <v>23</v>
      </c>
      <c r="I511">
        <v>4</v>
      </c>
      <c r="J511" t="s">
        <v>66</v>
      </c>
      <c r="K511">
        <v>32632</v>
      </c>
      <c r="L511" t="s">
        <v>36</v>
      </c>
      <c r="M511" t="s">
        <v>54</v>
      </c>
      <c r="N511" t="s">
        <v>41</v>
      </c>
      <c r="O511" s="2">
        <v>45242</v>
      </c>
      <c r="P511" s="2">
        <v>45272.125</v>
      </c>
      <c r="Q511" s="38">
        <f t="shared" si="7"/>
        <v>30.125</v>
      </c>
      <c r="R511" t="s">
        <v>42</v>
      </c>
      <c r="S511" t="s">
        <v>29</v>
      </c>
      <c r="T511" t="s">
        <v>43</v>
      </c>
      <c r="U511">
        <v>5</v>
      </c>
      <c r="V511">
        <v>12</v>
      </c>
      <c r="W511" s="18">
        <f>IFERROR(Table1[[#This Row],[Staff Hours Worked]]/Table1[[#This Row],[Staff Available Hours]],0)</f>
        <v>0.41666666666666669</v>
      </c>
      <c r="X511" t="s">
        <v>31</v>
      </c>
    </row>
    <row r="512" spans="1:24">
      <c r="A512" t="s">
        <v>569</v>
      </c>
      <c r="B512">
        <v>24</v>
      </c>
      <c r="C512" t="str" cm="1">
        <f t="array" ref="C512">_xlfn.IFS(B512&lt;=18,"0-18",B512&lt;=35,"19-35",B512&lt;=50,"36-50",B512&lt;=65,"51-65","True","65+")</f>
        <v>19-35</v>
      </c>
      <c r="D512" t="s">
        <v>41</v>
      </c>
      <c r="E512" s="6">
        <v>45341</v>
      </c>
      <c r="F512" s="6">
        <v>45294</v>
      </c>
      <c r="G512">
        <v>11</v>
      </c>
      <c r="H512" t="s">
        <v>63</v>
      </c>
      <c r="I512">
        <v>5</v>
      </c>
      <c r="J512" t="s">
        <v>24</v>
      </c>
      <c r="K512">
        <v>17856</v>
      </c>
      <c r="L512" t="s">
        <v>60</v>
      </c>
      <c r="M512" t="s">
        <v>54</v>
      </c>
      <c r="N512" t="s">
        <v>27</v>
      </c>
      <c r="O512" s="2">
        <v>45339</v>
      </c>
      <c r="P512" s="2">
        <v>45340.041666666664</v>
      </c>
      <c r="Q512" s="38">
        <f t="shared" si="7"/>
        <v>1.0416666666642413</v>
      </c>
      <c r="R512" t="s">
        <v>37</v>
      </c>
      <c r="S512" t="s">
        <v>29</v>
      </c>
      <c r="T512" t="s">
        <v>47</v>
      </c>
      <c r="U512">
        <v>5</v>
      </c>
      <c r="V512">
        <v>12</v>
      </c>
      <c r="W512" s="18">
        <f>IFERROR(Table1[[#This Row],[Staff Hours Worked]]/Table1[[#This Row],[Staff Available Hours]],0)</f>
        <v>0.41666666666666669</v>
      </c>
      <c r="X512" t="s">
        <v>48</v>
      </c>
    </row>
    <row r="513" spans="1:24">
      <c r="A513" t="s">
        <v>570</v>
      </c>
      <c r="B513">
        <v>64</v>
      </c>
      <c r="C513" t="str" cm="1">
        <f t="array" ref="C513">_xlfn.IFS(B513&lt;=18,"0-18",B513&lt;=35,"19-35",B513&lt;=50,"36-50",B513&lt;=65,"51-65","True","65+")</f>
        <v>51-65</v>
      </c>
      <c r="D513" t="s">
        <v>41</v>
      </c>
      <c r="E513" s="6">
        <v>45096</v>
      </c>
      <c r="F513" s="6">
        <v>44992</v>
      </c>
      <c r="G513">
        <v>14</v>
      </c>
      <c r="H513" t="s">
        <v>63</v>
      </c>
      <c r="I513">
        <v>5</v>
      </c>
      <c r="J513" t="s">
        <v>35</v>
      </c>
      <c r="K513">
        <v>10105</v>
      </c>
      <c r="L513" t="s">
        <v>53</v>
      </c>
      <c r="M513" t="s">
        <v>26</v>
      </c>
      <c r="N513" t="s">
        <v>41</v>
      </c>
      <c r="O513" s="2">
        <v>45095</v>
      </c>
      <c r="P513" s="2">
        <v>45096.208333333336</v>
      </c>
      <c r="Q513" s="38">
        <f t="shared" si="7"/>
        <v>1.2083333333357587</v>
      </c>
      <c r="R513" t="s">
        <v>64</v>
      </c>
      <c r="S513" t="s">
        <v>29</v>
      </c>
      <c r="T513" t="s">
        <v>47</v>
      </c>
      <c r="U513">
        <v>10</v>
      </c>
      <c r="V513">
        <v>8</v>
      </c>
      <c r="W513" s="18">
        <f>IFERROR(Table1[[#This Row],[Staff Hours Worked]]/Table1[[#This Row],[Staff Available Hours]],0)</f>
        <v>1.25</v>
      </c>
      <c r="X513" t="s">
        <v>31</v>
      </c>
    </row>
    <row r="514" spans="1:24">
      <c r="A514" t="s">
        <v>571</v>
      </c>
      <c r="B514">
        <v>49</v>
      </c>
      <c r="C514" t="str" cm="1">
        <f t="array" ref="C514">_xlfn.IFS(B514&lt;=18,"0-18",B514&lt;=35,"19-35",B514&lt;=50,"36-50",B514&lt;=65,"51-65","True","65+")</f>
        <v>36-50</v>
      </c>
      <c r="D514" t="s">
        <v>62</v>
      </c>
      <c r="E514" s="6">
        <v>45405</v>
      </c>
      <c r="F514" s="6">
        <v>45478</v>
      </c>
      <c r="G514">
        <v>14</v>
      </c>
      <c r="H514" t="s">
        <v>50</v>
      </c>
      <c r="I514">
        <v>4</v>
      </c>
      <c r="J514" t="s">
        <v>46</v>
      </c>
      <c r="K514">
        <v>40690</v>
      </c>
      <c r="L514" t="s">
        <v>60</v>
      </c>
      <c r="M514" t="s">
        <v>26</v>
      </c>
      <c r="N514" t="s">
        <v>27</v>
      </c>
      <c r="O514" s="2">
        <v>45400</v>
      </c>
      <c r="P514" s="2">
        <v>45400.208333333336</v>
      </c>
      <c r="Q514" s="38">
        <f t="shared" ref="Q514:Q577" si="8">IF(OR(O514="",P514=""),"",ABS(P514-O514))</f>
        <v>0.20833333333575865</v>
      </c>
      <c r="R514" t="s">
        <v>42</v>
      </c>
      <c r="S514" t="s">
        <v>29</v>
      </c>
      <c r="T514" t="s">
        <v>43</v>
      </c>
      <c r="U514">
        <v>9</v>
      </c>
      <c r="V514">
        <v>12</v>
      </c>
      <c r="W514" s="18">
        <f>IFERROR(Table1[[#This Row],[Staff Hours Worked]]/Table1[[#This Row],[Staff Available Hours]],0)</f>
        <v>0.75</v>
      </c>
      <c r="X514" t="s">
        <v>68</v>
      </c>
    </row>
    <row r="515" spans="1:24">
      <c r="A515" t="s">
        <v>572</v>
      </c>
      <c r="B515">
        <v>36</v>
      </c>
      <c r="C515" t="str" cm="1">
        <f t="array" ref="C515">_xlfn.IFS(B515&lt;=18,"0-18",B515&lt;=35,"19-35",B515&lt;=50,"36-50",B515&lt;=65,"51-65","True","65+")</f>
        <v>36-50</v>
      </c>
      <c r="D515" t="s">
        <v>45</v>
      </c>
      <c r="E515" s="6">
        <v>45235</v>
      </c>
      <c r="F515" s="6">
        <v>45059</v>
      </c>
      <c r="G515">
        <v>2</v>
      </c>
      <c r="H515" t="s">
        <v>34</v>
      </c>
      <c r="I515">
        <v>4</v>
      </c>
      <c r="J515" t="s">
        <v>71</v>
      </c>
      <c r="K515">
        <v>7513</v>
      </c>
      <c r="L515" t="s">
        <v>67</v>
      </c>
      <c r="M515" t="s">
        <v>54</v>
      </c>
      <c r="N515" t="s">
        <v>27</v>
      </c>
      <c r="O515" s="2">
        <v>45143</v>
      </c>
      <c r="P515" s="2">
        <v>45174.708333333336</v>
      </c>
      <c r="Q515" s="38">
        <f t="shared" si="8"/>
        <v>31.708333333335759</v>
      </c>
      <c r="R515" t="s">
        <v>42</v>
      </c>
      <c r="S515" t="s">
        <v>29</v>
      </c>
      <c r="T515" t="s">
        <v>30</v>
      </c>
      <c r="U515">
        <v>7</v>
      </c>
      <c r="V515">
        <v>10</v>
      </c>
      <c r="W515" s="18">
        <f>IFERROR(Table1[[#This Row],[Staff Hours Worked]]/Table1[[#This Row],[Staff Available Hours]],0)</f>
        <v>0.7</v>
      </c>
      <c r="X515" t="s">
        <v>48</v>
      </c>
    </row>
    <row r="516" spans="1:24">
      <c r="A516" t="s">
        <v>573</v>
      </c>
      <c r="B516">
        <v>82</v>
      </c>
      <c r="C516" t="str" cm="1">
        <f t="array" ref="C516">_xlfn.IFS(B516&lt;=18,"0-18",B516&lt;=35,"19-35",B516&lt;=50,"36-50",B516&lt;=65,"51-65","True","65+")</f>
        <v>65+</v>
      </c>
      <c r="D516" t="s">
        <v>52</v>
      </c>
      <c r="E516" s="6">
        <v>44954</v>
      </c>
      <c r="F516" s="6">
        <v>45109</v>
      </c>
      <c r="G516">
        <v>10</v>
      </c>
      <c r="H516" t="s">
        <v>23</v>
      </c>
      <c r="I516">
        <v>4</v>
      </c>
      <c r="J516" t="s">
        <v>46</v>
      </c>
      <c r="K516">
        <v>7801</v>
      </c>
      <c r="L516" t="s">
        <v>36</v>
      </c>
      <c r="M516" t="s">
        <v>54</v>
      </c>
      <c r="N516" t="s">
        <v>41</v>
      </c>
      <c r="O516" s="2">
        <v>44949</v>
      </c>
      <c r="P516" s="2">
        <v>44949.25</v>
      </c>
      <c r="Q516" s="38">
        <f t="shared" si="8"/>
        <v>0.25</v>
      </c>
      <c r="R516" t="s">
        <v>28</v>
      </c>
      <c r="S516" t="s">
        <v>29</v>
      </c>
      <c r="T516" t="s">
        <v>43</v>
      </c>
      <c r="U516">
        <v>11</v>
      </c>
      <c r="V516">
        <v>12</v>
      </c>
      <c r="W516" s="18">
        <f>IFERROR(Table1[[#This Row],[Staff Hours Worked]]/Table1[[#This Row],[Staff Available Hours]],0)</f>
        <v>0.91666666666666663</v>
      </c>
      <c r="X516" t="s">
        <v>48</v>
      </c>
    </row>
    <row r="517" spans="1:24">
      <c r="A517" t="s">
        <v>574</v>
      </c>
      <c r="B517">
        <v>24</v>
      </c>
      <c r="C517" t="str" cm="1">
        <f t="array" ref="C517">_xlfn.IFS(B517&lt;=18,"0-18",B517&lt;=35,"19-35",B517&lt;=50,"36-50",B517&lt;=65,"51-65","True","65+")</f>
        <v>19-35</v>
      </c>
      <c r="D517" t="s">
        <v>45</v>
      </c>
      <c r="E517" s="6">
        <v>45506</v>
      </c>
      <c r="F517" s="6">
        <v>45340</v>
      </c>
      <c r="G517">
        <v>10</v>
      </c>
      <c r="H517" t="s">
        <v>23</v>
      </c>
      <c r="I517">
        <v>4</v>
      </c>
      <c r="J517" t="s">
        <v>71</v>
      </c>
      <c r="K517">
        <v>37345</v>
      </c>
      <c r="L517" t="s">
        <v>53</v>
      </c>
      <c r="M517" t="s">
        <v>26</v>
      </c>
      <c r="N517" t="s">
        <v>41</v>
      </c>
      <c r="O517" s="2">
        <v>45445</v>
      </c>
      <c r="P517" s="2">
        <v>45475.083333333336</v>
      </c>
      <c r="Q517" s="38">
        <f t="shared" si="8"/>
        <v>30.083333333335759</v>
      </c>
      <c r="R517" t="s">
        <v>28</v>
      </c>
      <c r="S517" t="s">
        <v>38</v>
      </c>
      <c r="T517" t="s">
        <v>43</v>
      </c>
      <c r="U517">
        <v>10</v>
      </c>
      <c r="V517">
        <v>12</v>
      </c>
      <c r="W517" s="18">
        <f>IFERROR(Table1[[#This Row],[Staff Hours Worked]]/Table1[[#This Row],[Staff Available Hours]],0)</f>
        <v>0.83333333333333337</v>
      </c>
      <c r="X517" t="s">
        <v>31</v>
      </c>
    </row>
    <row r="518" spans="1:24">
      <c r="A518" t="s">
        <v>575</v>
      </c>
      <c r="B518">
        <v>23</v>
      </c>
      <c r="C518" t="str" cm="1">
        <f t="array" ref="C518">_xlfn.IFS(B518&lt;=18,"0-18",B518&lt;=35,"19-35",B518&lt;=50,"36-50",B518&lt;=65,"51-65","True","65+")</f>
        <v>19-35</v>
      </c>
      <c r="D518" t="s">
        <v>45</v>
      </c>
      <c r="E518" s="6">
        <v>44954</v>
      </c>
      <c r="F518" s="6">
        <v>45079</v>
      </c>
      <c r="G518">
        <v>9</v>
      </c>
      <c r="H518" t="s">
        <v>40</v>
      </c>
      <c r="I518">
        <v>4</v>
      </c>
      <c r="J518" t="s">
        <v>66</v>
      </c>
      <c r="K518">
        <v>18895</v>
      </c>
      <c r="L518" t="s">
        <v>67</v>
      </c>
      <c r="M518" t="s">
        <v>54</v>
      </c>
      <c r="N518" t="s">
        <v>27</v>
      </c>
      <c r="O518" s="2">
        <v>44949</v>
      </c>
      <c r="P518" s="2">
        <v>44950.375</v>
      </c>
      <c r="Q518" s="38">
        <f t="shared" si="8"/>
        <v>1.375</v>
      </c>
      <c r="R518" t="s">
        <v>28</v>
      </c>
      <c r="S518" t="s">
        <v>29</v>
      </c>
      <c r="T518" t="s">
        <v>43</v>
      </c>
      <c r="U518">
        <v>9</v>
      </c>
      <c r="V518">
        <v>12</v>
      </c>
      <c r="W518" s="18">
        <f>IFERROR(Table1[[#This Row],[Staff Hours Worked]]/Table1[[#This Row],[Staff Available Hours]],0)</f>
        <v>0.75</v>
      </c>
      <c r="X518" t="s">
        <v>31</v>
      </c>
    </row>
    <row r="519" spans="1:24">
      <c r="A519" t="s">
        <v>576</v>
      </c>
      <c r="B519">
        <v>62</v>
      </c>
      <c r="C519" t="str" cm="1">
        <f t="array" ref="C519">_xlfn.IFS(B519&lt;=18,"0-18",B519&lt;=35,"19-35",B519&lt;=50,"36-50",B519&lt;=65,"51-65","True","65+")</f>
        <v>51-65</v>
      </c>
      <c r="D519" t="s">
        <v>52</v>
      </c>
      <c r="E519" s="6">
        <v>45012</v>
      </c>
      <c r="F519" s="6">
        <v>44989</v>
      </c>
      <c r="G519">
        <v>7</v>
      </c>
      <c r="H519" t="s">
        <v>50</v>
      </c>
      <c r="I519">
        <v>5</v>
      </c>
      <c r="J519" t="s">
        <v>71</v>
      </c>
      <c r="K519">
        <v>44749</v>
      </c>
      <c r="L519" t="s">
        <v>67</v>
      </c>
      <c r="M519" t="s">
        <v>54</v>
      </c>
      <c r="N519" t="s">
        <v>27</v>
      </c>
      <c r="O519" s="2">
        <v>45011</v>
      </c>
      <c r="P519" s="2">
        <v>45013</v>
      </c>
      <c r="Q519" s="38">
        <f t="shared" si="8"/>
        <v>2</v>
      </c>
      <c r="R519" t="s">
        <v>55</v>
      </c>
      <c r="S519" t="s">
        <v>29</v>
      </c>
      <c r="T519" t="s">
        <v>30</v>
      </c>
      <c r="U519">
        <v>5</v>
      </c>
      <c r="V519">
        <v>10</v>
      </c>
      <c r="W519" s="18">
        <f>IFERROR(Table1[[#This Row],[Staff Hours Worked]]/Table1[[#This Row],[Staff Available Hours]],0)</f>
        <v>0.5</v>
      </c>
      <c r="X519" t="s">
        <v>31</v>
      </c>
    </row>
    <row r="520" spans="1:24">
      <c r="A520" t="s">
        <v>577</v>
      </c>
      <c r="B520">
        <v>37</v>
      </c>
      <c r="C520" t="str" cm="1">
        <f t="array" ref="C520">_xlfn.IFS(B520&lt;=18,"0-18",B520&lt;=35,"19-35",B520&lt;=50,"36-50",B520&lt;=65,"51-65","True","65+")</f>
        <v>36-50</v>
      </c>
      <c r="D520" t="s">
        <v>33</v>
      </c>
      <c r="E520" s="6">
        <v>45365</v>
      </c>
      <c r="F520" s="6">
        <v>45373</v>
      </c>
      <c r="G520">
        <v>8</v>
      </c>
      <c r="H520" t="s">
        <v>50</v>
      </c>
      <c r="I520">
        <v>2</v>
      </c>
      <c r="J520" t="s">
        <v>66</v>
      </c>
      <c r="K520">
        <v>13221</v>
      </c>
      <c r="L520" t="s">
        <v>53</v>
      </c>
      <c r="M520" t="s">
        <v>54</v>
      </c>
      <c r="N520" t="s">
        <v>27</v>
      </c>
      <c r="O520" s="2">
        <v>45365</v>
      </c>
      <c r="P520" s="2">
        <v>45365.75</v>
      </c>
      <c r="Q520" s="38">
        <f t="shared" si="8"/>
        <v>0.75</v>
      </c>
      <c r="R520" t="s">
        <v>42</v>
      </c>
      <c r="S520" t="s">
        <v>29</v>
      </c>
      <c r="T520" t="s">
        <v>30</v>
      </c>
      <c r="U520">
        <v>8</v>
      </c>
      <c r="V520">
        <v>12</v>
      </c>
      <c r="W520" s="18">
        <f>IFERROR(Table1[[#This Row],[Staff Hours Worked]]/Table1[[#This Row],[Staff Available Hours]],0)</f>
        <v>0.66666666666666663</v>
      </c>
      <c r="X520" t="s">
        <v>48</v>
      </c>
    </row>
    <row r="521" spans="1:24">
      <c r="A521" t="s">
        <v>578</v>
      </c>
      <c r="B521">
        <v>12</v>
      </c>
      <c r="C521" t="str" cm="1">
        <f t="array" ref="C521">_xlfn.IFS(B521&lt;=18,"0-18",B521&lt;=35,"19-35",B521&lt;=50,"36-50",B521&lt;=65,"51-65","True","65+")</f>
        <v>0-18</v>
      </c>
      <c r="D521" t="s">
        <v>45</v>
      </c>
      <c r="E521" s="6">
        <v>45065</v>
      </c>
      <c r="F521" s="6">
        <v>45075</v>
      </c>
      <c r="G521">
        <v>10</v>
      </c>
      <c r="H521" t="s">
        <v>23</v>
      </c>
      <c r="I521">
        <v>2</v>
      </c>
      <c r="J521" t="s">
        <v>35</v>
      </c>
      <c r="K521">
        <v>11038</v>
      </c>
      <c r="L521" t="s">
        <v>67</v>
      </c>
      <c r="M521" t="s">
        <v>26</v>
      </c>
      <c r="N521" t="s">
        <v>41</v>
      </c>
      <c r="O521" s="2">
        <v>45060</v>
      </c>
      <c r="P521" s="2">
        <v>45061.875</v>
      </c>
      <c r="Q521" s="38">
        <f t="shared" si="8"/>
        <v>1.875</v>
      </c>
      <c r="R521" t="s">
        <v>28</v>
      </c>
      <c r="S521" t="s">
        <v>29</v>
      </c>
      <c r="T521" t="s">
        <v>30</v>
      </c>
      <c r="U521">
        <v>11</v>
      </c>
      <c r="V521">
        <v>12</v>
      </c>
      <c r="W521" s="18">
        <f>IFERROR(Table1[[#This Row],[Staff Hours Worked]]/Table1[[#This Row],[Staff Available Hours]],0)</f>
        <v>0.91666666666666663</v>
      </c>
      <c r="X521" t="s">
        <v>31</v>
      </c>
    </row>
    <row r="522" spans="1:24">
      <c r="A522" t="s">
        <v>579</v>
      </c>
      <c r="B522">
        <v>55</v>
      </c>
      <c r="C522" t="str" cm="1">
        <f t="array" ref="C522">_xlfn.IFS(B522&lt;=18,"0-18",B522&lt;=35,"19-35",B522&lt;=50,"36-50",B522&lt;=65,"51-65","True","65+")</f>
        <v>51-65</v>
      </c>
      <c r="D522" t="s">
        <v>45</v>
      </c>
      <c r="E522" s="6">
        <v>45399</v>
      </c>
      <c r="F522" s="6">
        <v>45408</v>
      </c>
      <c r="G522">
        <v>9</v>
      </c>
      <c r="H522" t="s">
        <v>23</v>
      </c>
      <c r="I522">
        <v>1</v>
      </c>
      <c r="J522" t="s">
        <v>71</v>
      </c>
      <c r="K522">
        <v>37031</v>
      </c>
      <c r="L522" t="s">
        <v>53</v>
      </c>
      <c r="M522" t="s">
        <v>54</v>
      </c>
      <c r="N522" t="s">
        <v>41</v>
      </c>
      <c r="O522" s="2">
        <v>45397</v>
      </c>
      <c r="P522" s="2">
        <v>45398</v>
      </c>
      <c r="Q522" s="38">
        <f t="shared" si="8"/>
        <v>1</v>
      </c>
      <c r="R522" t="s">
        <v>37</v>
      </c>
      <c r="S522" t="s">
        <v>29</v>
      </c>
      <c r="T522" t="s">
        <v>30</v>
      </c>
      <c r="U522">
        <v>6</v>
      </c>
      <c r="V522">
        <v>10</v>
      </c>
      <c r="W522" s="18">
        <f>IFERROR(Table1[[#This Row],[Staff Hours Worked]]/Table1[[#This Row],[Staff Available Hours]],0)</f>
        <v>0.6</v>
      </c>
      <c r="X522" t="s">
        <v>68</v>
      </c>
    </row>
    <row r="523" spans="1:24">
      <c r="A523" t="s">
        <v>580</v>
      </c>
      <c r="B523">
        <v>13</v>
      </c>
      <c r="C523" t="str" cm="1">
        <f t="array" ref="C523">_xlfn.IFS(B523&lt;=18,"0-18",B523&lt;=35,"19-35",B523&lt;=50,"36-50",B523&lt;=65,"51-65","True","65+")</f>
        <v>0-18</v>
      </c>
      <c r="D523" t="s">
        <v>33</v>
      </c>
      <c r="E523" s="6">
        <v>45084</v>
      </c>
      <c r="F523" s="6">
        <v>45126</v>
      </c>
      <c r="G523">
        <v>13</v>
      </c>
      <c r="H523" t="s">
        <v>57</v>
      </c>
      <c r="I523">
        <v>2</v>
      </c>
      <c r="J523" t="s">
        <v>46</v>
      </c>
      <c r="K523">
        <v>20082</v>
      </c>
      <c r="L523" t="s">
        <v>53</v>
      </c>
      <c r="M523" t="s">
        <v>26</v>
      </c>
      <c r="N523" t="s">
        <v>27</v>
      </c>
      <c r="O523" s="2">
        <v>45023</v>
      </c>
      <c r="P523" s="2">
        <v>45053.25</v>
      </c>
      <c r="Q523" s="38">
        <f t="shared" si="8"/>
        <v>30.25</v>
      </c>
      <c r="R523" t="s">
        <v>55</v>
      </c>
      <c r="S523" t="s">
        <v>38</v>
      </c>
      <c r="T523" t="s">
        <v>43</v>
      </c>
      <c r="U523">
        <v>9</v>
      </c>
      <c r="V523">
        <v>8</v>
      </c>
      <c r="W523" s="18">
        <f>IFERROR(Table1[[#This Row],[Staff Hours Worked]]/Table1[[#This Row],[Staff Available Hours]],0)</f>
        <v>1.125</v>
      </c>
      <c r="X523" t="s">
        <v>31</v>
      </c>
    </row>
    <row r="524" spans="1:24">
      <c r="A524" t="s">
        <v>581</v>
      </c>
      <c r="B524">
        <v>23</v>
      </c>
      <c r="C524" t="str" cm="1">
        <f t="array" ref="C524">_xlfn.IFS(B524&lt;=18,"0-18",B524&lt;=35,"19-35",B524&lt;=50,"36-50",B524&lt;=65,"51-65","True","65+")</f>
        <v>19-35</v>
      </c>
      <c r="D524" t="s">
        <v>45</v>
      </c>
      <c r="E524" s="6">
        <v>44978</v>
      </c>
      <c r="F524" s="6">
        <v>45049</v>
      </c>
      <c r="G524">
        <v>12</v>
      </c>
      <c r="H524" t="s">
        <v>57</v>
      </c>
      <c r="I524">
        <v>2</v>
      </c>
      <c r="J524" t="s">
        <v>66</v>
      </c>
      <c r="K524">
        <v>19648</v>
      </c>
      <c r="L524" t="s">
        <v>25</v>
      </c>
      <c r="M524" t="s">
        <v>54</v>
      </c>
      <c r="N524" t="s">
        <v>27</v>
      </c>
      <c r="O524" s="2">
        <v>44974</v>
      </c>
      <c r="P524" s="2">
        <v>44975.333333333336</v>
      </c>
      <c r="Q524" s="38">
        <f t="shared" si="8"/>
        <v>1.3333333333357587</v>
      </c>
      <c r="R524" t="s">
        <v>64</v>
      </c>
      <c r="S524" t="s">
        <v>29</v>
      </c>
      <c r="T524" t="s">
        <v>47</v>
      </c>
      <c r="U524">
        <v>8</v>
      </c>
      <c r="V524">
        <v>8</v>
      </c>
      <c r="W524" s="18">
        <f>IFERROR(Table1[[#This Row],[Staff Hours Worked]]/Table1[[#This Row],[Staff Available Hours]],0)</f>
        <v>1</v>
      </c>
      <c r="X524" t="s">
        <v>31</v>
      </c>
    </row>
    <row r="525" spans="1:24">
      <c r="A525" t="s">
        <v>582</v>
      </c>
      <c r="B525">
        <v>89</v>
      </c>
      <c r="C525" t="str" cm="1">
        <f t="array" ref="C525">_xlfn.IFS(B525&lt;=18,"0-18",B525&lt;=35,"19-35",B525&lt;=50,"36-50",B525&lt;=65,"51-65","True","65+")</f>
        <v>65+</v>
      </c>
      <c r="D525" t="s">
        <v>45</v>
      </c>
      <c r="E525" s="6">
        <v>45193</v>
      </c>
      <c r="F525" s="6">
        <v>45179</v>
      </c>
      <c r="G525">
        <v>15</v>
      </c>
      <c r="H525" t="s">
        <v>57</v>
      </c>
      <c r="I525">
        <v>5</v>
      </c>
      <c r="J525" t="s">
        <v>46</v>
      </c>
      <c r="K525">
        <v>5364</v>
      </c>
      <c r="L525" t="s">
        <v>60</v>
      </c>
      <c r="M525" t="s">
        <v>26</v>
      </c>
      <c r="N525" t="s">
        <v>41</v>
      </c>
      <c r="O525" s="2">
        <v>45188</v>
      </c>
      <c r="P525" s="2">
        <v>45188.875</v>
      </c>
      <c r="Q525" s="38">
        <f t="shared" si="8"/>
        <v>0.875</v>
      </c>
      <c r="R525" t="s">
        <v>42</v>
      </c>
      <c r="S525" t="s">
        <v>29</v>
      </c>
      <c r="T525" t="s">
        <v>43</v>
      </c>
      <c r="U525">
        <v>10</v>
      </c>
      <c r="V525">
        <v>8</v>
      </c>
      <c r="W525" s="18">
        <f>IFERROR(Table1[[#This Row],[Staff Hours Worked]]/Table1[[#This Row],[Staff Available Hours]],0)</f>
        <v>1.25</v>
      </c>
      <c r="X525" t="s">
        <v>48</v>
      </c>
    </row>
    <row r="526" spans="1:24">
      <c r="A526" t="s">
        <v>583</v>
      </c>
      <c r="B526">
        <v>30</v>
      </c>
      <c r="C526" t="str" cm="1">
        <f t="array" ref="C526">_xlfn.IFS(B526&lt;=18,"0-18",B526&lt;=35,"19-35",B526&lt;=50,"36-50",B526&lt;=65,"51-65","True","65+")</f>
        <v>19-35</v>
      </c>
      <c r="D526" t="s">
        <v>45</v>
      </c>
      <c r="E526" s="6">
        <v>45315</v>
      </c>
      <c r="F526" s="6">
        <v>45316</v>
      </c>
      <c r="G526">
        <v>1</v>
      </c>
      <c r="H526" t="s">
        <v>50</v>
      </c>
      <c r="I526">
        <v>4</v>
      </c>
      <c r="J526" t="s">
        <v>24</v>
      </c>
      <c r="K526">
        <v>39568</v>
      </c>
      <c r="L526" t="s">
        <v>67</v>
      </c>
      <c r="M526" t="s">
        <v>26</v>
      </c>
      <c r="N526" t="s">
        <v>27</v>
      </c>
      <c r="O526" s="2">
        <v>45314</v>
      </c>
      <c r="P526" s="2">
        <v>45315.583333333336</v>
      </c>
      <c r="Q526" s="38">
        <f t="shared" si="8"/>
        <v>1.5833333333357587</v>
      </c>
      <c r="R526" t="s">
        <v>42</v>
      </c>
      <c r="S526" t="s">
        <v>29</v>
      </c>
      <c r="T526" t="s">
        <v>30</v>
      </c>
      <c r="U526">
        <v>10</v>
      </c>
      <c r="V526">
        <v>12</v>
      </c>
      <c r="W526" s="18">
        <f>IFERROR(Table1[[#This Row],[Staff Hours Worked]]/Table1[[#This Row],[Staff Available Hours]],0)</f>
        <v>0.83333333333333337</v>
      </c>
      <c r="X526" t="s">
        <v>31</v>
      </c>
    </row>
    <row r="527" spans="1:24">
      <c r="A527" t="s">
        <v>584</v>
      </c>
      <c r="B527">
        <v>17</v>
      </c>
      <c r="C527" t="str" cm="1">
        <f t="array" ref="C527">_xlfn.IFS(B527&lt;=18,"0-18",B527&lt;=35,"19-35",B527&lt;=50,"36-50",B527&lt;=65,"51-65","True","65+")</f>
        <v>0-18</v>
      </c>
      <c r="D527" t="s">
        <v>41</v>
      </c>
      <c r="E527" s="6">
        <v>44969</v>
      </c>
      <c r="F527" s="6">
        <v>45211</v>
      </c>
      <c r="G527">
        <v>8</v>
      </c>
      <c r="H527" t="s">
        <v>40</v>
      </c>
      <c r="I527">
        <v>4</v>
      </c>
      <c r="J527" t="s">
        <v>66</v>
      </c>
      <c r="K527">
        <v>19110</v>
      </c>
      <c r="L527" t="s">
        <v>67</v>
      </c>
      <c r="M527" t="s">
        <v>54</v>
      </c>
      <c r="N527" t="s">
        <v>41</v>
      </c>
      <c r="O527" s="2">
        <v>44938</v>
      </c>
      <c r="P527" s="2">
        <v>44938.041666666664</v>
      </c>
      <c r="Q527" s="38">
        <f t="shared" si="8"/>
        <v>4.1666666664241347E-2</v>
      </c>
      <c r="R527" t="s">
        <v>37</v>
      </c>
      <c r="S527" t="s">
        <v>29</v>
      </c>
      <c r="T527" t="s">
        <v>47</v>
      </c>
      <c r="U527">
        <v>11</v>
      </c>
      <c r="V527">
        <v>8</v>
      </c>
      <c r="W527" s="18">
        <f>IFERROR(Table1[[#This Row],[Staff Hours Worked]]/Table1[[#This Row],[Staff Available Hours]],0)</f>
        <v>1.375</v>
      </c>
      <c r="X527" t="s">
        <v>48</v>
      </c>
    </row>
    <row r="528" spans="1:24">
      <c r="A528" t="s">
        <v>585</v>
      </c>
      <c r="B528">
        <v>62</v>
      </c>
      <c r="C528" t="str" cm="1">
        <f t="array" ref="C528">_xlfn.IFS(B528&lt;=18,"0-18",B528&lt;=35,"19-35",B528&lt;=50,"36-50",B528&lt;=65,"51-65","True","65+")</f>
        <v>51-65</v>
      </c>
      <c r="D528" t="s">
        <v>22</v>
      </c>
      <c r="E528" s="6">
        <v>45054</v>
      </c>
      <c r="F528" s="6">
        <v>45158</v>
      </c>
      <c r="G528">
        <v>15</v>
      </c>
      <c r="H528" t="s">
        <v>63</v>
      </c>
      <c r="I528">
        <v>5</v>
      </c>
      <c r="J528" t="s">
        <v>71</v>
      </c>
      <c r="K528">
        <v>10958</v>
      </c>
      <c r="L528" t="s">
        <v>25</v>
      </c>
      <c r="M528" t="s">
        <v>54</v>
      </c>
      <c r="N528" t="s">
        <v>27</v>
      </c>
      <c r="O528" s="2">
        <v>44934</v>
      </c>
      <c r="P528" s="2">
        <v>44965.958333333336</v>
      </c>
      <c r="Q528" s="38">
        <f t="shared" si="8"/>
        <v>31.958333333335759</v>
      </c>
      <c r="R528" t="s">
        <v>64</v>
      </c>
      <c r="S528" t="s">
        <v>29</v>
      </c>
      <c r="T528" t="s">
        <v>43</v>
      </c>
      <c r="U528">
        <v>5</v>
      </c>
      <c r="V528">
        <v>10</v>
      </c>
      <c r="W528" s="18">
        <f>IFERROR(Table1[[#This Row],[Staff Hours Worked]]/Table1[[#This Row],[Staff Available Hours]],0)</f>
        <v>0.5</v>
      </c>
      <c r="X528" t="s">
        <v>31</v>
      </c>
    </row>
    <row r="529" spans="1:24">
      <c r="A529" t="s">
        <v>586</v>
      </c>
      <c r="B529">
        <v>84</v>
      </c>
      <c r="C529" t="str" cm="1">
        <f t="array" ref="C529">_xlfn.IFS(B529&lt;=18,"0-18",B529&lt;=35,"19-35",B529&lt;=50,"36-50",B529&lt;=65,"51-65","True","65+")</f>
        <v>65+</v>
      </c>
      <c r="D529" t="s">
        <v>33</v>
      </c>
      <c r="E529" s="6">
        <v>45569</v>
      </c>
      <c r="F529" s="6">
        <v>45405</v>
      </c>
      <c r="G529">
        <v>13</v>
      </c>
      <c r="H529" t="s">
        <v>57</v>
      </c>
      <c r="I529">
        <v>2</v>
      </c>
      <c r="J529" t="s">
        <v>66</v>
      </c>
      <c r="K529">
        <v>14096</v>
      </c>
      <c r="L529" t="s">
        <v>25</v>
      </c>
      <c r="M529" t="s">
        <v>54</v>
      </c>
      <c r="N529" t="s">
        <v>27</v>
      </c>
      <c r="O529" s="2">
        <v>45416</v>
      </c>
      <c r="P529" s="2">
        <v>45416.25</v>
      </c>
      <c r="Q529" s="38">
        <f t="shared" si="8"/>
        <v>0.25</v>
      </c>
      <c r="R529" t="s">
        <v>64</v>
      </c>
      <c r="S529" t="s">
        <v>29</v>
      </c>
      <c r="T529" t="s">
        <v>47</v>
      </c>
      <c r="U529">
        <v>6</v>
      </c>
      <c r="V529">
        <v>12</v>
      </c>
      <c r="W529" s="18">
        <f>IFERROR(Table1[[#This Row],[Staff Hours Worked]]/Table1[[#This Row],[Staff Available Hours]],0)</f>
        <v>0.5</v>
      </c>
      <c r="X529" t="s">
        <v>68</v>
      </c>
    </row>
    <row r="530" spans="1:24">
      <c r="A530" t="s">
        <v>587</v>
      </c>
      <c r="B530">
        <v>89</v>
      </c>
      <c r="C530" t="str" cm="1">
        <f t="array" ref="C530">_xlfn.IFS(B530&lt;=18,"0-18",B530&lt;=35,"19-35",B530&lt;=50,"36-50",B530&lt;=65,"51-65","True","65+")</f>
        <v>65+</v>
      </c>
      <c r="D530" t="s">
        <v>45</v>
      </c>
      <c r="E530" s="6">
        <v>44938</v>
      </c>
      <c r="F530" s="6">
        <v>45242</v>
      </c>
      <c r="G530">
        <v>10</v>
      </c>
      <c r="H530" t="s">
        <v>40</v>
      </c>
      <c r="I530">
        <v>5</v>
      </c>
      <c r="J530" t="s">
        <v>46</v>
      </c>
      <c r="K530">
        <v>12436</v>
      </c>
      <c r="L530" t="s">
        <v>25</v>
      </c>
      <c r="M530" t="s">
        <v>54</v>
      </c>
      <c r="N530" t="s">
        <v>27</v>
      </c>
      <c r="O530" s="2">
        <v>45258</v>
      </c>
      <c r="P530" s="2">
        <v>45259.958333333336</v>
      </c>
      <c r="Q530" s="38">
        <f t="shared" si="8"/>
        <v>1.9583333333357587</v>
      </c>
      <c r="R530" t="s">
        <v>55</v>
      </c>
      <c r="S530" t="s">
        <v>29</v>
      </c>
      <c r="T530" t="s">
        <v>30</v>
      </c>
      <c r="U530">
        <v>4</v>
      </c>
      <c r="V530">
        <v>12</v>
      </c>
      <c r="W530" s="18">
        <f>IFERROR(Table1[[#This Row],[Staff Hours Worked]]/Table1[[#This Row],[Staff Available Hours]],0)</f>
        <v>0.33333333333333331</v>
      </c>
      <c r="X530" t="s">
        <v>68</v>
      </c>
    </row>
    <row r="531" spans="1:24">
      <c r="A531" t="s">
        <v>588</v>
      </c>
      <c r="B531">
        <v>86</v>
      </c>
      <c r="C531" t="str" cm="1">
        <f t="array" ref="C531">_xlfn.IFS(B531&lt;=18,"0-18",B531&lt;=35,"19-35",B531&lt;=50,"36-50",B531&lt;=65,"51-65","True","65+")</f>
        <v>65+</v>
      </c>
      <c r="D531" t="s">
        <v>41</v>
      </c>
      <c r="E531" s="6">
        <v>45272</v>
      </c>
      <c r="F531" s="6">
        <v>45283</v>
      </c>
      <c r="G531">
        <v>11</v>
      </c>
      <c r="H531" t="s">
        <v>34</v>
      </c>
      <c r="I531">
        <v>1</v>
      </c>
      <c r="J531" t="s">
        <v>35</v>
      </c>
      <c r="K531">
        <v>26177</v>
      </c>
      <c r="L531" t="s">
        <v>36</v>
      </c>
      <c r="M531" t="s">
        <v>26</v>
      </c>
      <c r="N531" t="s">
        <v>27</v>
      </c>
      <c r="O531" s="2">
        <v>45181</v>
      </c>
      <c r="P531" s="2">
        <v>45211.25</v>
      </c>
      <c r="Q531" s="38">
        <f t="shared" si="8"/>
        <v>30.25</v>
      </c>
      <c r="R531" t="s">
        <v>42</v>
      </c>
      <c r="S531" t="s">
        <v>29</v>
      </c>
      <c r="T531" t="s">
        <v>47</v>
      </c>
      <c r="U531">
        <v>4</v>
      </c>
      <c r="V531">
        <v>12</v>
      </c>
      <c r="W531" s="18">
        <f>IFERROR(Table1[[#This Row],[Staff Hours Worked]]/Table1[[#This Row],[Staff Available Hours]],0)</f>
        <v>0.33333333333333331</v>
      </c>
      <c r="X531" t="s">
        <v>48</v>
      </c>
    </row>
    <row r="532" spans="1:24">
      <c r="A532" t="s">
        <v>589</v>
      </c>
      <c r="B532">
        <v>13</v>
      </c>
      <c r="C532" t="str" cm="1">
        <f t="array" ref="C532">_xlfn.IFS(B532&lt;=18,"0-18",B532&lt;=35,"19-35",B532&lt;=50,"36-50",B532&lt;=65,"51-65","True","65+")</f>
        <v>0-18</v>
      </c>
      <c r="D532" t="s">
        <v>33</v>
      </c>
      <c r="E532" s="6">
        <v>45315</v>
      </c>
      <c r="F532" s="6">
        <v>45319</v>
      </c>
      <c r="G532">
        <v>4</v>
      </c>
      <c r="H532" t="s">
        <v>57</v>
      </c>
      <c r="I532">
        <v>4</v>
      </c>
      <c r="J532" t="s">
        <v>66</v>
      </c>
      <c r="K532">
        <v>31754</v>
      </c>
      <c r="L532" t="s">
        <v>36</v>
      </c>
      <c r="M532" t="s">
        <v>54</v>
      </c>
      <c r="N532" t="s">
        <v>27</v>
      </c>
      <c r="O532" s="2">
        <v>45311</v>
      </c>
      <c r="P532" s="2">
        <v>45312.708333333336</v>
      </c>
      <c r="Q532" s="38">
        <f t="shared" si="8"/>
        <v>1.7083333333357587</v>
      </c>
      <c r="R532" t="s">
        <v>28</v>
      </c>
      <c r="S532" t="s">
        <v>29</v>
      </c>
      <c r="T532" t="s">
        <v>47</v>
      </c>
      <c r="U532">
        <v>10</v>
      </c>
      <c r="V532">
        <v>8</v>
      </c>
      <c r="W532" s="18">
        <f>IFERROR(Table1[[#This Row],[Staff Hours Worked]]/Table1[[#This Row],[Staff Available Hours]],0)</f>
        <v>1.25</v>
      </c>
      <c r="X532" t="s">
        <v>48</v>
      </c>
    </row>
    <row r="533" spans="1:24">
      <c r="A533" t="s">
        <v>590</v>
      </c>
      <c r="B533">
        <v>59</v>
      </c>
      <c r="C533" t="str" cm="1">
        <f t="array" ref="C533">_xlfn.IFS(B533&lt;=18,"0-18",B533&lt;=35,"19-35",B533&lt;=50,"36-50",B533&lt;=65,"51-65","True","65+")</f>
        <v>51-65</v>
      </c>
      <c r="D533" t="s">
        <v>62</v>
      </c>
      <c r="E533" s="6">
        <v>45270</v>
      </c>
      <c r="F533" s="6">
        <v>45217</v>
      </c>
      <c r="G533">
        <v>6</v>
      </c>
      <c r="H533" t="s">
        <v>63</v>
      </c>
      <c r="I533">
        <v>3</v>
      </c>
      <c r="J533" t="s">
        <v>71</v>
      </c>
      <c r="K533">
        <v>29544</v>
      </c>
      <c r="L533" t="s">
        <v>36</v>
      </c>
      <c r="M533" t="s">
        <v>26</v>
      </c>
      <c r="N533" t="s">
        <v>41</v>
      </c>
      <c r="O533" s="2">
        <v>45209</v>
      </c>
      <c r="P533" s="2">
        <v>45240.791666666664</v>
      </c>
      <c r="Q533" s="38">
        <f t="shared" si="8"/>
        <v>31.791666666664241</v>
      </c>
      <c r="R533" t="s">
        <v>37</v>
      </c>
      <c r="S533" t="s">
        <v>29</v>
      </c>
      <c r="T533" t="s">
        <v>30</v>
      </c>
      <c r="U533">
        <v>8</v>
      </c>
      <c r="V533">
        <v>8</v>
      </c>
      <c r="W533" s="18">
        <f>IFERROR(Table1[[#This Row],[Staff Hours Worked]]/Table1[[#This Row],[Staff Available Hours]],0)</f>
        <v>1</v>
      </c>
      <c r="X533" t="s">
        <v>31</v>
      </c>
    </row>
    <row r="534" spans="1:24">
      <c r="A534" t="s">
        <v>591</v>
      </c>
      <c r="B534">
        <v>19</v>
      </c>
      <c r="C534" t="str" cm="1">
        <f t="array" ref="C534">_xlfn.IFS(B534&lt;=18,"0-18",B534&lt;=35,"19-35",B534&lt;=50,"36-50",B534&lt;=65,"51-65","True","65+")</f>
        <v>19-35</v>
      </c>
      <c r="D534" t="s">
        <v>62</v>
      </c>
      <c r="E534" s="6">
        <v>45476</v>
      </c>
      <c r="F534" s="6">
        <v>45368</v>
      </c>
      <c r="G534">
        <v>10</v>
      </c>
      <c r="H534" t="s">
        <v>34</v>
      </c>
      <c r="I534">
        <v>1</v>
      </c>
      <c r="J534" t="s">
        <v>24</v>
      </c>
      <c r="K534">
        <v>17638</v>
      </c>
      <c r="L534" t="s">
        <v>53</v>
      </c>
      <c r="M534" t="s">
        <v>54</v>
      </c>
      <c r="N534" t="s">
        <v>41</v>
      </c>
      <c r="O534" s="2">
        <v>45476</v>
      </c>
      <c r="P534" s="2">
        <v>45507.875</v>
      </c>
      <c r="Q534" s="38">
        <f t="shared" si="8"/>
        <v>31.875</v>
      </c>
      <c r="R534" t="s">
        <v>37</v>
      </c>
      <c r="S534" t="s">
        <v>29</v>
      </c>
      <c r="T534" t="s">
        <v>47</v>
      </c>
      <c r="U534">
        <v>6</v>
      </c>
      <c r="V534">
        <v>8</v>
      </c>
      <c r="W534" s="18">
        <f>IFERROR(Table1[[#This Row],[Staff Hours Worked]]/Table1[[#This Row],[Staff Available Hours]],0)</f>
        <v>0.75</v>
      </c>
      <c r="X534" t="s">
        <v>31</v>
      </c>
    </row>
    <row r="535" spans="1:24">
      <c r="A535" t="s">
        <v>592</v>
      </c>
      <c r="B535">
        <v>49</v>
      </c>
      <c r="C535" t="str" cm="1">
        <f t="array" ref="C535">_xlfn.IFS(B535&lt;=18,"0-18",B535&lt;=35,"19-35",B535&lt;=50,"36-50",B535&lt;=65,"51-65","True","65+")</f>
        <v>36-50</v>
      </c>
      <c r="D535" t="s">
        <v>45</v>
      </c>
      <c r="E535" s="6">
        <v>45185</v>
      </c>
      <c r="F535" s="6">
        <v>45193</v>
      </c>
      <c r="G535">
        <v>8</v>
      </c>
      <c r="H535" t="s">
        <v>34</v>
      </c>
      <c r="I535">
        <v>1</v>
      </c>
      <c r="J535" t="s">
        <v>35</v>
      </c>
      <c r="K535">
        <v>5179</v>
      </c>
      <c r="L535" t="s">
        <v>67</v>
      </c>
      <c r="M535" t="s">
        <v>54</v>
      </c>
      <c r="N535" t="s">
        <v>27</v>
      </c>
      <c r="O535" s="2">
        <v>45182</v>
      </c>
      <c r="P535" s="2">
        <v>45182.958333333336</v>
      </c>
      <c r="Q535" s="38">
        <f t="shared" si="8"/>
        <v>0.95833333333575865</v>
      </c>
      <c r="R535" t="s">
        <v>37</v>
      </c>
      <c r="S535" t="s">
        <v>29</v>
      </c>
      <c r="T535" t="s">
        <v>43</v>
      </c>
      <c r="U535">
        <v>8</v>
      </c>
      <c r="V535">
        <v>12</v>
      </c>
      <c r="W535" s="18">
        <f>IFERROR(Table1[[#This Row],[Staff Hours Worked]]/Table1[[#This Row],[Staff Available Hours]],0)</f>
        <v>0.66666666666666663</v>
      </c>
      <c r="X535" t="s">
        <v>68</v>
      </c>
    </row>
    <row r="536" spans="1:24">
      <c r="A536" t="s">
        <v>593</v>
      </c>
      <c r="B536">
        <v>12</v>
      </c>
      <c r="C536" t="str" cm="1">
        <f t="array" ref="C536">_xlfn.IFS(B536&lt;=18,"0-18",B536&lt;=35,"19-35",B536&lt;=50,"36-50",B536&lt;=65,"51-65","True","65+")</f>
        <v>0-18</v>
      </c>
      <c r="D536" t="s">
        <v>41</v>
      </c>
      <c r="E536" s="6">
        <v>45010</v>
      </c>
      <c r="F536" s="6">
        <v>44989</v>
      </c>
      <c r="G536">
        <v>9</v>
      </c>
      <c r="H536" t="s">
        <v>63</v>
      </c>
      <c r="I536">
        <v>5</v>
      </c>
      <c r="J536" t="s">
        <v>24</v>
      </c>
      <c r="K536">
        <v>8873</v>
      </c>
      <c r="L536" t="s">
        <v>60</v>
      </c>
      <c r="M536" t="s">
        <v>54</v>
      </c>
      <c r="N536" t="s">
        <v>27</v>
      </c>
      <c r="O536" s="2">
        <v>45005</v>
      </c>
      <c r="P536" s="2">
        <v>45005.208333333336</v>
      </c>
      <c r="Q536" s="38">
        <f t="shared" si="8"/>
        <v>0.20833333333575865</v>
      </c>
      <c r="R536" t="s">
        <v>37</v>
      </c>
      <c r="S536" t="s">
        <v>29</v>
      </c>
      <c r="T536" t="s">
        <v>47</v>
      </c>
      <c r="U536">
        <v>6</v>
      </c>
      <c r="V536">
        <v>10</v>
      </c>
      <c r="W536" s="18">
        <f>IFERROR(Table1[[#This Row],[Staff Hours Worked]]/Table1[[#This Row],[Staff Available Hours]],0)</f>
        <v>0.6</v>
      </c>
      <c r="X536" t="s">
        <v>31</v>
      </c>
    </row>
    <row r="537" spans="1:24">
      <c r="A537" t="s">
        <v>594</v>
      </c>
      <c r="B537">
        <v>61</v>
      </c>
      <c r="C537" t="str" cm="1">
        <f t="array" ref="C537">_xlfn.IFS(B537&lt;=18,"0-18",B537&lt;=35,"19-35",B537&lt;=50,"36-50",B537&lt;=65,"51-65","True","65+")</f>
        <v>51-65</v>
      </c>
      <c r="D537" t="s">
        <v>41</v>
      </c>
      <c r="E537" s="6">
        <v>45408</v>
      </c>
      <c r="F537" s="6">
        <v>45411</v>
      </c>
      <c r="G537">
        <v>3</v>
      </c>
      <c r="H537" t="s">
        <v>57</v>
      </c>
      <c r="I537">
        <v>2</v>
      </c>
      <c r="J537" t="s">
        <v>66</v>
      </c>
      <c r="K537">
        <v>22570</v>
      </c>
      <c r="L537" t="s">
        <v>53</v>
      </c>
      <c r="M537" t="s">
        <v>54</v>
      </c>
      <c r="N537" t="s">
        <v>27</v>
      </c>
      <c r="O537" s="2">
        <v>45408</v>
      </c>
      <c r="P537" s="2">
        <v>45409.458333333336</v>
      </c>
      <c r="Q537" s="38">
        <f t="shared" si="8"/>
        <v>1.4583333333357587</v>
      </c>
      <c r="R537" t="s">
        <v>28</v>
      </c>
      <c r="S537" t="s">
        <v>29</v>
      </c>
      <c r="T537" t="s">
        <v>43</v>
      </c>
      <c r="U537">
        <v>6</v>
      </c>
      <c r="V537">
        <v>12</v>
      </c>
      <c r="W537" s="18">
        <f>IFERROR(Table1[[#This Row],[Staff Hours Worked]]/Table1[[#This Row],[Staff Available Hours]],0)</f>
        <v>0.5</v>
      </c>
      <c r="X537" t="s">
        <v>68</v>
      </c>
    </row>
    <row r="538" spans="1:24">
      <c r="A538" t="s">
        <v>595</v>
      </c>
      <c r="B538">
        <v>19</v>
      </c>
      <c r="C538" t="str" cm="1">
        <f t="array" ref="C538">_xlfn.IFS(B538&lt;=18,"0-18",B538&lt;=35,"19-35",B538&lt;=50,"36-50",B538&lt;=65,"51-65","True","65+")</f>
        <v>19-35</v>
      </c>
      <c r="D538" t="s">
        <v>33</v>
      </c>
      <c r="E538" s="6">
        <v>44946</v>
      </c>
      <c r="F538" s="6">
        <v>44947</v>
      </c>
      <c r="G538">
        <v>1</v>
      </c>
      <c r="H538" t="s">
        <v>50</v>
      </c>
      <c r="I538">
        <v>4</v>
      </c>
      <c r="J538" t="s">
        <v>46</v>
      </c>
      <c r="K538">
        <v>22157</v>
      </c>
      <c r="L538" t="s">
        <v>67</v>
      </c>
      <c r="M538" t="s">
        <v>54</v>
      </c>
      <c r="N538" t="s">
        <v>27</v>
      </c>
      <c r="O538" s="2">
        <v>44945</v>
      </c>
      <c r="P538" s="2">
        <v>44946.083333333336</v>
      </c>
      <c r="Q538" s="38">
        <f t="shared" si="8"/>
        <v>1.0833333333357587</v>
      </c>
      <c r="R538" t="s">
        <v>28</v>
      </c>
      <c r="S538" t="s">
        <v>29</v>
      </c>
      <c r="T538" t="s">
        <v>47</v>
      </c>
      <c r="U538">
        <v>10</v>
      </c>
      <c r="V538">
        <v>10</v>
      </c>
      <c r="W538" s="18">
        <f>IFERROR(Table1[[#This Row],[Staff Hours Worked]]/Table1[[#This Row],[Staff Available Hours]],0)</f>
        <v>1</v>
      </c>
      <c r="X538" t="s">
        <v>48</v>
      </c>
    </row>
    <row r="539" spans="1:24">
      <c r="A539" t="s">
        <v>596</v>
      </c>
      <c r="B539">
        <v>76</v>
      </c>
      <c r="C539" t="str" cm="1">
        <f t="array" ref="C539">_xlfn.IFS(B539&lt;=18,"0-18",B539&lt;=35,"19-35",B539&lt;=50,"36-50",B539&lt;=65,"51-65","True","65+")</f>
        <v>65+</v>
      </c>
      <c r="D539" t="s">
        <v>33</v>
      </c>
      <c r="E539" s="6">
        <v>44980</v>
      </c>
      <c r="F539" s="6">
        <v>44988</v>
      </c>
      <c r="G539">
        <v>8</v>
      </c>
      <c r="H539" t="s">
        <v>63</v>
      </c>
      <c r="I539">
        <v>3</v>
      </c>
      <c r="J539" t="s">
        <v>46</v>
      </c>
      <c r="K539">
        <v>9460</v>
      </c>
      <c r="L539" t="s">
        <v>67</v>
      </c>
      <c r="M539" t="s">
        <v>26</v>
      </c>
      <c r="N539" t="s">
        <v>27</v>
      </c>
      <c r="O539" s="2">
        <v>44979</v>
      </c>
      <c r="P539" s="2">
        <v>44979.583333333336</v>
      </c>
      <c r="Q539" s="38">
        <f t="shared" si="8"/>
        <v>0.58333333333575865</v>
      </c>
      <c r="R539" t="s">
        <v>55</v>
      </c>
      <c r="S539" t="s">
        <v>29</v>
      </c>
      <c r="T539" t="s">
        <v>47</v>
      </c>
      <c r="U539">
        <v>8</v>
      </c>
      <c r="V539">
        <v>12</v>
      </c>
      <c r="W539" s="18">
        <f>IFERROR(Table1[[#This Row],[Staff Hours Worked]]/Table1[[#This Row],[Staff Available Hours]],0)</f>
        <v>0.66666666666666663</v>
      </c>
      <c r="X539" t="s">
        <v>31</v>
      </c>
    </row>
    <row r="540" spans="1:24">
      <c r="A540" t="s">
        <v>597</v>
      </c>
      <c r="B540">
        <v>9</v>
      </c>
      <c r="C540" t="str" cm="1">
        <f t="array" ref="C540">_xlfn.IFS(B540&lt;=18,"0-18",B540&lt;=35,"19-35",B540&lt;=50,"36-50",B540&lt;=65,"51-65","True","65+")</f>
        <v>0-18</v>
      </c>
      <c r="D540" t="s">
        <v>41</v>
      </c>
      <c r="E540" s="6">
        <v>45285</v>
      </c>
      <c r="F540" s="6">
        <v>45287</v>
      </c>
      <c r="G540">
        <v>2</v>
      </c>
      <c r="H540" t="s">
        <v>63</v>
      </c>
      <c r="I540">
        <v>1</v>
      </c>
      <c r="J540" t="s">
        <v>71</v>
      </c>
      <c r="K540">
        <v>5352</v>
      </c>
      <c r="L540" t="s">
        <v>25</v>
      </c>
      <c r="M540" t="s">
        <v>54</v>
      </c>
      <c r="N540" t="s">
        <v>41</v>
      </c>
      <c r="O540" s="2">
        <v>45282</v>
      </c>
      <c r="P540" s="2">
        <v>45283.166666666664</v>
      </c>
      <c r="Q540" s="38">
        <f t="shared" si="8"/>
        <v>1.1666666666642413</v>
      </c>
      <c r="R540" t="s">
        <v>42</v>
      </c>
      <c r="S540" t="s">
        <v>29</v>
      </c>
      <c r="T540" t="s">
        <v>30</v>
      </c>
      <c r="U540">
        <v>10</v>
      </c>
      <c r="V540">
        <v>10</v>
      </c>
      <c r="W540" s="18">
        <f>IFERROR(Table1[[#This Row],[Staff Hours Worked]]/Table1[[#This Row],[Staff Available Hours]],0)</f>
        <v>1</v>
      </c>
      <c r="X540" t="s">
        <v>48</v>
      </c>
    </row>
    <row r="541" spans="1:24">
      <c r="A541" t="s">
        <v>598</v>
      </c>
      <c r="B541">
        <v>71</v>
      </c>
      <c r="C541" t="str" cm="1">
        <f t="array" ref="C541">_xlfn.IFS(B541&lt;=18,"0-18",B541&lt;=35,"19-35",B541&lt;=50,"36-50",B541&lt;=65,"51-65","True","65+")</f>
        <v>65+</v>
      </c>
      <c r="D541" t="s">
        <v>33</v>
      </c>
      <c r="E541" s="6">
        <v>45156</v>
      </c>
      <c r="F541" s="6">
        <v>45169</v>
      </c>
      <c r="G541">
        <v>13</v>
      </c>
      <c r="H541" t="s">
        <v>63</v>
      </c>
      <c r="I541">
        <v>3</v>
      </c>
      <c r="J541" t="s">
        <v>46</v>
      </c>
      <c r="K541">
        <v>26586</v>
      </c>
      <c r="L541" t="s">
        <v>25</v>
      </c>
      <c r="M541" t="s">
        <v>54</v>
      </c>
      <c r="N541" t="s">
        <v>27</v>
      </c>
      <c r="O541" s="2">
        <v>45154</v>
      </c>
      <c r="P541" s="2">
        <v>45154.583333333336</v>
      </c>
      <c r="Q541" s="38">
        <f t="shared" si="8"/>
        <v>0.58333333333575865</v>
      </c>
      <c r="R541" t="s">
        <v>28</v>
      </c>
      <c r="S541" t="s">
        <v>29</v>
      </c>
      <c r="T541" t="s">
        <v>30</v>
      </c>
      <c r="U541">
        <v>11</v>
      </c>
      <c r="V541">
        <v>12</v>
      </c>
      <c r="W541" s="18">
        <f>IFERROR(Table1[[#This Row],[Staff Hours Worked]]/Table1[[#This Row],[Staff Available Hours]],0)</f>
        <v>0.91666666666666663</v>
      </c>
      <c r="X541" t="s">
        <v>31</v>
      </c>
    </row>
    <row r="542" spans="1:24">
      <c r="A542" t="s">
        <v>599</v>
      </c>
      <c r="B542">
        <v>28</v>
      </c>
      <c r="C542" t="str" cm="1">
        <f t="array" ref="C542">_xlfn.IFS(B542&lt;=18,"0-18",B542&lt;=35,"19-35",B542&lt;=50,"36-50",B542&lt;=65,"51-65","True","65+")</f>
        <v>19-35</v>
      </c>
      <c r="D542" t="s">
        <v>41</v>
      </c>
      <c r="E542" s="6">
        <v>45263</v>
      </c>
      <c r="F542" s="6">
        <v>45012</v>
      </c>
      <c r="G542">
        <v>15</v>
      </c>
      <c r="H542" t="s">
        <v>34</v>
      </c>
      <c r="I542">
        <v>2</v>
      </c>
      <c r="J542" t="s">
        <v>35</v>
      </c>
      <c r="K542">
        <v>10344</v>
      </c>
      <c r="L542" t="s">
        <v>53</v>
      </c>
      <c r="M542" t="s">
        <v>26</v>
      </c>
      <c r="N542" t="s">
        <v>27</v>
      </c>
      <c r="O542" s="2">
        <v>45233</v>
      </c>
      <c r="P542" s="2">
        <v>45263.333333333336</v>
      </c>
      <c r="Q542" s="38">
        <f t="shared" si="8"/>
        <v>30.333333333335759</v>
      </c>
      <c r="R542" t="s">
        <v>55</v>
      </c>
      <c r="S542" t="s">
        <v>38</v>
      </c>
      <c r="T542" t="s">
        <v>43</v>
      </c>
      <c r="U542">
        <v>6</v>
      </c>
      <c r="V542">
        <v>12</v>
      </c>
      <c r="W542" s="18">
        <f>IFERROR(Table1[[#This Row],[Staff Hours Worked]]/Table1[[#This Row],[Staff Available Hours]],0)</f>
        <v>0.5</v>
      </c>
      <c r="X542" t="s">
        <v>68</v>
      </c>
    </row>
    <row r="543" spans="1:24">
      <c r="A543" t="s">
        <v>600</v>
      </c>
      <c r="B543">
        <v>78</v>
      </c>
      <c r="C543" t="str" cm="1">
        <f t="array" ref="C543">_xlfn.IFS(B543&lt;=18,"0-18",B543&lt;=35,"19-35",B543&lt;=50,"36-50",B543&lt;=65,"51-65","True","65+")</f>
        <v>65+</v>
      </c>
      <c r="D543" t="s">
        <v>22</v>
      </c>
      <c r="E543" s="6">
        <v>45232</v>
      </c>
      <c r="F543" s="6">
        <v>44982</v>
      </c>
      <c r="G543">
        <v>14</v>
      </c>
      <c r="H543" t="s">
        <v>40</v>
      </c>
      <c r="I543">
        <v>2</v>
      </c>
      <c r="J543" t="s">
        <v>46</v>
      </c>
      <c r="K543">
        <v>9507</v>
      </c>
      <c r="L543" t="s">
        <v>25</v>
      </c>
      <c r="M543" t="s">
        <v>26</v>
      </c>
      <c r="N543" t="s">
        <v>27</v>
      </c>
      <c r="O543" s="2">
        <v>45232</v>
      </c>
      <c r="P543" s="2">
        <v>45232.75</v>
      </c>
      <c r="Q543" s="38">
        <f t="shared" si="8"/>
        <v>0.75</v>
      </c>
      <c r="R543" t="s">
        <v>64</v>
      </c>
      <c r="S543" t="s">
        <v>29</v>
      </c>
      <c r="T543" t="s">
        <v>30</v>
      </c>
      <c r="U543">
        <v>9</v>
      </c>
      <c r="V543">
        <v>10</v>
      </c>
      <c r="W543" s="18">
        <f>IFERROR(Table1[[#This Row],[Staff Hours Worked]]/Table1[[#This Row],[Staff Available Hours]],0)</f>
        <v>0.9</v>
      </c>
      <c r="X543" t="s">
        <v>48</v>
      </c>
    </row>
    <row r="544" spans="1:24">
      <c r="A544" t="s">
        <v>601</v>
      </c>
      <c r="B544">
        <v>52</v>
      </c>
      <c r="C544" t="str" cm="1">
        <f t="array" ref="C544">_xlfn.IFS(B544&lt;=18,"0-18",B544&lt;=35,"19-35",B544&lt;=50,"36-50",B544&lt;=65,"51-65","True","65+")</f>
        <v>51-65</v>
      </c>
      <c r="D544" t="s">
        <v>41</v>
      </c>
      <c r="E544" s="6">
        <v>44928</v>
      </c>
      <c r="F544" s="6">
        <v>45109</v>
      </c>
      <c r="G544">
        <v>6</v>
      </c>
      <c r="H544" t="s">
        <v>50</v>
      </c>
      <c r="I544">
        <v>3</v>
      </c>
      <c r="J544" t="s">
        <v>71</v>
      </c>
      <c r="K544">
        <v>42598</v>
      </c>
      <c r="L544" t="s">
        <v>67</v>
      </c>
      <c r="M544" t="s">
        <v>54</v>
      </c>
      <c r="N544" t="s">
        <v>27</v>
      </c>
      <c r="O544" s="2">
        <v>44956</v>
      </c>
      <c r="P544" s="2">
        <v>44956.875</v>
      </c>
      <c r="Q544" s="38">
        <f t="shared" si="8"/>
        <v>0.875</v>
      </c>
      <c r="R544" t="s">
        <v>42</v>
      </c>
      <c r="S544" t="s">
        <v>29</v>
      </c>
      <c r="T544" t="s">
        <v>30</v>
      </c>
      <c r="U544">
        <v>5</v>
      </c>
      <c r="V544">
        <v>10</v>
      </c>
      <c r="W544" s="18">
        <f>IFERROR(Table1[[#This Row],[Staff Hours Worked]]/Table1[[#This Row],[Staff Available Hours]],0)</f>
        <v>0.5</v>
      </c>
      <c r="X544" t="s">
        <v>48</v>
      </c>
    </row>
    <row r="545" spans="1:24">
      <c r="A545" t="s">
        <v>602</v>
      </c>
      <c r="B545">
        <v>83</v>
      </c>
      <c r="C545" t="str" cm="1">
        <f t="array" ref="C545">_xlfn.IFS(B545&lt;=18,"0-18",B545&lt;=35,"19-35",B545&lt;=50,"36-50",B545&lt;=65,"51-65","True","65+")</f>
        <v>65+</v>
      </c>
      <c r="D545" t="s">
        <v>62</v>
      </c>
      <c r="E545" s="6">
        <v>45239</v>
      </c>
      <c r="F545" s="6">
        <v>45192</v>
      </c>
      <c r="G545">
        <v>12</v>
      </c>
      <c r="H545" t="s">
        <v>57</v>
      </c>
      <c r="I545">
        <v>4</v>
      </c>
      <c r="J545" t="s">
        <v>66</v>
      </c>
      <c r="K545">
        <v>48988</v>
      </c>
      <c r="L545" t="s">
        <v>25</v>
      </c>
      <c r="M545" t="s">
        <v>54</v>
      </c>
      <c r="N545" t="s">
        <v>41</v>
      </c>
      <c r="O545" s="2">
        <v>45147</v>
      </c>
      <c r="P545" s="2">
        <v>45147.791666666664</v>
      </c>
      <c r="Q545" s="38">
        <f t="shared" si="8"/>
        <v>0.79166666666424135</v>
      </c>
      <c r="R545" t="s">
        <v>28</v>
      </c>
      <c r="S545" t="s">
        <v>29</v>
      </c>
      <c r="T545" t="s">
        <v>30</v>
      </c>
      <c r="U545">
        <v>11</v>
      </c>
      <c r="V545">
        <v>10</v>
      </c>
      <c r="W545" s="18">
        <f>IFERROR(Table1[[#This Row],[Staff Hours Worked]]/Table1[[#This Row],[Staff Available Hours]],0)</f>
        <v>1.1000000000000001</v>
      </c>
      <c r="X545" t="s">
        <v>31</v>
      </c>
    </row>
    <row r="546" spans="1:24">
      <c r="A546" t="s">
        <v>603</v>
      </c>
      <c r="B546">
        <v>16</v>
      </c>
      <c r="C546" t="str" cm="1">
        <f t="array" ref="C546">_xlfn.IFS(B546&lt;=18,"0-18",B546&lt;=35,"19-35",B546&lt;=50,"36-50",B546&lt;=65,"51-65","True","65+")</f>
        <v>0-18</v>
      </c>
      <c r="D546" t="s">
        <v>33</v>
      </c>
      <c r="E546" s="6">
        <v>45131</v>
      </c>
      <c r="F546" s="6">
        <v>45133</v>
      </c>
      <c r="G546">
        <v>2</v>
      </c>
      <c r="H546" t="s">
        <v>57</v>
      </c>
      <c r="I546">
        <v>2</v>
      </c>
      <c r="J546" t="s">
        <v>66</v>
      </c>
      <c r="K546">
        <v>37885</v>
      </c>
      <c r="L546" t="s">
        <v>36</v>
      </c>
      <c r="M546" t="s">
        <v>54</v>
      </c>
      <c r="N546" t="s">
        <v>27</v>
      </c>
      <c r="O546" s="2">
        <v>45130</v>
      </c>
      <c r="P546" s="2">
        <v>45130.916666666664</v>
      </c>
      <c r="Q546" s="38">
        <f t="shared" si="8"/>
        <v>0.91666666666424135</v>
      </c>
      <c r="R546" t="s">
        <v>64</v>
      </c>
      <c r="S546" t="s">
        <v>29</v>
      </c>
      <c r="T546" t="s">
        <v>30</v>
      </c>
      <c r="U546">
        <v>6</v>
      </c>
      <c r="V546">
        <v>10</v>
      </c>
      <c r="W546" s="18">
        <f>IFERROR(Table1[[#This Row],[Staff Hours Worked]]/Table1[[#This Row],[Staff Available Hours]],0)</f>
        <v>0.6</v>
      </c>
      <c r="X546" t="s">
        <v>48</v>
      </c>
    </row>
    <row r="547" spans="1:24">
      <c r="A547" t="s">
        <v>604</v>
      </c>
      <c r="B547">
        <v>69</v>
      </c>
      <c r="C547" t="str" cm="1">
        <f t="array" ref="C547">_xlfn.IFS(B547&lt;=18,"0-18",B547&lt;=35,"19-35",B547&lt;=50,"36-50",B547&lt;=65,"51-65","True","65+")</f>
        <v>65+</v>
      </c>
      <c r="D547" t="s">
        <v>41</v>
      </c>
      <c r="E547" s="6">
        <v>44947</v>
      </c>
      <c r="F547" s="6">
        <v>44956</v>
      </c>
      <c r="G547">
        <v>9</v>
      </c>
      <c r="H547" t="s">
        <v>40</v>
      </c>
      <c r="I547">
        <v>3</v>
      </c>
      <c r="J547" t="s">
        <v>46</v>
      </c>
      <c r="K547">
        <v>21865</v>
      </c>
      <c r="L547" t="s">
        <v>25</v>
      </c>
      <c r="M547" t="s">
        <v>26</v>
      </c>
      <c r="N547" t="s">
        <v>27</v>
      </c>
      <c r="O547" s="2">
        <v>44944</v>
      </c>
      <c r="P547" s="2">
        <v>44945.5</v>
      </c>
      <c r="Q547" s="38">
        <f t="shared" si="8"/>
        <v>1.5</v>
      </c>
      <c r="R547" t="s">
        <v>55</v>
      </c>
      <c r="S547" t="s">
        <v>29</v>
      </c>
      <c r="T547" t="s">
        <v>30</v>
      </c>
      <c r="U547">
        <v>9</v>
      </c>
      <c r="V547">
        <v>10</v>
      </c>
      <c r="W547" s="18">
        <f>IFERROR(Table1[[#This Row],[Staff Hours Worked]]/Table1[[#This Row],[Staff Available Hours]],0)</f>
        <v>0.9</v>
      </c>
      <c r="X547" t="s">
        <v>68</v>
      </c>
    </row>
    <row r="548" spans="1:24">
      <c r="A548" t="s">
        <v>605</v>
      </c>
      <c r="B548">
        <v>12</v>
      </c>
      <c r="C548" t="str" cm="1">
        <f t="array" ref="C548">_xlfn.IFS(B548&lt;=18,"0-18",B548&lt;=35,"19-35",B548&lt;=50,"36-50",B548&lt;=65,"51-65","True","65+")</f>
        <v>0-18</v>
      </c>
      <c r="D548" t="s">
        <v>41</v>
      </c>
      <c r="E548" s="6">
        <v>45083</v>
      </c>
      <c r="F548" s="6">
        <v>45094</v>
      </c>
      <c r="G548">
        <v>11</v>
      </c>
      <c r="H548" t="s">
        <v>63</v>
      </c>
      <c r="I548">
        <v>1</v>
      </c>
      <c r="J548" t="s">
        <v>24</v>
      </c>
      <c r="K548">
        <v>42055</v>
      </c>
      <c r="L548" t="s">
        <v>67</v>
      </c>
      <c r="M548" t="s">
        <v>26</v>
      </c>
      <c r="N548" t="s">
        <v>27</v>
      </c>
      <c r="O548" s="2">
        <v>45022</v>
      </c>
      <c r="P548" s="2">
        <v>45052.541666666664</v>
      </c>
      <c r="Q548" s="38">
        <f t="shared" si="8"/>
        <v>30.541666666664241</v>
      </c>
      <c r="R548" t="s">
        <v>28</v>
      </c>
      <c r="S548" t="s">
        <v>29</v>
      </c>
      <c r="T548" t="s">
        <v>43</v>
      </c>
      <c r="U548">
        <v>6</v>
      </c>
      <c r="V548">
        <v>10</v>
      </c>
      <c r="W548" s="18">
        <f>IFERROR(Table1[[#This Row],[Staff Hours Worked]]/Table1[[#This Row],[Staff Available Hours]],0)</f>
        <v>0.6</v>
      </c>
      <c r="X548" t="s">
        <v>48</v>
      </c>
    </row>
    <row r="549" spans="1:24">
      <c r="A549" t="s">
        <v>606</v>
      </c>
      <c r="B549">
        <v>25</v>
      </c>
      <c r="C549" t="str" cm="1">
        <f t="array" ref="C549">_xlfn.IFS(B549&lt;=18,"0-18",B549&lt;=35,"19-35",B549&lt;=50,"36-50",B549&lt;=65,"51-65","True","65+")</f>
        <v>19-35</v>
      </c>
      <c r="D549" t="s">
        <v>33</v>
      </c>
      <c r="E549" s="6">
        <v>44966</v>
      </c>
      <c r="F549" s="6">
        <v>45055</v>
      </c>
      <c r="G549">
        <v>3</v>
      </c>
      <c r="H549" t="s">
        <v>50</v>
      </c>
      <c r="I549">
        <v>3</v>
      </c>
      <c r="J549" t="s">
        <v>66</v>
      </c>
      <c r="K549">
        <v>32213</v>
      </c>
      <c r="L549" t="s">
        <v>53</v>
      </c>
      <c r="M549" t="s">
        <v>26</v>
      </c>
      <c r="N549" t="s">
        <v>41</v>
      </c>
      <c r="O549" s="2">
        <v>45169</v>
      </c>
      <c r="P549" s="2">
        <v>45169.375</v>
      </c>
      <c r="Q549" s="38">
        <f t="shared" si="8"/>
        <v>0.375</v>
      </c>
      <c r="R549" t="s">
        <v>28</v>
      </c>
      <c r="S549" t="s">
        <v>29</v>
      </c>
      <c r="T549" t="s">
        <v>43</v>
      </c>
      <c r="U549">
        <v>9</v>
      </c>
      <c r="V549">
        <v>10</v>
      </c>
      <c r="W549" s="18">
        <f>IFERROR(Table1[[#This Row],[Staff Hours Worked]]/Table1[[#This Row],[Staff Available Hours]],0)</f>
        <v>0.9</v>
      </c>
      <c r="X549" t="s">
        <v>48</v>
      </c>
    </row>
    <row r="550" spans="1:24">
      <c r="A550" t="s">
        <v>607</v>
      </c>
      <c r="B550">
        <v>52</v>
      </c>
      <c r="C550" t="str" cm="1">
        <f t="array" ref="C550">_xlfn.IFS(B550&lt;=18,"0-18",B550&lt;=35,"19-35",B550&lt;=50,"36-50",B550&lt;=65,"51-65","True","65+")</f>
        <v>51-65</v>
      </c>
      <c r="D550" t="s">
        <v>22</v>
      </c>
      <c r="E550" s="6">
        <v>45204</v>
      </c>
      <c r="F550" s="6">
        <v>45235</v>
      </c>
      <c r="G550">
        <v>1</v>
      </c>
      <c r="H550" t="s">
        <v>57</v>
      </c>
      <c r="I550">
        <v>3</v>
      </c>
      <c r="J550" t="s">
        <v>46</v>
      </c>
      <c r="K550">
        <v>9477</v>
      </c>
      <c r="L550" t="s">
        <v>60</v>
      </c>
      <c r="M550" t="s">
        <v>26</v>
      </c>
      <c r="N550" t="s">
        <v>41</v>
      </c>
      <c r="O550" s="2">
        <v>45143</v>
      </c>
      <c r="P550" s="2">
        <v>45174.541666666664</v>
      </c>
      <c r="Q550" s="38">
        <f t="shared" si="8"/>
        <v>31.541666666664241</v>
      </c>
      <c r="R550" t="s">
        <v>64</v>
      </c>
      <c r="S550" t="s">
        <v>38</v>
      </c>
      <c r="T550" t="s">
        <v>30</v>
      </c>
      <c r="U550">
        <v>8</v>
      </c>
      <c r="V550">
        <v>10</v>
      </c>
      <c r="W550" s="18">
        <f>IFERROR(Table1[[#This Row],[Staff Hours Worked]]/Table1[[#This Row],[Staff Available Hours]],0)</f>
        <v>0.8</v>
      </c>
      <c r="X550" t="s">
        <v>31</v>
      </c>
    </row>
    <row r="551" spans="1:24">
      <c r="A551" t="s">
        <v>608</v>
      </c>
      <c r="B551">
        <v>85</v>
      </c>
      <c r="C551" t="str" cm="1">
        <f t="array" ref="C551">_xlfn.IFS(B551&lt;=18,"0-18",B551&lt;=35,"19-35",B551&lt;=50,"36-50",B551&lt;=65,"51-65","True","65+")</f>
        <v>65+</v>
      </c>
      <c r="D551" t="s">
        <v>22</v>
      </c>
      <c r="E551" s="6">
        <v>45411</v>
      </c>
      <c r="F551" s="6">
        <v>45356</v>
      </c>
      <c r="G551">
        <v>4</v>
      </c>
      <c r="H551" t="s">
        <v>23</v>
      </c>
      <c r="I551">
        <v>5</v>
      </c>
      <c r="J551" t="s">
        <v>71</v>
      </c>
      <c r="K551">
        <v>11533</v>
      </c>
      <c r="L551" t="s">
        <v>25</v>
      </c>
      <c r="M551" t="s">
        <v>54</v>
      </c>
      <c r="N551" t="s">
        <v>41</v>
      </c>
      <c r="O551" s="2">
        <v>45407</v>
      </c>
      <c r="P551" s="2">
        <v>45408.333333333336</v>
      </c>
      <c r="Q551" s="38">
        <f t="shared" si="8"/>
        <v>1.3333333333357587</v>
      </c>
      <c r="R551" t="s">
        <v>28</v>
      </c>
      <c r="S551" t="s">
        <v>29</v>
      </c>
      <c r="T551" t="s">
        <v>30</v>
      </c>
      <c r="U551">
        <v>4</v>
      </c>
      <c r="V551">
        <v>12</v>
      </c>
      <c r="W551" s="18">
        <f>IFERROR(Table1[[#This Row],[Staff Hours Worked]]/Table1[[#This Row],[Staff Available Hours]],0)</f>
        <v>0.33333333333333331</v>
      </c>
      <c r="X551" t="s">
        <v>48</v>
      </c>
    </row>
    <row r="552" spans="1:24">
      <c r="A552" t="s">
        <v>609</v>
      </c>
      <c r="B552">
        <v>53</v>
      </c>
      <c r="C552" t="str" cm="1">
        <f t="array" ref="C552">_xlfn.IFS(B552&lt;=18,"0-18",B552&lt;=35,"19-35",B552&lt;=50,"36-50",B552&lt;=65,"51-65","True","65+")</f>
        <v>51-65</v>
      </c>
      <c r="D552" t="s">
        <v>33</v>
      </c>
      <c r="E552" s="6">
        <v>45044</v>
      </c>
      <c r="F552" s="6">
        <v>45204</v>
      </c>
      <c r="G552">
        <v>12</v>
      </c>
      <c r="H552" t="s">
        <v>57</v>
      </c>
      <c r="I552">
        <v>2</v>
      </c>
      <c r="J552" t="s">
        <v>46</v>
      </c>
      <c r="K552">
        <v>28396</v>
      </c>
      <c r="L552" t="s">
        <v>67</v>
      </c>
      <c r="M552" t="s">
        <v>26</v>
      </c>
      <c r="N552" t="s">
        <v>41</v>
      </c>
      <c r="O552" s="2">
        <v>45039</v>
      </c>
      <c r="P552" s="2">
        <v>45039.916666666664</v>
      </c>
      <c r="Q552" s="38">
        <f t="shared" si="8"/>
        <v>0.91666666666424135</v>
      </c>
      <c r="R552" t="s">
        <v>37</v>
      </c>
      <c r="S552" t="s">
        <v>29</v>
      </c>
      <c r="T552" t="s">
        <v>43</v>
      </c>
      <c r="U552">
        <v>7</v>
      </c>
      <c r="V552">
        <v>10</v>
      </c>
      <c r="W552" s="18">
        <f>IFERROR(Table1[[#This Row],[Staff Hours Worked]]/Table1[[#This Row],[Staff Available Hours]],0)</f>
        <v>0.7</v>
      </c>
      <c r="X552" t="s">
        <v>31</v>
      </c>
    </row>
    <row r="553" spans="1:24">
      <c r="A553" t="s">
        <v>610</v>
      </c>
      <c r="B553">
        <v>23</v>
      </c>
      <c r="C553" t="str" cm="1">
        <f t="array" ref="C553">_xlfn.IFS(B553&lt;=18,"0-18",B553&lt;=35,"19-35",B553&lt;=50,"36-50",B553&lt;=65,"51-65","True","65+")</f>
        <v>19-35</v>
      </c>
      <c r="D553" t="s">
        <v>52</v>
      </c>
      <c r="E553" s="6">
        <v>45268</v>
      </c>
      <c r="F553" s="6">
        <v>45158</v>
      </c>
      <c r="G553">
        <v>8</v>
      </c>
      <c r="H553" t="s">
        <v>63</v>
      </c>
      <c r="I553">
        <v>4</v>
      </c>
      <c r="J553" t="s">
        <v>66</v>
      </c>
      <c r="K553">
        <v>17755</v>
      </c>
      <c r="L553" t="s">
        <v>60</v>
      </c>
      <c r="M553" t="s">
        <v>54</v>
      </c>
      <c r="N553" t="s">
        <v>27</v>
      </c>
      <c r="O553" s="2">
        <v>45146</v>
      </c>
      <c r="P553" s="2">
        <v>45177.833333333336</v>
      </c>
      <c r="Q553" s="38">
        <f t="shared" si="8"/>
        <v>31.833333333335759</v>
      </c>
      <c r="R553" t="s">
        <v>28</v>
      </c>
      <c r="S553" t="s">
        <v>29</v>
      </c>
      <c r="T553" t="s">
        <v>47</v>
      </c>
      <c r="U553">
        <v>11</v>
      </c>
      <c r="V553">
        <v>10</v>
      </c>
      <c r="W553" s="18">
        <f>IFERROR(Table1[[#This Row],[Staff Hours Worked]]/Table1[[#This Row],[Staff Available Hours]],0)</f>
        <v>1.1000000000000001</v>
      </c>
      <c r="X553" t="s">
        <v>31</v>
      </c>
    </row>
    <row r="554" spans="1:24">
      <c r="A554" t="s">
        <v>611</v>
      </c>
      <c r="B554">
        <v>16</v>
      </c>
      <c r="C554" t="str" cm="1">
        <f t="array" ref="C554">_xlfn.IFS(B554&lt;=18,"0-18",B554&lt;=35,"19-35",B554&lt;=50,"36-50",B554&lt;=65,"51-65","True","65+")</f>
        <v>0-18</v>
      </c>
      <c r="D554" t="s">
        <v>33</v>
      </c>
      <c r="E554" s="6">
        <v>45403</v>
      </c>
      <c r="F554" s="6">
        <v>45411</v>
      </c>
      <c r="G554">
        <v>8</v>
      </c>
      <c r="H554" t="s">
        <v>23</v>
      </c>
      <c r="I554">
        <v>4</v>
      </c>
      <c r="J554" t="s">
        <v>71</v>
      </c>
      <c r="K554">
        <v>5865</v>
      </c>
      <c r="L554" t="s">
        <v>60</v>
      </c>
      <c r="M554" t="s">
        <v>54</v>
      </c>
      <c r="N554" t="s">
        <v>27</v>
      </c>
      <c r="O554" s="2">
        <v>45403</v>
      </c>
      <c r="P554" s="2">
        <v>45403.166666666664</v>
      </c>
      <c r="Q554" s="38">
        <f t="shared" si="8"/>
        <v>0.16666666666424135</v>
      </c>
      <c r="R554" t="s">
        <v>42</v>
      </c>
      <c r="S554" t="s">
        <v>29</v>
      </c>
      <c r="T554" t="s">
        <v>43</v>
      </c>
      <c r="U554">
        <v>6</v>
      </c>
      <c r="V554">
        <v>12</v>
      </c>
      <c r="W554" s="18">
        <f>IFERROR(Table1[[#This Row],[Staff Hours Worked]]/Table1[[#This Row],[Staff Available Hours]],0)</f>
        <v>0.5</v>
      </c>
      <c r="X554" t="s">
        <v>48</v>
      </c>
    </row>
    <row r="555" spans="1:24">
      <c r="A555" t="s">
        <v>612</v>
      </c>
      <c r="B555">
        <v>57</v>
      </c>
      <c r="C555" t="str" cm="1">
        <f t="array" ref="C555">_xlfn.IFS(B555&lt;=18,"0-18",B555&lt;=35,"19-35",B555&lt;=50,"36-50",B555&lt;=65,"51-65","True","65+")</f>
        <v>51-65</v>
      </c>
      <c r="D555" t="s">
        <v>33</v>
      </c>
      <c r="E555" s="6">
        <v>45189</v>
      </c>
      <c r="F555" s="6">
        <v>45198</v>
      </c>
      <c r="G555">
        <v>9</v>
      </c>
      <c r="H555" t="s">
        <v>40</v>
      </c>
      <c r="I555">
        <v>5</v>
      </c>
      <c r="J555" t="s">
        <v>46</v>
      </c>
      <c r="K555">
        <v>16173</v>
      </c>
      <c r="L555" t="s">
        <v>36</v>
      </c>
      <c r="M555" t="s">
        <v>54</v>
      </c>
      <c r="N555" t="s">
        <v>27</v>
      </c>
      <c r="O555" s="2">
        <v>45187</v>
      </c>
      <c r="P555" s="2">
        <v>45187.125</v>
      </c>
      <c r="Q555" s="38">
        <f t="shared" si="8"/>
        <v>0.125</v>
      </c>
      <c r="R555" t="s">
        <v>64</v>
      </c>
      <c r="S555" t="s">
        <v>29</v>
      </c>
      <c r="T555" t="s">
        <v>47</v>
      </c>
      <c r="U555">
        <v>7</v>
      </c>
      <c r="V555">
        <v>12</v>
      </c>
      <c r="W555" s="18">
        <f>IFERROR(Table1[[#This Row],[Staff Hours Worked]]/Table1[[#This Row],[Staff Available Hours]],0)</f>
        <v>0.58333333333333337</v>
      </c>
      <c r="X555" t="s">
        <v>68</v>
      </c>
    </row>
    <row r="556" spans="1:24">
      <c r="A556" t="s">
        <v>613</v>
      </c>
      <c r="B556">
        <v>39</v>
      </c>
      <c r="C556" t="str" cm="1">
        <f t="array" ref="C556">_xlfn.IFS(B556&lt;=18,"0-18",B556&lt;=35,"19-35",B556&lt;=50,"36-50",B556&lt;=65,"51-65","True","65+")</f>
        <v>36-50</v>
      </c>
      <c r="D556" t="s">
        <v>22</v>
      </c>
      <c r="E556" s="6">
        <v>45304</v>
      </c>
      <c r="F556" s="6">
        <v>45313</v>
      </c>
      <c r="G556">
        <v>9</v>
      </c>
      <c r="H556" t="s">
        <v>50</v>
      </c>
      <c r="I556">
        <v>4</v>
      </c>
      <c r="J556" t="s">
        <v>35</v>
      </c>
      <c r="K556">
        <v>43097</v>
      </c>
      <c r="L556" t="s">
        <v>60</v>
      </c>
      <c r="M556" t="s">
        <v>26</v>
      </c>
      <c r="N556" t="s">
        <v>27</v>
      </c>
      <c r="O556" s="2">
        <v>45505</v>
      </c>
      <c r="P556" s="2">
        <v>45505.291666666664</v>
      </c>
      <c r="Q556" s="38">
        <f t="shared" si="8"/>
        <v>0.29166666666424135</v>
      </c>
      <c r="R556" t="s">
        <v>42</v>
      </c>
      <c r="S556" t="s">
        <v>29</v>
      </c>
      <c r="T556" t="s">
        <v>30</v>
      </c>
      <c r="U556">
        <v>6</v>
      </c>
      <c r="V556">
        <v>8</v>
      </c>
      <c r="W556" s="18">
        <f>IFERROR(Table1[[#This Row],[Staff Hours Worked]]/Table1[[#This Row],[Staff Available Hours]],0)</f>
        <v>0.75</v>
      </c>
      <c r="X556" t="s">
        <v>31</v>
      </c>
    </row>
    <row r="557" spans="1:24">
      <c r="A557" t="s">
        <v>614</v>
      </c>
      <c r="B557">
        <v>53</v>
      </c>
      <c r="C557" t="str" cm="1">
        <f t="array" ref="C557">_xlfn.IFS(B557&lt;=18,"0-18",B557&lt;=35,"19-35",B557&lt;=50,"36-50",B557&lt;=65,"51-65","True","65+")</f>
        <v>51-65</v>
      </c>
      <c r="D557" t="s">
        <v>22</v>
      </c>
      <c r="E557" s="6">
        <v>45098</v>
      </c>
      <c r="F557" s="6">
        <v>44933</v>
      </c>
      <c r="G557">
        <v>10</v>
      </c>
      <c r="H557" t="s">
        <v>40</v>
      </c>
      <c r="I557">
        <v>3</v>
      </c>
      <c r="J557" t="s">
        <v>71</v>
      </c>
      <c r="K557">
        <v>38371</v>
      </c>
      <c r="L557" t="s">
        <v>67</v>
      </c>
      <c r="M557" t="s">
        <v>26</v>
      </c>
      <c r="N557" t="s">
        <v>27</v>
      </c>
      <c r="O557" s="2">
        <v>45096</v>
      </c>
      <c r="P557" s="2">
        <v>45097.708333333336</v>
      </c>
      <c r="Q557" s="38">
        <f t="shared" si="8"/>
        <v>1.7083333333357587</v>
      </c>
      <c r="R557" t="s">
        <v>55</v>
      </c>
      <c r="S557" t="s">
        <v>29</v>
      </c>
      <c r="T557" t="s">
        <v>30</v>
      </c>
      <c r="U557">
        <v>8</v>
      </c>
      <c r="V557">
        <v>8</v>
      </c>
      <c r="W557" s="18">
        <f>IFERROR(Table1[[#This Row],[Staff Hours Worked]]/Table1[[#This Row],[Staff Available Hours]],0)</f>
        <v>1</v>
      </c>
      <c r="X557" t="s">
        <v>48</v>
      </c>
    </row>
    <row r="558" spans="1:24">
      <c r="A558" t="s">
        <v>615</v>
      </c>
      <c r="B558">
        <v>42</v>
      </c>
      <c r="C558" t="str" cm="1">
        <f t="array" ref="C558">_xlfn.IFS(B558&lt;=18,"0-18",B558&lt;=35,"19-35",B558&lt;=50,"36-50",B558&lt;=65,"51-65","True","65+")</f>
        <v>36-50</v>
      </c>
      <c r="D558" t="s">
        <v>33</v>
      </c>
      <c r="E558" s="6">
        <v>45044</v>
      </c>
      <c r="F558" s="6">
        <v>44931</v>
      </c>
      <c r="G558">
        <v>3</v>
      </c>
      <c r="H558" t="s">
        <v>40</v>
      </c>
      <c r="I558">
        <v>5</v>
      </c>
      <c r="J558" t="s">
        <v>35</v>
      </c>
      <c r="K558">
        <v>43524</v>
      </c>
      <c r="L558" t="s">
        <v>67</v>
      </c>
      <c r="M558" t="s">
        <v>54</v>
      </c>
      <c r="N558" t="s">
        <v>41</v>
      </c>
      <c r="O558" s="2">
        <v>45039</v>
      </c>
      <c r="P558" s="2">
        <v>45040.25</v>
      </c>
      <c r="Q558" s="38">
        <f t="shared" si="8"/>
        <v>1.25</v>
      </c>
      <c r="R558" t="s">
        <v>42</v>
      </c>
      <c r="S558" t="s">
        <v>29</v>
      </c>
      <c r="T558" t="s">
        <v>43</v>
      </c>
      <c r="U558">
        <v>8</v>
      </c>
      <c r="V558">
        <v>10</v>
      </c>
      <c r="W558" s="18">
        <f>IFERROR(Table1[[#This Row],[Staff Hours Worked]]/Table1[[#This Row],[Staff Available Hours]],0)</f>
        <v>0.8</v>
      </c>
      <c r="X558" t="s">
        <v>31</v>
      </c>
    </row>
    <row r="559" spans="1:24">
      <c r="A559" t="s">
        <v>616</v>
      </c>
      <c r="B559">
        <v>58</v>
      </c>
      <c r="C559" t="str" cm="1">
        <f t="array" ref="C559">_xlfn.IFS(B559&lt;=18,"0-18",B559&lt;=35,"19-35",B559&lt;=50,"36-50",B559&lt;=65,"51-65","True","65+")</f>
        <v>51-65</v>
      </c>
      <c r="D559" t="s">
        <v>33</v>
      </c>
      <c r="E559" s="6">
        <v>45094</v>
      </c>
      <c r="F559" s="6">
        <v>45100</v>
      </c>
      <c r="G559">
        <v>6</v>
      </c>
      <c r="H559" t="s">
        <v>50</v>
      </c>
      <c r="I559">
        <v>1</v>
      </c>
      <c r="J559" t="s">
        <v>24</v>
      </c>
      <c r="K559">
        <v>16254</v>
      </c>
      <c r="L559" t="s">
        <v>25</v>
      </c>
      <c r="M559" t="s">
        <v>26</v>
      </c>
      <c r="N559" t="s">
        <v>27</v>
      </c>
      <c r="O559" s="2">
        <v>45093</v>
      </c>
      <c r="P559" s="2">
        <v>45093.083333333336</v>
      </c>
      <c r="Q559" s="38">
        <f t="shared" si="8"/>
        <v>8.3333333335758653E-2</v>
      </c>
      <c r="R559" t="s">
        <v>37</v>
      </c>
      <c r="S559" t="s">
        <v>29</v>
      </c>
      <c r="T559" t="s">
        <v>30</v>
      </c>
      <c r="U559">
        <v>9</v>
      </c>
      <c r="V559">
        <v>10</v>
      </c>
      <c r="W559" s="18">
        <f>IFERROR(Table1[[#This Row],[Staff Hours Worked]]/Table1[[#This Row],[Staff Available Hours]],0)</f>
        <v>0.9</v>
      </c>
      <c r="X559" t="s">
        <v>68</v>
      </c>
    </row>
    <row r="560" spans="1:24">
      <c r="A560" t="s">
        <v>617</v>
      </c>
      <c r="B560">
        <v>39</v>
      </c>
      <c r="C560" t="str" cm="1">
        <f t="array" ref="C560">_xlfn.IFS(B560&lt;=18,"0-18",B560&lt;=35,"19-35",B560&lt;=50,"36-50",B560&lt;=65,"51-65","True","65+")</f>
        <v>36-50</v>
      </c>
      <c r="D560" t="s">
        <v>33</v>
      </c>
      <c r="E560" s="6">
        <v>45245</v>
      </c>
      <c r="F560" s="6">
        <v>45251</v>
      </c>
      <c r="G560">
        <v>6</v>
      </c>
      <c r="H560" t="s">
        <v>50</v>
      </c>
      <c r="I560">
        <v>2</v>
      </c>
      <c r="J560" t="s">
        <v>71</v>
      </c>
      <c r="K560">
        <v>9018</v>
      </c>
      <c r="L560" t="s">
        <v>25</v>
      </c>
      <c r="M560" t="s">
        <v>26</v>
      </c>
      <c r="N560" t="s">
        <v>27</v>
      </c>
      <c r="O560" s="2">
        <v>45245</v>
      </c>
      <c r="P560" s="2">
        <v>45245.333333333336</v>
      </c>
      <c r="Q560" s="38">
        <f t="shared" si="8"/>
        <v>0.33333333333575865</v>
      </c>
      <c r="R560" t="s">
        <v>37</v>
      </c>
      <c r="S560" t="s">
        <v>38</v>
      </c>
      <c r="T560" t="s">
        <v>47</v>
      </c>
      <c r="U560">
        <v>6</v>
      </c>
      <c r="V560">
        <v>8</v>
      </c>
      <c r="W560" s="18">
        <f>IFERROR(Table1[[#This Row],[Staff Hours Worked]]/Table1[[#This Row],[Staff Available Hours]],0)</f>
        <v>0.75</v>
      </c>
      <c r="X560" t="s">
        <v>68</v>
      </c>
    </row>
    <row r="561" spans="1:24">
      <c r="A561" t="s">
        <v>618</v>
      </c>
      <c r="B561">
        <v>14</v>
      </c>
      <c r="C561" t="str" cm="1">
        <f t="array" ref="C561">_xlfn.IFS(B561&lt;=18,"0-18",B561&lt;=35,"19-35",B561&lt;=50,"36-50",B561&lt;=65,"51-65","True","65+")</f>
        <v>0-18</v>
      </c>
      <c r="D561" t="s">
        <v>22</v>
      </c>
      <c r="E561" s="6">
        <v>45037</v>
      </c>
      <c r="F561" s="6">
        <v>45082</v>
      </c>
      <c r="G561">
        <v>15</v>
      </c>
      <c r="H561" t="s">
        <v>57</v>
      </c>
      <c r="I561">
        <v>2</v>
      </c>
      <c r="J561" t="s">
        <v>35</v>
      </c>
      <c r="K561">
        <v>10192</v>
      </c>
      <c r="L561" t="s">
        <v>25</v>
      </c>
      <c r="M561" t="s">
        <v>54</v>
      </c>
      <c r="N561" t="s">
        <v>41</v>
      </c>
      <c r="O561" s="2">
        <v>45032</v>
      </c>
      <c r="P561" s="2">
        <v>45032.458333333336</v>
      </c>
      <c r="Q561" s="38">
        <f t="shared" si="8"/>
        <v>0.45833333333575865</v>
      </c>
      <c r="R561" t="s">
        <v>42</v>
      </c>
      <c r="S561" t="s">
        <v>29</v>
      </c>
      <c r="T561" t="s">
        <v>47</v>
      </c>
      <c r="U561">
        <v>8</v>
      </c>
      <c r="V561">
        <v>8</v>
      </c>
      <c r="W561" s="18">
        <f>IFERROR(Table1[[#This Row],[Staff Hours Worked]]/Table1[[#This Row],[Staff Available Hours]],0)</f>
        <v>1</v>
      </c>
      <c r="X561" t="s">
        <v>31</v>
      </c>
    </row>
    <row r="562" spans="1:24">
      <c r="A562" t="s">
        <v>619</v>
      </c>
      <c r="B562">
        <v>5</v>
      </c>
      <c r="C562" t="str" cm="1">
        <f t="array" ref="C562">_xlfn.IFS(B562&lt;=18,"0-18",B562&lt;=35,"19-35",B562&lt;=50,"36-50",B562&lt;=65,"51-65","True","65+")</f>
        <v>0-18</v>
      </c>
      <c r="D562" t="s">
        <v>33</v>
      </c>
      <c r="E562" s="6">
        <v>44953</v>
      </c>
      <c r="F562" s="6">
        <v>44928</v>
      </c>
      <c r="G562">
        <v>5</v>
      </c>
      <c r="H562" t="s">
        <v>57</v>
      </c>
      <c r="I562">
        <v>2</v>
      </c>
      <c r="J562" t="s">
        <v>66</v>
      </c>
      <c r="K562">
        <v>7015</v>
      </c>
      <c r="L562" t="s">
        <v>60</v>
      </c>
      <c r="M562" t="s">
        <v>54</v>
      </c>
      <c r="N562" t="s">
        <v>41</v>
      </c>
      <c r="O562" s="2">
        <v>44953</v>
      </c>
      <c r="P562" s="2">
        <v>44954.208333333336</v>
      </c>
      <c r="Q562" s="38">
        <f t="shared" si="8"/>
        <v>1.2083333333357587</v>
      </c>
      <c r="R562" t="s">
        <v>55</v>
      </c>
      <c r="S562" t="s">
        <v>29</v>
      </c>
      <c r="T562" t="s">
        <v>43</v>
      </c>
      <c r="U562">
        <v>8</v>
      </c>
      <c r="V562">
        <v>10</v>
      </c>
      <c r="W562" s="18">
        <f>IFERROR(Table1[[#This Row],[Staff Hours Worked]]/Table1[[#This Row],[Staff Available Hours]],0)</f>
        <v>0.8</v>
      </c>
      <c r="X562" t="s">
        <v>68</v>
      </c>
    </row>
    <row r="563" spans="1:24">
      <c r="A563" t="s">
        <v>620</v>
      </c>
      <c r="B563">
        <v>35</v>
      </c>
      <c r="C563" t="str" cm="1">
        <f t="array" ref="C563">_xlfn.IFS(B563&lt;=18,"0-18",B563&lt;=35,"19-35",B563&lt;=50,"36-50",B563&lt;=65,"51-65","True","65+")</f>
        <v>19-35</v>
      </c>
      <c r="D563" t="s">
        <v>33</v>
      </c>
      <c r="E563" s="6">
        <v>45246</v>
      </c>
      <c r="F563" s="6">
        <v>45253</v>
      </c>
      <c r="G563">
        <v>7</v>
      </c>
      <c r="H563" t="s">
        <v>50</v>
      </c>
      <c r="I563">
        <v>3</v>
      </c>
      <c r="J563" t="s">
        <v>66</v>
      </c>
      <c r="K563">
        <v>47618</v>
      </c>
      <c r="L563" t="s">
        <v>60</v>
      </c>
      <c r="M563" t="s">
        <v>26</v>
      </c>
      <c r="N563" t="s">
        <v>27</v>
      </c>
      <c r="O563" s="2">
        <v>45243</v>
      </c>
      <c r="P563" s="2">
        <v>45244.25</v>
      </c>
      <c r="Q563" s="38">
        <f t="shared" si="8"/>
        <v>1.25</v>
      </c>
      <c r="R563" t="s">
        <v>28</v>
      </c>
      <c r="S563" t="s">
        <v>29</v>
      </c>
      <c r="T563" t="s">
        <v>47</v>
      </c>
      <c r="U563">
        <v>6</v>
      </c>
      <c r="V563">
        <v>8</v>
      </c>
      <c r="W563" s="18">
        <f>IFERROR(Table1[[#This Row],[Staff Hours Worked]]/Table1[[#This Row],[Staff Available Hours]],0)</f>
        <v>0.75</v>
      </c>
      <c r="X563" t="s">
        <v>48</v>
      </c>
    </row>
    <row r="564" spans="1:24">
      <c r="A564" t="s">
        <v>621</v>
      </c>
      <c r="B564">
        <v>87</v>
      </c>
      <c r="C564" t="str" cm="1">
        <f t="array" ref="C564">_xlfn.IFS(B564&lt;=18,"0-18",B564&lt;=35,"19-35",B564&lt;=50,"36-50",B564&lt;=65,"51-65","True","65+")</f>
        <v>65+</v>
      </c>
      <c r="D564" t="s">
        <v>45</v>
      </c>
      <c r="E564" s="6">
        <v>45311</v>
      </c>
      <c r="F564" s="6">
        <v>45318</v>
      </c>
      <c r="G564">
        <v>7</v>
      </c>
      <c r="H564" t="s">
        <v>23</v>
      </c>
      <c r="I564">
        <v>1</v>
      </c>
      <c r="J564" t="s">
        <v>24</v>
      </c>
      <c r="K564">
        <v>8380</v>
      </c>
      <c r="L564" t="s">
        <v>36</v>
      </c>
      <c r="M564" t="s">
        <v>54</v>
      </c>
      <c r="N564" t="s">
        <v>27</v>
      </c>
      <c r="O564" s="2">
        <v>45309</v>
      </c>
      <c r="P564" s="2">
        <v>45309.041666666664</v>
      </c>
      <c r="Q564" s="38">
        <f t="shared" si="8"/>
        <v>4.1666666664241347E-2</v>
      </c>
      <c r="R564" t="s">
        <v>37</v>
      </c>
      <c r="S564" t="s">
        <v>29</v>
      </c>
      <c r="T564" t="s">
        <v>43</v>
      </c>
      <c r="U564">
        <v>9</v>
      </c>
      <c r="V564">
        <v>10</v>
      </c>
      <c r="W564" s="18">
        <f>IFERROR(Table1[[#This Row],[Staff Hours Worked]]/Table1[[#This Row],[Staff Available Hours]],0)</f>
        <v>0.9</v>
      </c>
      <c r="X564" t="s">
        <v>48</v>
      </c>
    </row>
    <row r="565" spans="1:24">
      <c r="A565" t="s">
        <v>622</v>
      </c>
      <c r="B565">
        <v>75</v>
      </c>
      <c r="C565" t="str" cm="1">
        <f t="array" ref="C565">_xlfn.IFS(B565&lt;=18,"0-18",B565&lt;=35,"19-35",B565&lt;=50,"36-50",B565&lt;=65,"51-65","True","65+")</f>
        <v>65+</v>
      </c>
      <c r="D565" t="s">
        <v>52</v>
      </c>
      <c r="E565" s="6">
        <v>45598</v>
      </c>
      <c r="F565" s="6">
        <v>45346</v>
      </c>
      <c r="G565">
        <v>13</v>
      </c>
      <c r="H565" t="s">
        <v>34</v>
      </c>
      <c r="I565">
        <v>5</v>
      </c>
      <c r="J565" t="s">
        <v>71</v>
      </c>
      <c r="K565">
        <v>33343</v>
      </c>
      <c r="L565" t="s">
        <v>25</v>
      </c>
      <c r="M565" t="s">
        <v>54</v>
      </c>
      <c r="N565" t="s">
        <v>27</v>
      </c>
      <c r="O565" s="2">
        <v>45567</v>
      </c>
      <c r="P565" s="2">
        <v>45598.166666666664</v>
      </c>
      <c r="Q565" s="38">
        <f t="shared" si="8"/>
        <v>31.166666666664241</v>
      </c>
      <c r="R565" t="s">
        <v>42</v>
      </c>
      <c r="S565" t="s">
        <v>29</v>
      </c>
      <c r="T565" t="s">
        <v>43</v>
      </c>
      <c r="U565">
        <v>9</v>
      </c>
      <c r="V565">
        <v>12</v>
      </c>
      <c r="W565" s="18">
        <f>IFERROR(Table1[[#This Row],[Staff Hours Worked]]/Table1[[#This Row],[Staff Available Hours]],0)</f>
        <v>0.75</v>
      </c>
      <c r="X565" t="s">
        <v>31</v>
      </c>
    </row>
    <row r="566" spans="1:24">
      <c r="A566" t="s">
        <v>623</v>
      </c>
      <c r="B566">
        <v>18</v>
      </c>
      <c r="C566" t="str" cm="1">
        <f t="array" ref="C566">_xlfn.IFS(B566&lt;=18,"0-18",B566&lt;=35,"19-35",B566&lt;=50,"36-50",B566&lt;=65,"51-65","True","65+")</f>
        <v>0-18</v>
      </c>
      <c r="D566" t="s">
        <v>62</v>
      </c>
      <c r="E566" s="6">
        <v>45130</v>
      </c>
      <c r="F566" s="6">
        <v>45136</v>
      </c>
      <c r="G566">
        <v>6</v>
      </c>
      <c r="H566" t="s">
        <v>57</v>
      </c>
      <c r="I566">
        <v>5</v>
      </c>
      <c r="J566" t="s">
        <v>71</v>
      </c>
      <c r="K566">
        <v>8770</v>
      </c>
      <c r="L566" t="s">
        <v>53</v>
      </c>
      <c r="M566" t="s">
        <v>26</v>
      </c>
      <c r="N566" t="s">
        <v>41</v>
      </c>
      <c r="O566" s="2">
        <v>45127</v>
      </c>
      <c r="P566" s="2">
        <v>45127.541666666664</v>
      </c>
      <c r="Q566" s="38">
        <f t="shared" si="8"/>
        <v>0.54166666666424135</v>
      </c>
      <c r="R566" t="s">
        <v>42</v>
      </c>
      <c r="S566" t="s">
        <v>29</v>
      </c>
      <c r="T566" t="s">
        <v>47</v>
      </c>
      <c r="U566">
        <v>9</v>
      </c>
      <c r="V566">
        <v>12</v>
      </c>
      <c r="W566" s="18">
        <f>IFERROR(Table1[[#This Row],[Staff Hours Worked]]/Table1[[#This Row],[Staff Available Hours]],0)</f>
        <v>0.75</v>
      </c>
      <c r="X566" t="s">
        <v>68</v>
      </c>
    </row>
    <row r="567" spans="1:24">
      <c r="A567" t="s">
        <v>624</v>
      </c>
      <c r="B567">
        <v>76</v>
      </c>
      <c r="C567" t="str" cm="1">
        <f t="array" ref="C567">_xlfn.IFS(B567&lt;=18,"0-18",B567&lt;=35,"19-35",B567&lt;=50,"36-50",B567&lt;=65,"51-65","True","65+")</f>
        <v>65+</v>
      </c>
      <c r="D567" t="s">
        <v>52</v>
      </c>
      <c r="E567" s="6">
        <v>45004</v>
      </c>
      <c r="F567" s="6">
        <v>45015</v>
      </c>
      <c r="G567">
        <v>11</v>
      </c>
      <c r="H567" t="s">
        <v>34</v>
      </c>
      <c r="I567">
        <v>2</v>
      </c>
      <c r="J567" t="s">
        <v>71</v>
      </c>
      <c r="K567">
        <v>10829</v>
      </c>
      <c r="L567" t="s">
        <v>36</v>
      </c>
      <c r="M567" t="s">
        <v>26</v>
      </c>
      <c r="N567" t="s">
        <v>27</v>
      </c>
      <c r="O567" s="2">
        <v>44999</v>
      </c>
      <c r="P567" s="2">
        <v>45000.875</v>
      </c>
      <c r="Q567" s="38">
        <f t="shared" si="8"/>
        <v>1.875</v>
      </c>
      <c r="R567" t="s">
        <v>42</v>
      </c>
      <c r="S567" t="s">
        <v>29</v>
      </c>
      <c r="T567" t="s">
        <v>47</v>
      </c>
      <c r="U567">
        <v>9</v>
      </c>
      <c r="V567">
        <v>8</v>
      </c>
      <c r="W567" s="18">
        <f>IFERROR(Table1[[#This Row],[Staff Hours Worked]]/Table1[[#This Row],[Staff Available Hours]],0)</f>
        <v>1.125</v>
      </c>
      <c r="X567" t="s">
        <v>48</v>
      </c>
    </row>
    <row r="568" spans="1:24">
      <c r="A568" t="s">
        <v>625</v>
      </c>
      <c r="B568">
        <v>9</v>
      </c>
      <c r="C568" t="str" cm="1">
        <f t="array" ref="C568">_xlfn.IFS(B568&lt;=18,"0-18",B568&lt;=35,"19-35",B568&lt;=50,"36-50",B568&lt;=65,"51-65","True","65+")</f>
        <v>0-18</v>
      </c>
      <c r="D568" t="s">
        <v>45</v>
      </c>
      <c r="E568" s="6">
        <v>45086</v>
      </c>
      <c r="F568" s="6">
        <v>45185</v>
      </c>
      <c r="G568">
        <v>10</v>
      </c>
      <c r="H568" t="s">
        <v>23</v>
      </c>
      <c r="I568">
        <v>1</v>
      </c>
      <c r="J568" t="s">
        <v>24</v>
      </c>
      <c r="K568">
        <v>39381</v>
      </c>
      <c r="L568" t="s">
        <v>53</v>
      </c>
      <c r="M568" t="s">
        <v>26</v>
      </c>
      <c r="N568" t="s">
        <v>27</v>
      </c>
      <c r="O568" s="2">
        <v>44966</v>
      </c>
      <c r="P568" s="2">
        <v>44966.375</v>
      </c>
      <c r="Q568" s="38">
        <f t="shared" si="8"/>
        <v>0.375</v>
      </c>
      <c r="R568" t="s">
        <v>28</v>
      </c>
      <c r="S568" t="s">
        <v>29</v>
      </c>
      <c r="T568" t="s">
        <v>47</v>
      </c>
      <c r="U568">
        <v>4</v>
      </c>
      <c r="V568">
        <v>12</v>
      </c>
      <c r="W568" s="18">
        <f>IFERROR(Table1[[#This Row],[Staff Hours Worked]]/Table1[[#This Row],[Staff Available Hours]],0)</f>
        <v>0.33333333333333331</v>
      </c>
      <c r="X568" t="s">
        <v>48</v>
      </c>
    </row>
    <row r="569" spans="1:24">
      <c r="A569" t="s">
        <v>626</v>
      </c>
      <c r="B569">
        <v>74</v>
      </c>
      <c r="C569" t="str" cm="1">
        <f t="array" ref="C569">_xlfn.IFS(B569&lt;=18,"0-18",B569&lt;=35,"19-35",B569&lt;=50,"36-50",B569&lt;=65,"51-65","True","65+")</f>
        <v>65+</v>
      </c>
      <c r="D569" t="s">
        <v>62</v>
      </c>
      <c r="E569" s="6">
        <v>45031</v>
      </c>
      <c r="F569" s="6">
        <v>45032</v>
      </c>
      <c r="G569">
        <v>1</v>
      </c>
      <c r="H569" t="s">
        <v>50</v>
      </c>
      <c r="I569">
        <v>1</v>
      </c>
      <c r="J569" t="s">
        <v>71</v>
      </c>
      <c r="K569">
        <v>20545</v>
      </c>
      <c r="L569" t="s">
        <v>60</v>
      </c>
      <c r="M569" t="s">
        <v>26</v>
      </c>
      <c r="N569" t="s">
        <v>41</v>
      </c>
      <c r="O569" s="2">
        <v>45203</v>
      </c>
      <c r="P569" s="2">
        <v>45234.75</v>
      </c>
      <c r="Q569" s="38">
        <f t="shared" si="8"/>
        <v>31.75</v>
      </c>
      <c r="R569" t="s">
        <v>64</v>
      </c>
      <c r="S569" t="s">
        <v>29</v>
      </c>
      <c r="T569" t="s">
        <v>47</v>
      </c>
      <c r="U569">
        <v>6</v>
      </c>
      <c r="V569">
        <v>12</v>
      </c>
      <c r="W569" s="18">
        <f>IFERROR(Table1[[#This Row],[Staff Hours Worked]]/Table1[[#This Row],[Staff Available Hours]],0)</f>
        <v>0.5</v>
      </c>
      <c r="X569" t="s">
        <v>48</v>
      </c>
    </row>
    <row r="570" spans="1:24">
      <c r="A570" t="s">
        <v>627</v>
      </c>
      <c r="B570">
        <v>58</v>
      </c>
      <c r="C570" t="str" cm="1">
        <f t="array" ref="C570">_xlfn.IFS(B570&lt;=18,"0-18",B570&lt;=35,"19-35",B570&lt;=50,"36-50",B570&lt;=65,"51-65","True","65+")</f>
        <v>51-65</v>
      </c>
      <c r="D570" t="s">
        <v>33</v>
      </c>
      <c r="E570" s="6">
        <v>45057</v>
      </c>
      <c r="F570" s="6">
        <v>45248</v>
      </c>
      <c r="G570">
        <v>13</v>
      </c>
      <c r="H570" t="s">
        <v>23</v>
      </c>
      <c r="I570">
        <v>1</v>
      </c>
      <c r="J570" t="s">
        <v>66</v>
      </c>
      <c r="K570">
        <v>23263</v>
      </c>
      <c r="L570" t="s">
        <v>36</v>
      </c>
      <c r="M570" t="s">
        <v>54</v>
      </c>
      <c r="N570" t="s">
        <v>27</v>
      </c>
      <c r="O570" s="2">
        <v>44996</v>
      </c>
      <c r="P570" s="2">
        <v>44996.833333333336</v>
      </c>
      <c r="Q570" s="38">
        <f t="shared" si="8"/>
        <v>0.83333333333575865</v>
      </c>
      <c r="R570" t="s">
        <v>55</v>
      </c>
      <c r="S570" t="s">
        <v>29</v>
      </c>
      <c r="T570" t="s">
        <v>47</v>
      </c>
      <c r="U570">
        <v>10</v>
      </c>
      <c r="V570">
        <v>12</v>
      </c>
      <c r="W570" s="18">
        <f>IFERROR(Table1[[#This Row],[Staff Hours Worked]]/Table1[[#This Row],[Staff Available Hours]],0)</f>
        <v>0.83333333333333337</v>
      </c>
      <c r="X570" t="s">
        <v>31</v>
      </c>
    </row>
    <row r="571" spans="1:24">
      <c r="A571" t="s">
        <v>628</v>
      </c>
      <c r="B571">
        <v>17</v>
      </c>
      <c r="C571" t="str" cm="1">
        <f t="array" ref="C571">_xlfn.IFS(B571&lt;=18,"0-18",B571&lt;=35,"19-35",B571&lt;=50,"36-50",B571&lt;=65,"51-65","True","65+")</f>
        <v>0-18</v>
      </c>
      <c r="D571" t="s">
        <v>45</v>
      </c>
      <c r="E571" s="6">
        <v>45021</v>
      </c>
      <c r="F571" s="6">
        <v>45061</v>
      </c>
      <c r="G571">
        <v>11</v>
      </c>
      <c r="H571" t="s">
        <v>57</v>
      </c>
      <c r="I571">
        <v>4</v>
      </c>
      <c r="J571" t="s">
        <v>35</v>
      </c>
      <c r="K571">
        <v>43140</v>
      </c>
      <c r="L571" t="s">
        <v>36</v>
      </c>
      <c r="M571" t="s">
        <v>54</v>
      </c>
      <c r="N571" t="s">
        <v>41</v>
      </c>
      <c r="O571" s="2">
        <v>45045</v>
      </c>
      <c r="P571" s="2">
        <v>45045.458333333336</v>
      </c>
      <c r="Q571" s="38">
        <f t="shared" si="8"/>
        <v>0.45833333333575865</v>
      </c>
      <c r="R571" t="s">
        <v>64</v>
      </c>
      <c r="S571" t="s">
        <v>38</v>
      </c>
      <c r="T571" t="s">
        <v>47</v>
      </c>
      <c r="U571">
        <v>4</v>
      </c>
      <c r="V571">
        <v>12</v>
      </c>
      <c r="W571" s="18">
        <f>IFERROR(Table1[[#This Row],[Staff Hours Worked]]/Table1[[#This Row],[Staff Available Hours]],0)</f>
        <v>0.33333333333333331</v>
      </c>
      <c r="X571" t="s">
        <v>31</v>
      </c>
    </row>
    <row r="572" spans="1:24">
      <c r="A572" t="s">
        <v>629</v>
      </c>
      <c r="B572">
        <v>7</v>
      </c>
      <c r="C572" t="str" cm="1">
        <f t="array" ref="C572">_xlfn.IFS(B572&lt;=18,"0-18",B572&lt;=35,"19-35",B572&lt;=50,"36-50",B572&lt;=65,"51-65","True","65+")</f>
        <v>0-18</v>
      </c>
      <c r="D572" t="s">
        <v>33</v>
      </c>
      <c r="E572" s="6">
        <v>45262</v>
      </c>
      <c r="F572" s="6">
        <v>44980</v>
      </c>
      <c r="G572">
        <v>11</v>
      </c>
      <c r="H572" t="s">
        <v>40</v>
      </c>
      <c r="I572">
        <v>4</v>
      </c>
      <c r="J572" t="s">
        <v>66</v>
      </c>
      <c r="K572">
        <v>48306</v>
      </c>
      <c r="L572" t="s">
        <v>67</v>
      </c>
      <c r="M572" t="s">
        <v>54</v>
      </c>
      <c r="N572" t="s">
        <v>27</v>
      </c>
      <c r="O572" s="2">
        <v>45262</v>
      </c>
      <c r="P572" s="2">
        <v>45262.75</v>
      </c>
      <c r="Q572" s="38">
        <f t="shared" si="8"/>
        <v>0.75</v>
      </c>
      <c r="R572" t="s">
        <v>55</v>
      </c>
      <c r="S572" t="s">
        <v>29</v>
      </c>
      <c r="T572" t="s">
        <v>47</v>
      </c>
      <c r="U572">
        <v>8</v>
      </c>
      <c r="V572">
        <v>10</v>
      </c>
      <c r="W572" s="18">
        <f>IFERROR(Table1[[#This Row],[Staff Hours Worked]]/Table1[[#This Row],[Staff Available Hours]],0)</f>
        <v>0.8</v>
      </c>
      <c r="X572" t="s">
        <v>48</v>
      </c>
    </row>
    <row r="573" spans="1:24">
      <c r="A573" t="s">
        <v>630</v>
      </c>
      <c r="B573">
        <v>46</v>
      </c>
      <c r="C573" t="str" cm="1">
        <f t="array" ref="C573">_xlfn.IFS(B573&lt;=18,"0-18",B573&lt;=35,"19-35",B573&lt;=50,"36-50",B573&lt;=65,"51-65","True","65+")</f>
        <v>36-50</v>
      </c>
      <c r="D573" t="s">
        <v>22</v>
      </c>
      <c r="E573" s="6">
        <v>45282</v>
      </c>
      <c r="F573" s="6">
        <v>45288</v>
      </c>
      <c r="G573">
        <v>6</v>
      </c>
      <c r="H573" t="s">
        <v>50</v>
      </c>
      <c r="I573">
        <v>2</v>
      </c>
      <c r="J573" t="s">
        <v>66</v>
      </c>
      <c r="K573">
        <v>30675</v>
      </c>
      <c r="L573" t="s">
        <v>60</v>
      </c>
      <c r="M573" t="s">
        <v>54</v>
      </c>
      <c r="N573" t="s">
        <v>41</v>
      </c>
      <c r="O573" s="2">
        <v>45277</v>
      </c>
      <c r="P573" s="2">
        <v>45277.25</v>
      </c>
      <c r="Q573" s="38">
        <f t="shared" si="8"/>
        <v>0.25</v>
      </c>
      <c r="R573" t="s">
        <v>55</v>
      </c>
      <c r="S573" t="s">
        <v>29</v>
      </c>
      <c r="T573" t="s">
        <v>30</v>
      </c>
      <c r="U573">
        <v>4</v>
      </c>
      <c r="V573">
        <v>10</v>
      </c>
      <c r="W573" s="18">
        <f>IFERROR(Table1[[#This Row],[Staff Hours Worked]]/Table1[[#This Row],[Staff Available Hours]],0)</f>
        <v>0.4</v>
      </c>
      <c r="X573" t="s">
        <v>48</v>
      </c>
    </row>
    <row r="574" spans="1:24">
      <c r="A574" t="s">
        <v>631</v>
      </c>
      <c r="B574">
        <v>13</v>
      </c>
      <c r="C574" t="str" cm="1">
        <f t="array" ref="C574">_xlfn.IFS(B574&lt;=18,"0-18",B574&lt;=35,"19-35",B574&lt;=50,"36-50",B574&lt;=65,"51-65","True","65+")</f>
        <v>0-18</v>
      </c>
      <c r="D574" t="s">
        <v>41</v>
      </c>
      <c r="E574" s="6">
        <v>45365</v>
      </c>
      <c r="F574" s="6">
        <v>45367</v>
      </c>
      <c r="G574">
        <v>2</v>
      </c>
      <c r="H574" t="s">
        <v>63</v>
      </c>
      <c r="I574">
        <v>1</v>
      </c>
      <c r="J574" t="s">
        <v>35</v>
      </c>
      <c r="K574">
        <v>30362</v>
      </c>
      <c r="L574" t="s">
        <v>60</v>
      </c>
      <c r="M574" t="s">
        <v>26</v>
      </c>
      <c r="N574" t="s">
        <v>41</v>
      </c>
      <c r="O574" s="2">
        <v>45629</v>
      </c>
      <c r="P574" s="2">
        <v>45364.75</v>
      </c>
      <c r="Q574" s="38">
        <f t="shared" si="8"/>
        <v>264.25</v>
      </c>
      <c r="R574" t="s">
        <v>42</v>
      </c>
      <c r="S574" t="s">
        <v>29</v>
      </c>
      <c r="T574" t="s">
        <v>43</v>
      </c>
      <c r="U574">
        <v>11</v>
      </c>
      <c r="V574">
        <v>8</v>
      </c>
      <c r="W574" s="18">
        <f>IFERROR(Table1[[#This Row],[Staff Hours Worked]]/Table1[[#This Row],[Staff Available Hours]],0)</f>
        <v>1.375</v>
      </c>
      <c r="X574" t="s">
        <v>68</v>
      </c>
    </row>
    <row r="575" spans="1:24">
      <c r="A575" t="s">
        <v>632</v>
      </c>
      <c r="B575">
        <v>40</v>
      </c>
      <c r="C575" t="str" cm="1">
        <f t="array" ref="C575">_xlfn.IFS(B575&lt;=18,"0-18",B575&lt;=35,"19-35",B575&lt;=50,"36-50",B575&lt;=65,"51-65","True","65+")</f>
        <v>36-50</v>
      </c>
      <c r="D575" t="s">
        <v>45</v>
      </c>
      <c r="E575" s="6">
        <v>45306</v>
      </c>
      <c r="F575" s="6">
        <v>45312</v>
      </c>
      <c r="G575">
        <v>6</v>
      </c>
      <c r="H575" t="s">
        <v>34</v>
      </c>
      <c r="I575">
        <v>1</v>
      </c>
      <c r="J575" t="s">
        <v>66</v>
      </c>
      <c r="K575">
        <v>5148</v>
      </c>
      <c r="L575" t="s">
        <v>36</v>
      </c>
      <c r="M575" t="s">
        <v>54</v>
      </c>
      <c r="N575" t="s">
        <v>41</v>
      </c>
      <c r="O575" s="2">
        <v>45304</v>
      </c>
      <c r="P575" s="2">
        <v>45305</v>
      </c>
      <c r="Q575" s="38">
        <f t="shared" si="8"/>
        <v>1</v>
      </c>
      <c r="R575" t="s">
        <v>37</v>
      </c>
      <c r="S575" t="s">
        <v>29</v>
      </c>
      <c r="T575" t="s">
        <v>43</v>
      </c>
      <c r="U575">
        <v>10</v>
      </c>
      <c r="V575">
        <v>12</v>
      </c>
      <c r="W575" s="18">
        <f>IFERROR(Table1[[#This Row],[Staff Hours Worked]]/Table1[[#This Row],[Staff Available Hours]],0)</f>
        <v>0.83333333333333337</v>
      </c>
      <c r="X575" t="s">
        <v>68</v>
      </c>
    </row>
    <row r="576" spans="1:24">
      <c r="A576" t="s">
        <v>633</v>
      </c>
      <c r="B576">
        <v>42</v>
      </c>
      <c r="C576" t="str" cm="1">
        <f t="array" ref="C576">_xlfn.IFS(B576&lt;=18,"0-18",B576&lt;=35,"19-35",B576&lt;=50,"36-50",B576&lt;=65,"51-65","True","65+")</f>
        <v>36-50</v>
      </c>
      <c r="D576" t="s">
        <v>22</v>
      </c>
      <c r="E576" s="6">
        <v>45263</v>
      </c>
      <c r="F576" s="6">
        <v>44999</v>
      </c>
      <c r="G576">
        <v>2</v>
      </c>
      <c r="H576" t="s">
        <v>23</v>
      </c>
      <c r="I576">
        <v>5</v>
      </c>
      <c r="J576" t="s">
        <v>24</v>
      </c>
      <c r="K576">
        <v>6754</v>
      </c>
      <c r="L576" t="s">
        <v>60</v>
      </c>
      <c r="M576" t="s">
        <v>54</v>
      </c>
      <c r="N576" t="s">
        <v>41</v>
      </c>
      <c r="O576" s="2">
        <v>45141</v>
      </c>
      <c r="P576" s="2">
        <v>45141.708333333336</v>
      </c>
      <c r="Q576" s="38">
        <f t="shared" si="8"/>
        <v>0.70833333333575865</v>
      </c>
      <c r="R576" t="s">
        <v>42</v>
      </c>
      <c r="S576" t="s">
        <v>29</v>
      </c>
      <c r="T576" t="s">
        <v>47</v>
      </c>
      <c r="U576">
        <v>10</v>
      </c>
      <c r="V576">
        <v>12</v>
      </c>
      <c r="W576" s="18">
        <f>IFERROR(Table1[[#This Row],[Staff Hours Worked]]/Table1[[#This Row],[Staff Available Hours]],0)</f>
        <v>0.83333333333333337</v>
      </c>
      <c r="X576" t="s">
        <v>68</v>
      </c>
    </row>
    <row r="577" spans="1:24">
      <c r="A577" t="s">
        <v>634</v>
      </c>
      <c r="B577">
        <v>9</v>
      </c>
      <c r="C577" t="str" cm="1">
        <f t="array" ref="C577">_xlfn.IFS(B577&lt;=18,"0-18",B577&lt;=35,"19-35",B577&lt;=50,"36-50",B577&lt;=65,"51-65","True","65+")</f>
        <v>0-18</v>
      </c>
      <c r="D577" t="s">
        <v>45</v>
      </c>
      <c r="E577" s="6">
        <v>45328</v>
      </c>
      <c r="F577" s="6">
        <v>45602</v>
      </c>
      <c r="G577">
        <v>9</v>
      </c>
      <c r="H577" t="s">
        <v>50</v>
      </c>
      <c r="I577">
        <v>5</v>
      </c>
      <c r="J577" t="s">
        <v>35</v>
      </c>
      <c r="K577">
        <v>31745</v>
      </c>
      <c r="L577" t="s">
        <v>36</v>
      </c>
      <c r="M577" t="s">
        <v>54</v>
      </c>
      <c r="N577" t="s">
        <v>27</v>
      </c>
      <c r="O577" s="2">
        <v>45297</v>
      </c>
      <c r="P577" s="2">
        <v>45297.25</v>
      </c>
      <c r="Q577" s="38">
        <f t="shared" si="8"/>
        <v>0.25</v>
      </c>
      <c r="R577" t="s">
        <v>28</v>
      </c>
      <c r="S577" t="s">
        <v>38</v>
      </c>
      <c r="T577" t="s">
        <v>43</v>
      </c>
      <c r="U577">
        <v>10</v>
      </c>
      <c r="V577">
        <v>12</v>
      </c>
      <c r="W577" s="18">
        <f>IFERROR(Table1[[#This Row],[Staff Hours Worked]]/Table1[[#This Row],[Staff Available Hours]],0)</f>
        <v>0.83333333333333337</v>
      </c>
      <c r="X577" t="s">
        <v>31</v>
      </c>
    </row>
    <row r="578" spans="1:24">
      <c r="A578" t="s">
        <v>635</v>
      </c>
      <c r="B578">
        <v>50</v>
      </c>
      <c r="C578" t="str" cm="1">
        <f t="array" ref="C578">_xlfn.IFS(B578&lt;=18,"0-18",B578&lt;=35,"19-35",B578&lt;=50,"36-50",B578&lt;=65,"51-65","True","65+")</f>
        <v>36-50</v>
      </c>
      <c r="D578" t="s">
        <v>45</v>
      </c>
      <c r="E578" s="6">
        <v>45276</v>
      </c>
      <c r="F578" s="6">
        <v>45287</v>
      </c>
      <c r="G578">
        <v>11</v>
      </c>
      <c r="H578" t="s">
        <v>23</v>
      </c>
      <c r="I578">
        <v>2</v>
      </c>
      <c r="J578" t="s">
        <v>66</v>
      </c>
      <c r="K578">
        <v>12378</v>
      </c>
      <c r="L578" t="s">
        <v>67</v>
      </c>
      <c r="M578" t="s">
        <v>26</v>
      </c>
      <c r="N578" t="s">
        <v>41</v>
      </c>
      <c r="O578" s="2">
        <v>45275</v>
      </c>
      <c r="P578" s="2">
        <v>45276</v>
      </c>
      <c r="Q578" s="38">
        <f t="shared" ref="Q578:Q641" si="9">IF(OR(O578="",P578=""),"",ABS(P578-O578))</f>
        <v>1</v>
      </c>
      <c r="R578" t="s">
        <v>55</v>
      </c>
      <c r="S578" t="s">
        <v>29</v>
      </c>
      <c r="T578" t="s">
        <v>47</v>
      </c>
      <c r="U578">
        <v>9</v>
      </c>
      <c r="V578">
        <v>8</v>
      </c>
      <c r="W578" s="18">
        <f>IFERROR(Table1[[#This Row],[Staff Hours Worked]]/Table1[[#This Row],[Staff Available Hours]],0)</f>
        <v>1.125</v>
      </c>
      <c r="X578" t="s">
        <v>48</v>
      </c>
    </row>
    <row r="579" spans="1:24">
      <c r="A579" t="s">
        <v>636</v>
      </c>
      <c r="B579">
        <v>27</v>
      </c>
      <c r="C579" t="str" cm="1">
        <f t="array" ref="C579">_xlfn.IFS(B579&lt;=18,"0-18",B579&lt;=35,"19-35",B579&lt;=50,"36-50",B579&lt;=65,"51-65","True","65+")</f>
        <v>19-35</v>
      </c>
      <c r="D579" t="s">
        <v>22</v>
      </c>
      <c r="E579" s="6">
        <v>44939</v>
      </c>
      <c r="F579" s="6">
        <v>44946</v>
      </c>
      <c r="G579">
        <v>7</v>
      </c>
      <c r="H579" t="s">
        <v>50</v>
      </c>
      <c r="I579">
        <v>1</v>
      </c>
      <c r="J579" t="s">
        <v>46</v>
      </c>
      <c r="K579">
        <v>25140</v>
      </c>
      <c r="L579" t="s">
        <v>36</v>
      </c>
      <c r="M579" t="s">
        <v>54</v>
      </c>
      <c r="N579" t="s">
        <v>27</v>
      </c>
      <c r="O579" s="2">
        <v>45261</v>
      </c>
      <c r="P579" s="2">
        <v>44939.791666666664</v>
      </c>
      <c r="Q579" s="38">
        <f t="shared" si="9"/>
        <v>321.20833333333576</v>
      </c>
      <c r="R579" t="s">
        <v>37</v>
      </c>
      <c r="S579" t="s">
        <v>29</v>
      </c>
      <c r="T579" t="s">
        <v>30</v>
      </c>
      <c r="U579">
        <v>8</v>
      </c>
      <c r="V579">
        <v>10</v>
      </c>
      <c r="W579" s="18">
        <f>IFERROR(Table1[[#This Row],[Staff Hours Worked]]/Table1[[#This Row],[Staff Available Hours]],0)</f>
        <v>0.8</v>
      </c>
      <c r="X579" t="s">
        <v>31</v>
      </c>
    </row>
    <row r="580" spans="1:24">
      <c r="A580" t="s">
        <v>637</v>
      </c>
      <c r="B580">
        <v>66</v>
      </c>
      <c r="C580" t="str" cm="1">
        <f t="array" ref="C580">_xlfn.IFS(B580&lt;=18,"0-18",B580&lt;=35,"19-35",B580&lt;=50,"36-50",B580&lt;=65,"51-65","True","65+")</f>
        <v>65+</v>
      </c>
      <c r="D580" t="s">
        <v>62</v>
      </c>
      <c r="E580" s="6">
        <v>45446</v>
      </c>
      <c r="F580" s="6">
        <v>45599</v>
      </c>
      <c r="G580">
        <v>5</v>
      </c>
      <c r="H580" t="s">
        <v>57</v>
      </c>
      <c r="I580">
        <v>2</v>
      </c>
      <c r="J580" t="s">
        <v>66</v>
      </c>
      <c r="K580">
        <v>14371</v>
      </c>
      <c r="L580" t="s">
        <v>60</v>
      </c>
      <c r="M580" t="s">
        <v>54</v>
      </c>
      <c r="N580" t="s">
        <v>41</v>
      </c>
      <c r="O580" s="2">
        <v>45354</v>
      </c>
      <c r="P580" s="2">
        <v>45385.75</v>
      </c>
      <c r="Q580" s="38">
        <f t="shared" si="9"/>
        <v>31.75</v>
      </c>
      <c r="R580" t="s">
        <v>55</v>
      </c>
      <c r="S580" t="s">
        <v>29</v>
      </c>
      <c r="T580" t="s">
        <v>43</v>
      </c>
      <c r="U580">
        <v>4</v>
      </c>
      <c r="V580">
        <v>12</v>
      </c>
      <c r="W580" s="18">
        <f>IFERROR(Table1[[#This Row],[Staff Hours Worked]]/Table1[[#This Row],[Staff Available Hours]],0)</f>
        <v>0.33333333333333331</v>
      </c>
      <c r="X580" t="s">
        <v>48</v>
      </c>
    </row>
    <row r="581" spans="1:24">
      <c r="A581" t="s">
        <v>638</v>
      </c>
      <c r="B581">
        <v>5</v>
      </c>
      <c r="C581" t="str" cm="1">
        <f t="array" ref="C581">_xlfn.IFS(B581&lt;=18,"0-18",B581&lt;=35,"19-35",B581&lt;=50,"36-50",B581&lt;=65,"51-65","True","65+")</f>
        <v>0-18</v>
      </c>
      <c r="D581" t="s">
        <v>52</v>
      </c>
      <c r="E581" s="6">
        <v>45428</v>
      </c>
      <c r="F581" s="6">
        <v>45433</v>
      </c>
      <c r="G581">
        <v>5</v>
      </c>
      <c r="H581" t="s">
        <v>57</v>
      </c>
      <c r="I581">
        <v>5</v>
      </c>
      <c r="J581" t="s">
        <v>24</v>
      </c>
      <c r="K581">
        <v>31999</v>
      </c>
      <c r="L581" t="s">
        <v>60</v>
      </c>
      <c r="M581" t="s">
        <v>54</v>
      </c>
      <c r="N581" t="s">
        <v>27</v>
      </c>
      <c r="O581" s="2">
        <v>45427</v>
      </c>
      <c r="P581" s="2">
        <v>45427.458333333336</v>
      </c>
      <c r="Q581" s="38">
        <f t="shared" si="9"/>
        <v>0.45833333333575865</v>
      </c>
      <c r="R581" t="s">
        <v>55</v>
      </c>
      <c r="S581" t="s">
        <v>29</v>
      </c>
      <c r="T581" t="s">
        <v>43</v>
      </c>
      <c r="U581">
        <v>4</v>
      </c>
      <c r="V581">
        <v>10</v>
      </c>
      <c r="W581" s="18">
        <f>IFERROR(Table1[[#This Row],[Staff Hours Worked]]/Table1[[#This Row],[Staff Available Hours]],0)</f>
        <v>0.4</v>
      </c>
      <c r="X581" t="s">
        <v>68</v>
      </c>
    </row>
    <row r="582" spans="1:24">
      <c r="A582" t="s">
        <v>639</v>
      </c>
      <c r="B582">
        <v>29</v>
      </c>
      <c r="C582" t="str" cm="1">
        <f t="array" ref="C582">_xlfn.IFS(B582&lt;=18,"0-18",B582&lt;=35,"19-35",B582&lt;=50,"36-50",B582&lt;=65,"51-65","True","65+")</f>
        <v>19-35</v>
      </c>
      <c r="D582" t="s">
        <v>33</v>
      </c>
      <c r="E582" s="6">
        <v>45035</v>
      </c>
      <c r="F582" s="6">
        <v>44931</v>
      </c>
      <c r="G582">
        <v>12</v>
      </c>
      <c r="H582" t="s">
        <v>57</v>
      </c>
      <c r="I582">
        <v>5</v>
      </c>
      <c r="J582" t="s">
        <v>71</v>
      </c>
      <c r="K582">
        <v>17779</v>
      </c>
      <c r="L582" t="s">
        <v>36</v>
      </c>
      <c r="M582" t="s">
        <v>26</v>
      </c>
      <c r="N582" t="s">
        <v>27</v>
      </c>
      <c r="O582" s="2">
        <v>45032</v>
      </c>
      <c r="P582" s="2">
        <v>45032.166666666664</v>
      </c>
      <c r="Q582" s="38">
        <f t="shared" si="9"/>
        <v>0.16666666666424135</v>
      </c>
      <c r="R582" t="s">
        <v>42</v>
      </c>
      <c r="S582" t="s">
        <v>29</v>
      </c>
      <c r="T582" t="s">
        <v>30</v>
      </c>
      <c r="U582">
        <v>11</v>
      </c>
      <c r="V582">
        <v>8</v>
      </c>
      <c r="W582" s="18">
        <f>IFERROR(Table1[[#This Row],[Staff Hours Worked]]/Table1[[#This Row],[Staff Available Hours]],0)</f>
        <v>1.375</v>
      </c>
      <c r="X582" t="s">
        <v>68</v>
      </c>
    </row>
    <row r="583" spans="1:24">
      <c r="A583" t="s">
        <v>640</v>
      </c>
      <c r="B583">
        <v>37</v>
      </c>
      <c r="C583" t="str" cm="1">
        <f t="array" ref="C583">_xlfn.IFS(B583&lt;=18,"0-18",B583&lt;=35,"19-35",B583&lt;=50,"36-50",B583&lt;=65,"51-65","True","65+")</f>
        <v>36-50</v>
      </c>
      <c r="D583" t="s">
        <v>45</v>
      </c>
      <c r="E583" s="6">
        <v>45370</v>
      </c>
      <c r="F583" s="6">
        <v>45326</v>
      </c>
      <c r="G583">
        <v>14</v>
      </c>
      <c r="H583" t="s">
        <v>23</v>
      </c>
      <c r="I583">
        <v>4</v>
      </c>
      <c r="J583" t="s">
        <v>66</v>
      </c>
      <c r="K583">
        <v>36075</v>
      </c>
      <c r="L583" t="s">
        <v>36</v>
      </c>
      <c r="M583" t="s">
        <v>54</v>
      </c>
      <c r="N583" t="s">
        <v>41</v>
      </c>
      <c r="O583" s="2">
        <v>45365</v>
      </c>
      <c r="P583" s="2">
        <v>45366.083333333336</v>
      </c>
      <c r="Q583" s="38">
        <f t="shared" si="9"/>
        <v>1.0833333333357587</v>
      </c>
      <c r="R583" t="s">
        <v>37</v>
      </c>
      <c r="S583" t="s">
        <v>29</v>
      </c>
      <c r="T583" t="s">
        <v>30</v>
      </c>
      <c r="U583">
        <v>6</v>
      </c>
      <c r="V583">
        <v>10</v>
      </c>
      <c r="W583" s="18">
        <f>IFERROR(Table1[[#This Row],[Staff Hours Worked]]/Table1[[#This Row],[Staff Available Hours]],0)</f>
        <v>0.6</v>
      </c>
      <c r="X583" t="s">
        <v>68</v>
      </c>
    </row>
    <row r="584" spans="1:24">
      <c r="A584" t="s">
        <v>641</v>
      </c>
      <c r="B584">
        <v>38</v>
      </c>
      <c r="C584" t="str" cm="1">
        <f t="array" ref="C584">_xlfn.IFS(B584&lt;=18,"0-18",B584&lt;=35,"19-35",B584&lt;=50,"36-50",B584&lt;=65,"51-65","True","65+")</f>
        <v>36-50</v>
      </c>
      <c r="D584" t="s">
        <v>33</v>
      </c>
      <c r="E584" s="6">
        <v>45444</v>
      </c>
      <c r="F584" s="6">
        <v>45308</v>
      </c>
      <c r="G584">
        <v>11</v>
      </c>
      <c r="H584" t="s">
        <v>63</v>
      </c>
      <c r="I584">
        <v>2</v>
      </c>
      <c r="J584" t="s">
        <v>71</v>
      </c>
      <c r="K584">
        <v>35697</v>
      </c>
      <c r="L584" t="s">
        <v>36</v>
      </c>
      <c r="M584" t="s">
        <v>54</v>
      </c>
      <c r="N584" t="s">
        <v>27</v>
      </c>
      <c r="O584" s="2">
        <v>45323</v>
      </c>
      <c r="P584" s="2">
        <v>45352.708333333336</v>
      </c>
      <c r="Q584" s="38">
        <f t="shared" si="9"/>
        <v>29.708333333335759</v>
      </c>
      <c r="R584" t="s">
        <v>37</v>
      </c>
      <c r="S584" t="s">
        <v>29</v>
      </c>
      <c r="T584" t="s">
        <v>30</v>
      </c>
      <c r="U584">
        <v>4</v>
      </c>
      <c r="V584">
        <v>12</v>
      </c>
      <c r="W584" s="18">
        <f>IFERROR(Table1[[#This Row],[Staff Hours Worked]]/Table1[[#This Row],[Staff Available Hours]],0)</f>
        <v>0.33333333333333331</v>
      </c>
      <c r="X584" t="s">
        <v>68</v>
      </c>
    </row>
    <row r="585" spans="1:24">
      <c r="A585" t="s">
        <v>642</v>
      </c>
      <c r="B585">
        <v>83</v>
      </c>
      <c r="C585" t="str" cm="1">
        <f t="array" ref="C585">_xlfn.IFS(B585&lt;=18,"0-18",B585&lt;=35,"19-35",B585&lt;=50,"36-50",B585&lt;=65,"51-65","True","65+")</f>
        <v>65+</v>
      </c>
      <c r="D585" t="s">
        <v>41</v>
      </c>
      <c r="E585" s="6">
        <v>45397</v>
      </c>
      <c r="F585" s="6">
        <v>45412</v>
      </c>
      <c r="G585">
        <v>15</v>
      </c>
      <c r="H585" t="s">
        <v>57</v>
      </c>
      <c r="I585">
        <v>2</v>
      </c>
      <c r="J585" t="s">
        <v>46</v>
      </c>
      <c r="K585">
        <v>14795</v>
      </c>
      <c r="L585" t="s">
        <v>25</v>
      </c>
      <c r="M585" t="s">
        <v>54</v>
      </c>
      <c r="N585" t="s">
        <v>41</v>
      </c>
      <c r="O585" s="2">
        <v>45395</v>
      </c>
      <c r="P585" s="2">
        <v>45395.833333333336</v>
      </c>
      <c r="Q585" s="38">
        <f t="shared" si="9"/>
        <v>0.83333333333575865</v>
      </c>
      <c r="R585" t="s">
        <v>55</v>
      </c>
      <c r="S585" t="s">
        <v>29</v>
      </c>
      <c r="T585" t="s">
        <v>43</v>
      </c>
      <c r="U585">
        <v>11</v>
      </c>
      <c r="V585">
        <v>10</v>
      </c>
      <c r="W585" s="18">
        <f>IFERROR(Table1[[#This Row],[Staff Hours Worked]]/Table1[[#This Row],[Staff Available Hours]],0)</f>
        <v>1.1000000000000001</v>
      </c>
      <c r="X585" t="s">
        <v>48</v>
      </c>
    </row>
    <row r="586" spans="1:24">
      <c r="A586" t="s">
        <v>643</v>
      </c>
      <c r="B586">
        <v>8</v>
      </c>
      <c r="C586" t="str" cm="1">
        <f t="array" ref="C586">_xlfn.IFS(B586&lt;=18,"0-18",B586&lt;=35,"19-35",B586&lt;=50,"36-50",B586&lt;=65,"51-65","True","65+")</f>
        <v>0-18</v>
      </c>
      <c r="D586" t="s">
        <v>22</v>
      </c>
      <c r="E586" s="6">
        <v>45083</v>
      </c>
      <c r="F586" s="6">
        <v>45093</v>
      </c>
      <c r="G586">
        <v>10</v>
      </c>
      <c r="H586" t="s">
        <v>50</v>
      </c>
      <c r="I586">
        <v>1</v>
      </c>
      <c r="J586" t="s">
        <v>66</v>
      </c>
      <c r="K586">
        <v>43460</v>
      </c>
      <c r="L586" t="s">
        <v>60</v>
      </c>
      <c r="M586" t="s">
        <v>26</v>
      </c>
      <c r="N586" t="s">
        <v>27</v>
      </c>
      <c r="O586" s="2">
        <v>44991</v>
      </c>
      <c r="P586" s="2">
        <v>45022.958333333336</v>
      </c>
      <c r="Q586" s="38">
        <f t="shared" si="9"/>
        <v>31.958333333335759</v>
      </c>
      <c r="R586" t="s">
        <v>37</v>
      </c>
      <c r="S586" t="s">
        <v>29</v>
      </c>
      <c r="T586" t="s">
        <v>43</v>
      </c>
      <c r="U586">
        <v>8</v>
      </c>
      <c r="V586">
        <v>10</v>
      </c>
      <c r="W586" s="18">
        <f>IFERROR(Table1[[#This Row],[Staff Hours Worked]]/Table1[[#This Row],[Staff Available Hours]],0)</f>
        <v>0.8</v>
      </c>
      <c r="X586" t="s">
        <v>68</v>
      </c>
    </row>
    <row r="587" spans="1:24">
      <c r="A587" t="s">
        <v>644</v>
      </c>
      <c r="B587">
        <v>65</v>
      </c>
      <c r="C587" t="str" cm="1">
        <f t="array" ref="C587">_xlfn.IFS(B587&lt;=18,"0-18",B587&lt;=35,"19-35",B587&lt;=50,"36-50",B587&lt;=65,"51-65","True","65+")</f>
        <v>51-65</v>
      </c>
      <c r="D587" t="s">
        <v>33</v>
      </c>
      <c r="E587" s="6">
        <v>45372</v>
      </c>
      <c r="F587" s="6">
        <v>45386</v>
      </c>
      <c r="G587">
        <v>14</v>
      </c>
      <c r="H587" t="s">
        <v>57</v>
      </c>
      <c r="I587">
        <v>1</v>
      </c>
      <c r="J587" t="s">
        <v>35</v>
      </c>
      <c r="K587">
        <v>9218</v>
      </c>
      <c r="L587" t="s">
        <v>60</v>
      </c>
      <c r="M587" t="s">
        <v>54</v>
      </c>
      <c r="N587" t="s">
        <v>27</v>
      </c>
      <c r="O587" s="2">
        <v>45367</v>
      </c>
      <c r="P587" s="2">
        <v>45368.875</v>
      </c>
      <c r="Q587" s="38">
        <f t="shared" si="9"/>
        <v>1.875</v>
      </c>
      <c r="R587" t="s">
        <v>37</v>
      </c>
      <c r="S587" t="s">
        <v>29</v>
      </c>
      <c r="T587" t="s">
        <v>30</v>
      </c>
      <c r="U587">
        <v>9</v>
      </c>
      <c r="V587">
        <v>8</v>
      </c>
      <c r="W587" s="18">
        <f>IFERROR(Table1[[#This Row],[Staff Hours Worked]]/Table1[[#This Row],[Staff Available Hours]],0)</f>
        <v>1.125</v>
      </c>
      <c r="X587" t="s">
        <v>48</v>
      </c>
    </row>
    <row r="588" spans="1:24">
      <c r="A588" t="s">
        <v>645</v>
      </c>
      <c r="B588">
        <v>86</v>
      </c>
      <c r="C588" t="str" cm="1">
        <f t="array" ref="C588">_xlfn.IFS(B588&lt;=18,"0-18",B588&lt;=35,"19-35",B588&lt;=50,"36-50",B588&lt;=65,"51-65","True","65+")</f>
        <v>65+</v>
      </c>
      <c r="D588" t="s">
        <v>22</v>
      </c>
      <c r="E588" s="6">
        <v>45107</v>
      </c>
      <c r="F588" s="6">
        <v>44992</v>
      </c>
      <c r="G588">
        <v>3</v>
      </c>
      <c r="H588" t="s">
        <v>40</v>
      </c>
      <c r="I588">
        <v>4</v>
      </c>
      <c r="J588" t="s">
        <v>71</v>
      </c>
      <c r="K588">
        <v>42571</v>
      </c>
      <c r="L588" t="s">
        <v>25</v>
      </c>
      <c r="M588" t="s">
        <v>54</v>
      </c>
      <c r="N588" t="s">
        <v>27</v>
      </c>
      <c r="O588" s="2">
        <v>45103</v>
      </c>
      <c r="P588" s="2">
        <v>45103.625</v>
      </c>
      <c r="Q588" s="38">
        <f t="shared" si="9"/>
        <v>0.625</v>
      </c>
      <c r="R588" t="s">
        <v>42</v>
      </c>
      <c r="S588" t="s">
        <v>29</v>
      </c>
      <c r="T588" t="s">
        <v>30</v>
      </c>
      <c r="U588">
        <v>6</v>
      </c>
      <c r="V588">
        <v>8</v>
      </c>
      <c r="W588" s="18">
        <f>IFERROR(Table1[[#This Row],[Staff Hours Worked]]/Table1[[#This Row],[Staff Available Hours]],0)</f>
        <v>0.75</v>
      </c>
      <c r="X588" t="s">
        <v>48</v>
      </c>
    </row>
    <row r="589" spans="1:24">
      <c r="A589" t="s">
        <v>646</v>
      </c>
      <c r="B589">
        <v>17</v>
      </c>
      <c r="C589" t="str" cm="1">
        <f t="array" ref="C589">_xlfn.IFS(B589&lt;=18,"0-18",B589&lt;=35,"19-35",B589&lt;=50,"36-50",B589&lt;=65,"51-65","True","65+")</f>
        <v>0-18</v>
      </c>
      <c r="D589" t="s">
        <v>33</v>
      </c>
      <c r="E589" s="6">
        <v>45461</v>
      </c>
      <c r="F589" s="6">
        <v>45467</v>
      </c>
      <c r="G589">
        <v>6</v>
      </c>
      <c r="H589" t="s">
        <v>57</v>
      </c>
      <c r="I589">
        <v>3</v>
      </c>
      <c r="J589" t="s">
        <v>46</v>
      </c>
      <c r="K589">
        <v>16672</v>
      </c>
      <c r="L589" t="s">
        <v>36</v>
      </c>
      <c r="M589" t="s">
        <v>54</v>
      </c>
      <c r="N589" t="s">
        <v>27</v>
      </c>
      <c r="O589" s="2">
        <v>45458</v>
      </c>
      <c r="P589" s="2">
        <v>45459.166666666664</v>
      </c>
      <c r="Q589" s="38">
        <f t="shared" si="9"/>
        <v>1.1666666666642413</v>
      </c>
      <c r="R589" t="s">
        <v>64</v>
      </c>
      <c r="S589" t="s">
        <v>29</v>
      </c>
      <c r="T589" t="s">
        <v>30</v>
      </c>
      <c r="U589">
        <v>11</v>
      </c>
      <c r="V589">
        <v>8</v>
      </c>
      <c r="W589" s="18">
        <f>IFERROR(Table1[[#This Row],[Staff Hours Worked]]/Table1[[#This Row],[Staff Available Hours]],0)</f>
        <v>1.375</v>
      </c>
      <c r="X589" t="s">
        <v>31</v>
      </c>
    </row>
    <row r="590" spans="1:24">
      <c r="A590" t="s">
        <v>647</v>
      </c>
      <c r="B590">
        <v>71</v>
      </c>
      <c r="C590" t="str" cm="1">
        <f t="array" ref="C590">_xlfn.IFS(B590&lt;=18,"0-18",B590&lt;=35,"19-35",B590&lt;=50,"36-50",B590&lt;=65,"51-65","True","65+")</f>
        <v>65+</v>
      </c>
      <c r="D590" t="s">
        <v>52</v>
      </c>
      <c r="E590" s="6">
        <v>45026</v>
      </c>
      <c r="F590" s="6">
        <v>45087</v>
      </c>
      <c r="G590">
        <v>2</v>
      </c>
      <c r="H590" t="s">
        <v>23</v>
      </c>
      <c r="I590">
        <v>3</v>
      </c>
      <c r="J590" t="s">
        <v>35</v>
      </c>
      <c r="K590">
        <v>36042</v>
      </c>
      <c r="L590" t="s">
        <v>67</v>
      </c>
      <c r="M590" t="s">
        <v>54</v>
      </c>
      <c r="N590" t="s">
        <v>27</v>
      </c>
      <c r="O590" s="2">
        <v>45199</v>
      </c>
      <c r="P590" s="2">
        <v>44936.75</v>
      </c>
      <c r="Q590" s="38">
        <f t="shared" si="9"/>
        <v>262.25</v>
      </c>
      <c r="R590" t="s">
        <v>28</v>
      </c>
      <c r="S590" t="s">
        <v>29</v>
      </c>
      <c r="T590" t="s">
        <v>30</v>
      </c>
      <c r="U590">
        <v>4</v>
      </c>
      <c r="V590">
        <v>8</v>
      </c>
      <c r="W590" s="18">
        <f>IFERROR(Table1[[#This Row],[Staff Hours Worked]]/Table1[[#This Row],[Staff Available Hours]],0)</f>
        <v>0.5</v>
      </c>
      <c r="X590" t="s">
        <v>68</v>
      </c>
    </row>
    <row r="591" spans="1:24">
      <c r="A591" t="s">
        <v>648</v>
      </c>
      <c r="B591">
        <v>89</v>
      </c>
      <c r="C591" t="str" cm="1">
        <f t="array" ref="C591">_xlfn.IFS(B591&lt;=18,"0-18",B591&lt;=35,"19-35",B591&lt;=50,"36-50",B591&lt;=65,"51-65","True","65+")</f>
        <v>65+</v>
      </c>
      <c r="D591" t="s">
        <v>52</v>
      </c>
      <c r="E591" s="6">
        <v>45570</v>
      </c>
      <c r="F591" s="6">
        <v>45432</v>
      </c>
      <c r="G591">
        <v>10</v>
      </c>
      <c r="H591" t="s">
        <v>63</v>
      </c>
      <c r="I591">
        <v>3</v>
      </c>
      <c r="J591" t="s">
        <v>35</v>
      </c>
      <c r="K591">
        <v>40950</v>
      </c>
      <c r="L591" t="s">
        <v>36</v>
      </c>
      <c r="M591" t="s">
        <v>26</v>
      </c>
      <c r="N591" t="s">
        <v>41</v>
      </c>
      <c r="O591" s="2">
        <v>45417</v>
      </c>
      <c r="P591" s="2">
        <v>45417.25</v>
      </c>
      <c r="Q591" s="38">
        <f t="shared" si="9"/>
        <v>0.25</v>
      </c>
      <c r="R591" t="s">
        <v>64</v>
      </c>
      <c r="S591" t="s">
        <v>29</v>
      </c>
      <c r="T591" t="s">
        <v>30</v>
      </c>
      <c r="U591">
        <v>6</v>
      </c>
      <c r="V591">
        <v>10</v>
      </c>
      <c r="W591" s="18">
        <f>IFERROR(Table1[[#This Row],[Staff Hours Worked]]/Table1[[#This Row],[Staff Available Hours]],0)</f>
        <v>0.6</v>
      </c>
      <c r="X591" t="s">
        <v>68</v>
      </c>
    </row>
    <row r="592" spans="1:24">
      <c r="A592" t="s">
        <v>649</v>
      </c>
      <c r="B592">
        <v>45</v>
      </c>
      <c r="C592" t="str" cm="1">
        <f t="array" ref="C592">_xlfn.IFS(B592&lt;=18,"0-18",B592&lt;=35,"19-35",B592&lt;=50,"36-50",B592&lt;=65,"51-65","True","65+")</f>
        <v>36-50</v>
      </c>
      <c r="D592" t="s">
        <v>52</v>
      </c>
      <c r="E592" s="6">
        <v>45403</v>
      </c>
      <c r="F592" s="6">
        <v>45327</v>
      </c>
      <c r="G592">
        <v>11</v>
      </c>
      <c r="H592" t="s">
        <v>40</v>
      </c>
      <c r="I592">
        <v>2</v>
      </c>
      <c r="J592" t="s">
        <v>35</v>
      </c>
      <c r="K592">
        <v>16009</v>
      </c>
      <c r="L592" t="s">
        <v>36</v>
      </c>
      <c r="M592" t="s">
        <v>54</v>
      </c>
      <c r="N592" t="s">
        <v>41</v>
      </c>
      <c r="O592" s="2">
        <v>45402</v>
      </c>
      <c r="P592" s="2">
        <v>45403.916666666664</v>
      </c>
      <c r="Q592" s="38">
        <f t="shared" si="9"/>
        <v>1.9166666666642413</v>
      </c>
      <c r="R592" t="s">
        <v>37</v>
      </c>
      <c r="S592" t="s">
        <v>38</v>
      </c>
      <c r="T592" t="s">
        <v>47</v>
      </c>
      <c r="U592">
        <v>7</v>
      </c>
      <c r="V592">
        <v>10</v>
      </c>
      <c r="W592" s="18">
        <f>IFERROR(Table1[[#This Row],[Staff Hours Worked]]/Table1[[#This Row],[Staff Available Hours]],0)</f>
        <v>0.7</v>
      </c>
      <c r="X592" t="s">
        <v>31</v>
      </c>
    </row>
    <row r="593" spans="1:24">
      <c r="A593" t="s">
        <v>650</v>
      </c>
      <c r="B593">
        <v>4</v>
      </c>
      <c r="C593" t="str" cm="1">
        <f t="array" ref="C593">_xlfn.IFS(B593&lt;=18,"0-18",B593&lt;=35,"19-35",B593&lt;=50,"36-50",B593&lt;=65,"51-65","True","65+")</f>
        <v>0-18</v>
      </c>
      <c r="D593" t="s">
        <v>52</v>
      </c>
      <c r="E593" s="6">
        <v>45373</v>
      </c>
      <c r="F593" s="6">
        <v>45376</v>
      </c>
      <c r="G593">
        <v>3</v>
      </c>
      <c r="H593" t="s">
        <v>23</v>
      </c>
      <c r="I593">
        <v>2</v>
      </c>
      <c r="J593" t="s">
        <v>35</v>
      </c>
      <c r="K593">
        <v>24544</v>
      </c>
      <c r="L593" t="s">
        <v>25</v>
      </c>
      <c r="M593" t="s">
        <v>26</v>
      </c>
      <c r="N593" t="s">
        <v>27</v>
      </c>
      <c r="O593" s="2">
        <v>45372</v>
      </c>
      <c r="P593" s="2">
        <v>45372.291666666664</v>
      </c>
      <c r="Q593" s="38">
        <f t="shared" si="9"/>
        <v>0.29166666666424135</v>
      </c>
      <c r="R593" t="s">
        <v>55</v>
      </c>
      <c r="S593" t="s">
        <v>29</v>
      </c>
      <c r="T593" t="s">
        <v>30</v>
      </c>
      <c r="U593">
        <v>6</v>
      </c>
      <c r="V593">
        <v>8</v>
      </c>
      <c r="W593" s="18">
        <f>IFERROR(Table1[[#This Row],[Staff Hours Worked]]/Table1[[#This Row],[Staff Available Hours]],0)</f>
        <v>0.75</v>
      </c>
      <c r="X593" t="s">
        <v>48</v>
      </c>
    </row>
    <row r="594" spans="1:24">
      <c r="A594" t="s">
        <v>651</v>
      </c>
      <c r="B594">
        <v>36</v>
      </c>
      <c r="C594" t="str" cm="1">
        <f t="array" ref="C594">_xlfn.IFS(B594&lt;=18,"0-18",B594&lt;=35,"19-35",B594&lt;=50,"36-50",B594&lt;=65,"51-65","True","65+")</f>
        <v>36-50</v>
      </c>
      <c r="D594" t="s">
        <v>52</v>
      </c>
      <c r="E594" s="6">
        <v>44967</v>
      </c>
      <c r="F594" s="6">
        <v>45216</v>
      </c>
      <c r="G594">
        <v>15</v>
      </c>
      <c r="H594" t="s">
        <v>23</v>
      </c>
      <c r="I594">
        <v>5</v>
      </c>
      <c r="J594" t="s">
        <v>66</v>
      </c>
      <c r="K594">
        <v>34381</v>
      </c>
      <c r="L594" t="s">
        <v>60</v>
      </c>
      <c r="M594" t="s">
        <v>26</v>
      </c>
      <c r="N594" t="s">
        <v>27</v>
      </c>
      <c r="O594" s="2">
        <v>45196</v>
      </c>
      <c r="P594" s="2">
        <v>45196.041666666664</v>
      </c>
      <c r="Q594" s="38">
        <f t="shared" si="9"/>
        <v>4.1666666664241347E-2</v>
      </c>
      <c r="R594" t="s">
        <v>28</v>
      </c>
      <c r="S594" t="s">
        <v>29</v>
      </c>
      <c r="T594" t="s">
        <v>47</v>
      </c>
      <c r="U594">
        <v>10</v>
      </c>
      <c r="V594">
        <v>8</v>
      </c>
      <c r="W594" s="18">
        <f>IFERROR(Table1[[#This Row],[Staff Hours Worked]]/Table1[[#This Row],[Staff Available Hours]],0)</f>
        <v>1.25</v>
      </c>
      <c r="X594" t="s">
        <v>68</v>
      </c>
    </row>
    <row r="595" spans="1:24">
      <c r="A595" t="s">
        <v>652</v>
      </c>
      <c r="B595">
        <v>70</v>
      </c>
      <c r="C595" t="str" cm="1">
        <f t="array" ref="C595">_xlfn.IFS(B595&lt;=18,"0-18",B595&lt;=35,"19-35",B595&lt;=50,"36-50",B595&lt;=65,"51-65","True","65+")</f>
        <v>65+</v>
      </c>
      <c r="D595" t="s">
        <v>52</v>
      </c>
      <c r="E595" s="6">
        <v>45257</v>
      </c>
      <c r="F595" s="6">
        <v>44997</v>
      </c>
      <c r="G595">
        <v>6</v>
      </c>
      <c r="H595" t="s">
        <v>23</v>
      </c>
      <c r="I595">
        <v>2</v>
      </c>
      <c r="J595" t="s">
        <v>66</v>
      </c>
      <c r="K595">
        <v>30287</v>
      </c>
      <c r="L595" t="s">
        <v>36</v>
      </c>
      <c r="M595" t="s">
        <v>54</v>
      </c>
      <c r="N595" t="s">
        <v>27</v>
      </c>
      <c r="O595" s="2">
        <v>45253</v>
      </c>
      <c r="P595" s="2">
        <v>45253.583333333336</v>
      </c>
      <c r="Q595" s="38">
        <f t="shared" si="9"/>
        <v>0.58333333333575865</v>
      </c>
      <c r="R595" t="s">
        <v>28</v>
      </c>
      <c r="S595" t="s">
        <v>29</v>
      </c>
      <c r="T595" t="s">
        <v>43</v>
      </c>
      <c r="U595">
        <v>9</v>
      </c>
      <c r="V595">
        <v>12</v>
      </c>
      <c r="W595" s="18">
        <f>IFERROR(Table1[[#This Row],[Staff Hours Worked]]/Table1[[#This Row],[Staff Available Hours]],0)</f>
        <v>0.75</v>
      </c>
      <c r="X595" t="s">
        <v>48</v>
      </c>
    </row>
    <row r="596" spans="1:24">
      <c r="A596" t="s">
        <v>653</v>
      </c>
      <c r="B596">
        <v>31</v>
      </c>
      <c r="C596" t="str" cm="1">
        <f t="array" ref="C596">_xlfn.IFS(B596&lt;=18,"0-18",B596&lt;=35,"19-35",B596&lt;=50,"36-50",B596&lt;=65,"51-65","True","65+")</f>
        <v>19-35</v>
      </c>
      <c r="D596" t="s">
        <v>22</v>
      </c>
      <c r="E596" s="6">
        <v>45178</v>
      </c>
      <c r="F596" s="6">
        <v>45183</v>
      </c>
      <c r="G596">
        <v>5</v>
      </c>
      <c r="H596" t="s">
        <v>50</v>
      </c>
      <c r="I596">
        <v>2</v>
      </c>
      <c r="J596" t="s">
        <v>66</v>
      </c>
      <c r="K596">
        <v>7586</v>
      </c>
      <c r="L596" t="s">
        <v>60</v>
      </c>
      <c r="M596" t="s">
        <v>26</v>
      </c>
      <c r="N596" t="s">
        <v>27</v>
      </c>
      <c r="O596" s="2">
        <v>45178</v>
      </c>
      <c r="P596" s="2">
        <v>45208.291666666664</v>
      </c>
      <c r="Q596" s="38">
        <f t="shared" si="9"/>
        <v>30.291666666664241</v>
      </c>
      <c r="R596" t="s">
        <v>55</v>
      </c>
      <c r="S596" t="s">
        <v>29</v>
      </c>
      <c r="T596" t="s">
        <v>43</v>
      </c>
      <c r="U596">
        <v>10</v>
      </c>
      <c r="V596">
        <v>12</v>
      </c>
      <c r="W596" s="18">
        <f>IFERROR(Table1[[#This Row],[Staff Hours Worked]]/Table1[[#This Row],[Staff Available Hours]],0)</f>
        <v>0.83333333333333337</v>
      </c>
      <c r="X596" t="s">
        <v>31</v>
      </c>
    </row>
    <row r="597" spans="1:24">
      <c r="A597" t="s">
        <v>654</v>
      </c>
      <c r="B597">
        <v>19</v>
      </c>
      <c r="C597" t="str" cm="1">
        <f t="array" ref="C597">_xlfn.IFS(B597&lt;=18,"0-18",B597&lt;=35,"19-35",B597&lt;=50,"36-50",B597&lt;=65,"51-65","True","65+")</f>
        <v>19-35</v>
      </c>
      <c r="D597" t="s">
        <v>45</v>
      </c>
      <c r="E597" s="6">
        <v>45015</v>
      </c>
      <c r="F597" s="6">
        <v>45203</v>
      </c>
      <c r="G597">
        <v>11</v>
      </c>
      <c r="H597" t="s">
        <v>23</v>
      </c>
      <c r="I597">
        <v>2</v>
      </c>
      <c r="J597" t="s">
        <v>46</v>
      </c>
      <c r="K597">
        <v>7648</v>
      </c>
      <c r="L597" t="s">
        <v>53</v>
      </c>
      <c r="M597" t="s">
        <v>26</v>
      </c>
      <c r="N597" t="s">
        <v>27</v>
      </c>
      <c r="O597" s="2">
        <v>45011</v>
      </c>
      <c r="P597" s="2">
        <v>45011.208333333336</v>
      </c>
      <c r="Q597" s="38">
        <f t="shared" si="9"/>
        <v>0.20833333333575865</v>
      </c>
      <c r="R597" t="s">
        <v>28</v>
      </c>
      <c r="S597" t="s">
        <v>29</v>
      </c>
      <c r="T597" t="s">
        <v>47</v>
      </c>
      <c r="U597">
        <v>7</v>
      </c>
      <c r="V597">
        <v>8</v>
      </c>
      <c r="W597" s="18">
        <f>IFERROR(Table1[[#This Row],[Staff Hours Worked]]/Table1[[#This Row],[Staff Available Hours]],0)</f>
        <v>0.875</v>
      </c>
      <c r="X597" t="s">
        <v>48</v>
      </c>
    </row>
    <row r="598" spans="1:24">
      <c r="A598" t="s">
        <v>655</v>
      </c>
      <c r="B598">
        <v>61</v>
      </c>
      <c r="C598" t="str" cm="1">
        <f t="array" ref="C598">_xlfn.IFS(B598&lt;=18,"0-18",B598&lt;=35,"19-35",B598&lt;=50,"36-50",B598&lt;=65,"51-65","True","65+")</f>
        <v>51-65</v>
      </c>
      <c r="D598" t="s">
        <v>33</v>
      </c>
      <c r="E598" s="6">
        <v>45212</v>
      </c>
      <c r="F598" s="6">
        <v>45224</v>
      </c>
      <c r="G598">
        <v>12</v>
      </c>
      <c r="H598" t="s">
        <v>50</v>
      </c>
      <c r="I598">
        <v>4</v>
      </c>
      <c r="J598" t="s">
        <v>46</v>
      </c>
      <c r="K598">
        <v>45081</v>
      </c>
      <c r="L598" t="s">
        <v>60</v>
      </c>
      <c r="M598" t="s">
        <v>26</v>
      </c>
      <c r="N598" t="s">
        <v>27</v>
      </c>
      <c r="O598" s="2">
        <v>45209</v>
      </c>
      <c r="P598" s="2">
        <v>45209.375</v>
      </c>
      <c r="Q598" s="38">
        <f t="shared" si="9"/>
        <v>0.375</v>
      </c>
      <c r="R598" t="s">
        <v>55</v>
      </c>
      <c r="S598" t="s">
        <v>29</v>
      </c>
      <c r="T598" t="s">
        <v>30</v>
      </c>
      <c r="U598">
        <v>10</v>
      </c>
      <c r="V598">
        <v>10</v>
      </c>
      <c r="W598" s="18">
        <f>IFERROR(Table1[[#This Row],[Staff Hours Worked]]/Table1[[#This Row],[Staff Available Hours]],0)</f>
        <v>1</v>
      </c>
      <c r="X598" t="s">
        <v>68</v>
      </c>
    </row>
    <row r="599" spans="1:24">
      <c r="A599" t="s">
        <v>656</v>
      </c>
      <c r="B599">
        <v>54</v>
      </c>
      <c r="C599" t="str" cm="1">
        <f t="array" ref="C599">_xlfn.IFS(B599&lt;=18,"0-18",B599&lt;=35,"19-35",B599&lt;=50,"36-50",B599&lt;=65,"51-65","True","65+")</f>
        <v>51-65</v>
      </c>
      <c r="D599" t="s">
        <v>52</v>
      </c>
      <c r="E599" s="6">
        <v>45447</v>
      </c>
      <c r="F599" s="6">
        <v>45399</v>
      </c>
      <c r="G599">
        <v>11</v>
      </c>
      <c r="H599" t="s">
        <v>23</v>
      </c>
      <c r="I599">
        <v>2</v>
      </c>
      <c r="J599" t="s">
        <v>46</v>
      </c>
      <c r="K599">
        <v>23101</v>
      </c>
      <c r="L599" t="s">
        <v>67</v>
      </c>
      <c r="M599" t="s">
        <v>54</v>
      </c>
      <c r="N599" t="s">
        <v>27</v>
      </c>
      <c r="O599" s="2">
        <v>45326</v>
      </c>
      <c r="P599" s="2">
        <v>45355.583333333336</v>
      </c>
      <c r="Q599" s="38">
        <f t="shared" si="9"/>
        <v>29.583333333335759</v>
      </c>
      <c r="R599" t="s">
        <v>28</v>
      </c>
      <c r="S599" t="s">
        <v>29</v>
      </c>
      <c r="T599" t="s">
        <v>43</v>
      </c>
      <c r="U599">
        <v>7</v>
      </c>
      <c r="V599">
        <v>8</v>
      </c>
      <c r="W599" s="18">
        <f>IFERROR(Table1[[#This Row],[Staff Hours Worked]]/Table1[[#This Row],[Staff Available Hours]],0)</f>
        <v>0.875</v>
      </c>
      <c r="X599" t="s">
        <v>48</v>
      </c>
    </row>
    <row r="600" spans="1:24">
      <c r="A600" t="s">
        <v>657</v>
      </c>
      <c r="B600">
        <v>39</v>
      </c>
      <c r="C600" t="str" cm="1">
        <f t="array" ref="C600">_xlfn.IFS(B600&lt;=18,"0-18",B600&lt;=35,"19-35",B600&lt;=50,"36-50",B600&lt;=65,"51-65","True","65+")</f>
        <v>36-50</v>
      </c>
      <c r="D600" t="s">
        <v>22</v>
      </c>
      <c r="E600" s="6">
        <v>45116</v>
      </c>
      <c r="F600" s="6">
        <v>45183</v>
      </c>
      <c r="G600">
        <v>7</v>
      </c>
      <c r="H600" t="s">
        <v>34</v>
      </c>
      <c r="I600">
        <v>1</v>
      </c>
      <c r="J600" t="s">
        <v>24</v>
      </c>
      <c r="K600">
        <v>26692</v>
      </c>
      <c r="L600" t="s">
        <v>67</v>
      </c>
      <c r="M600" t="s">
        <v>54</v>
      </c>
      <c r="N600" t="s">
        <v>27</v>
      </c>
      <c r="O600" s="2">
        <v>44966</v>
      </c>
      <c r="P600" s="2">
        <v>44966.625</v>
      </c>
      <c r="Q600" s="38">
        <f t="shared" si="9"/>
        <v>0.625</v>
      </c>
      <c r="R600" t="s">
        <v>64</v>
      </c>
      <c r="S600" t="s">
        <v>29</v>
      </c>
      <c r="T600" t="s">
        <v>30</v>
      </c>
      <c r="U600">
        <v>6</v>
      </c>
      <c r="V600">
        <v>10</v>
      </c>
      <c r="W600" s="18">
        <f>IFERROR(Table1[[#This Row],[Staff Hours Worked]]/Table1[[#This Row],[Staff Available Hours]],0)</f>
        <v>0.6</v>
      </c>
      <c r="X600" t="s">
        <v>48</v>
      </c>
    </row>
    <row r="601" spans="1:24">
      <c r="A601" t="s">
        <v>658</v>
      </c>
      <c r="B601">
        <v>74</v>
      </c>
      <c r="C601" t="str" cm="1">
        <f t="array" ref="C601">_xlfn.IFS(B601&lt;=18,"0-18",B601&lt;=35,"19-35",B601&lt;=50,"36-50",B601&lt;=65,"51-65","True","65+")</f>
        <v>65+</v>
      </c>
      <c r="D601" t="s">
        <v>22</v>
      </c>
      <c r="E601" s="6">
        <v>45402</v>
      </c>
      <c r="F601" s="6">
        <v>45405</v>
      </c>
      <c r="G601">
        <v>3</v>
      </c>
      <c r="H601" t="s">
        <v>40</v>
      </c>
      <c r="I601">
        <v>1</v>
      </c>
      <c r="J601" t="s">
        <v>46</v>
      </c>
      <c r="K601">
        <v>12407</v>
      </c>
      <c r="L601" t="s">
        <v>36</v>
      </c>
      <c r="M601" t="s">
        <v>54</v>
      </c>
      <c r="N601" t="s">
        <v>27</v>
      </c>
      <c r="O601" s="2">
        <v>45400</v>
      </c>
      <c r="P601" s="2">
        <v>45401.416666666664</v>
      </c>
      <c r="Q601" s="38">
        <f t="shared" si="9"/>
        <v>1.4166666666642413</v>
      </c>
      <c r="R601" t="s">
        <v>28</v>
      </c>
      <c r="S601" t="s">
        <v>29</v>
      </c>
      <c r="T601" t="s">
        <v>30</v>
      </c>
      <c r="U601">
        <v>8</v>
      </c>
      <c r="V601">
        <v>10</v>
      </c>
      <c r="W601" s="18">
        <f>IFERROR(Table1[[#This Row],[Staff Hours Worked]]/Table1[[#This Row],[Staff Available Hours]],0)</f>
        <v>0.8</v>
      </c>
      <c r="X601" t="s">
        <v>68</v>
      </c>
    </row>
    <row r="602" spans="1:24">
      <c r="A602" t="s">
        <v>659</v>
      </c>
      <c r="B602">
        <v>19</v>
      </c>
      <c r="C602" t="str" cm="1">
        <f t="array" ref="C602">_xlfn.IFS(B602&lt;=18,"0-18",B602&lt;=35,"19-35",B602&lt;=50,"36-50",B602&lt;=65,"51-65","True","65+")</f>
        <v>19-35</v>
      </c>
      <c r="D602" t="s">
        <v>22</v>
      </c>
      <c r="E602" s="6">
        <v>45315</v>
      </c>
      <c r="F602" s="6">
        <v>45353</v>
      </c>
      <c r="G602">
        <v>10</v>
      </c>
      <c r="H602" t="s">
        <v>34</v>
      </c>
      <c r="I602">
        <v>5</v>
      </c>
      <c r="J602" t="s">
        <v>66</v>
      </c>
      <c r="K602">
        <v>22254</v>
      </c>
      <c r="L602" t="s">
        <v>60</v>
      </c>
      <c r="M602" t="s">
        <v>26</v>
      </c>
      <c r="N602" t="s">
        <v>41</v>
      </c>
      <c r="O602" s="2">
        <v>45315</v>
      </c>
      <c r="P602" s="2">
        <v>45316.833333333336</v>
      </c>
      <c r="Q602" s="38">
        <f t="shared" si="9"/>
        <v>1.8333333333357587</v>
      </c>
      <c r="R602" t="s">
        <v>42</v>
      </c>
      <c r="S602" t="s">
        <v>29</v>
      </c>
      <c r="T602" t="s">
        <v>47</v>
      </c>
      <c r="U602">
        <v>9</v>
      </c>
      <c r="V602">
        <v>12</v>
      </c>
      <c r="W602" s="18">
        <f>IFERROR(Table1[[#This Row],[Staff Hours Worked]]/Table1[[#This Row],[Staff Available Hours]],0)</f>
        <v>0.75</v>
      </c>
      <c r="X602" t="s">
        <v>68</v>
      </c>
    </row>
    <row r="603" spans="1:24">
      <c r="A603" t="s">
        <v>660</v>
      </c>
      <c r="B603">
        <v>39</v>
      </c>
      <c r="C603" t="str" cm="1">
        <f t="array" ref="C603">_xlfn.IFS(B603&lt;=18,"0-18",B603&lt;=35,"19-35",B603&lt;=50,"36-50",B603&lt;=65,"51-65","True","65+")</f>
        <v>36-50</v>
      </c>
      <c r="D603" t="s">
        <v>45</v>
      </c>
      <c r="E603" s="6">
        <v>45242</v>
      </c>
      <c r="F603" s="6">
        <v>45283</v>
      </c>
      <c r="G603">
        <v>12</v>
      </c>
      <c r="H603" t="s">
        <v>23</v>
      </c>
      <c r="I603">
        <v>4</v>
      </c>
      <c r="J603" t="s">
        <v>66</v>
      </c>
      <c r="K603">
        <v>20234</v>
      </c>
      <c r="L603" t="s">
        <v>36</v>
      </c>
      <c r="M603" t="s">
        <v>54</v>
      </c>
      <c r="N603" t="s">
        <v>41</v>
      </c>
      <c r="O603" s="2">
        <v>45119</v>
      </c>
      <c r="P603" s="2">
        <v>45150.208333333336</v>
      </c>
      <c r="Q603" s="38">
        <f t="shared" si="9"/>
        <v>31.208333333335759</v>
      </c>
      <c r="R603" t="s">
        <v>55</v>
      </c>
      <c r="S603" t="s">
        <v>29</v>
      </c>
      <c r="T603" t="s">
        <v>43</v>
      </c>
      <c r="U603">
        <v>8</v>
      </c>
      <c r="V603">
        <v>8</v>
      </c>
      <c r="W603" s="18">
        <f>IFERROR(Table1[[#This Row],[Staff Hours Worked]]/Table1[[#This Row],[Staff Available Hours]],0)</f>
        <v>1</v>
      </c>
      <c r="X603" t="s">
        <v>48</v>
      </c>
    </row>
    <row r="604" spans="1:24">
      <c r="A604" t="s">
        <v>661</v>
      </c>
      <c r="B604">
        <v>67</v>
      </c>
      <c r="C604" t="str" cm="1">
        <f t="array" ref="C604">_xlfn.IFS(B604&lt;=18,"0-18",B604&lt;=35,"19-35",B604&lt;=50,"36-50",B604&lt;=65,"51-65","True","65+")</f>
        <v>65+</v>
      </c>
      <c r="D604" t="s">
        <v>33</v>
      </c>
      <c r="E604" s="6">
        <v>44956</v>
      </c>
      <c r="F604" s="6">
        <v>44928</v>
      </c>
      <c r="G604">
        <v>2</v>
      </c>
      <c r="H604" t="s">
        <v>40</v>
      </c>
      <c r="I604">
        <v>1</v>
      </c>
      <c r="J604" t="s">
        <v>24</v>
      </c>
      <c r="K604">
        <v>27211</v>
      </c>
      <c r="L604" t="s">
        <v>25</v>
      </c>
      <c r="M604" t="s">
        <v>54</v>
      </c>
      <c r="N604" t="s">
        <v>27</v>
      </c>
      <c r="O604" s="2">
        <v>44956</v>
      </c>
      <c r="P604" s="2">
        <v>44956.041666666664</v>
      </c>
      <c r="Q604" s="38">
        <f t="shared" si="9"/>
        <v>4.1666666664241347E-2</v>
      </c>
      <c r="R604" t="s">
        <v>28</v>
      </c>
      <c r="S604" t="s">
        <v>29</v>
      </c>
      <c r="T604" t="s">
        <v>43</v>
      </c>
      <c r="U604">
        <v>9</v>
      </c>
      <c r="V604">
        <v>8</v>
      </c>
      <c r="W604" s="18">
        <f>IFERROR(Table1[[#This Row],[Staff Hours Worked]]/Table1[[#This Row],[Staff Available Hours]],0)</f>
        <v>1.125</v>
      </c>
      <c r="X604" t="s">
        <v>48</v>
      </c>
    </row>
    <row r="605" spans="1:24">
      <c r="A605" t="s">
        <v>662</v>
      </c>
      <c r="B605">
        <v>45</v>
      </c>
      <c r="C605" t="str" cm="1">
        <f t="array" ref="C605">_xlfn.IFS(B605&lt;=18,"0-18",B605&lt;=35,"19-35",B605&lt;=50,"36-50",B605&lt;=65,"51-65","True","65+")</f>
        <v>36-50</v>
      </c>
      <c r="D605" t="s">
        <v>45</v>
      </c>
      <c r="E605" s="6">
        <v>45433</v>
      </c>
      <c r="F605" s="6">
        <v>45438</v>
      </c>
      <c r="G605">
        <v>5</v>
      </c>
      <c r="H605" t="s">
        <v>40</v>
      </c>
      <c r="I605">
        <v>4</v>
      </c>
      <c r="J605" t="s">
        <v>24</v>
      </c>
      <c r="K605">
        <v>34480</v>
      </c>
      <c r="L605" t="s">
        <v>67</v>
      </c>
      <c r="M605" t="s">
        <v>54</v>
      </c>
      <c r="N605" t="s">
        <v>41</v>
      </c>
      <c r="O605" s="2">
        <v>45433</v>
      </c>
      <c r="P605" s="2">
        <v>45433.041666666664</v>
      </c>
      <c r="Q605" s="38">
        <f t="shared" si="9"/>
        <v>4.1666666664241347E-2</v>
      </c>
      <c r="R605" t="s">
        <v>55</v>
      </c>
      <c r="S605" t="s">
        <v>29</v>
      </c>
      <c r="T605" t="s">
        <v>47</v>
      </c>
      <c r="U605">
        <v>11</v>
      </c>
      <c r="V605">
        <v>10</v>
      </c>
      <c r="W605" s="18">
        <f>IFERROR(Table1[[#This Row],[Staff Hours Worked]]/Table1[[#This Row],[Staff Available Hours]],0)</f>
        <v>1.1000000000000001</v>
      </c>
      <c r="X605" t="s">
        <v>31</v>
      </c>
    </row>
    <row r="606" spans="1:24">
      <c r="A606" t="s">
        <v>663</v>
      </c>
      <c r="B606">
        <v>13</v>
      </c>
      <c r="C606" t="str" cm="1">
        <f t="array" ref="C606">_xlfn.IFS(B606&lt;=18,"0-18",B606&lt;=35,"19-35",B606&lt;=50,"36-50",B606&lt;=65,"51-65","True","65+")</f>
        <v>0-18</v>
      </c>
      <c r="D606" t="s">
        <v>62</v>
      </c>
      <c r="E606" s="6">
        <v>45259</v>
      </c>
      <c r="F606" s="6">
        <v>45150</v>
      </c>
      <c r="G606">
        <v>9</v>
      </c>
      <c r="H606" t="s">
        <v>63</v>
      </c>
      <c r="I606">
        <v>4</v>
      </c>
      <c r="J606" t="s">
        <v>46</v>
      </c>
      <c r="K606">
        <v>29846</v>
      </c>
      <c r="L606" t="s">
        <v>36</v>
      </c>
      <c r="M606" t="s">
        <v>54</v>
      </c>
      <c r="N606" t="s">
        <v>27</v>
      </c>
      <c r="O606" s="2">
        <v>45255</v>
      </c>
      <c r="P606" s="2">
        <v>45256.875</v>
      </c>
      <c r="Q606" s="38">
        <f t="shared" si="9"/>
        <v>1.875</v>
      </c>
      <c r="R606" t="s">
        <v>42</v>
      </c>
      <c r="S606" t="s">
        <v>29</v>
      </c>
      <c r="T606" t="s">
        <v>30</v>
      </c>
      <c r="U606">
        <v>9</v>
      </c>
      <c r="V606">
        <v>8</v>
      </c>
      <c r="W606" s="18">
        <f>IFERROR(Table1[[#This Row],[Staff Hours Worked]]/Table1[[#This Row],[Staff Available Hours]],0)</f>
        <v>1.125</v>
      </c>
      <c r="X606" t="s">
        <v>68</v>
      </c>
    </row>
    <row r="607" spans="1:24">
      <c r="A607" t="s">
        <v>664</v>
      </c>
      <c r="B607">
        <v>58</v>
      </c>
      <c r="C607" t="str" cm="1">
        <f t="array" ref="C607">_xlfn.IFS(B607&lt;=18,"0-18",B607&lt;=35,"19-35",B607&lt;=50,"36-50",B607&lt;=65,"51-65","True","65+")</f>
        <v>51-65</v>
      </c>
      <c r="D607" t="s">
        <v>22</v>
      </c>
      <c r="E607" s="6">
        <v>45084</v>
      </c>
      <c r="F607" s="6">
        <v>45120</v>
      </c>
      <c r="G607">
        <v>7</v>
      </c>
      <c r="H607" t="s">
        <v>34</v>
      </c>
      <c r="I607">
        <v>5</v>
      </c>
      <c r="J607" t="s">
        <v>71</v>
      </c>
      <c r="K607">
        <v>47503</v>
      </c>
      <c r="L607" t="s">
        <v>25</v>
      </c>
      <c r="M607" t="s">
        <v>54</v>
      </c>
      <c r="N607" t="s">
        <v>27</v>
      </c>
      <c r="O607" s="2">
        <v>44964</v>
      </c>
      <c r="P607" s="2">
        <v>44964.916666666664</v>
      </c>
      <c r="Q607" s="38">
        <f t="shared" si="9"/>
        <v>0.91666666666424135</v>
      </c>
      <c r="R607" t="s">
        <v>28</v>
      </c>
      <c r="S607" t="s">
        <v>29</v>
      </c>
      <c r="T607" t="s">
        <v>30</v>
      </c>
      <c r="U607">
        <v>10</v>
      </c>
      <c r="V607">
        <v>12</v>
      </c>
      <c r="W607" s="18">
        <f>IFERROR(Table1[[#This Row],[Staff Hours Worked]]/Table1[[#This Row],[Staff Available Hours]],0)</f>
        <v>0.83333333333333337</v>
      </c>
      <c r="X607" t="s">
        <v>48</v>
      </c>
    </row>
    <row r="608" spans="1:24">
      <c r="A608" t="s">
        <v>665</v>
      </c>
      <c r="B608">
        <v>20</v>
      </c>
      <c r="C608" t="str" cm="1">
        <f t="array" ref="C608">_xlfn.IFS(B608&lt;=18,"0-18",B608&lt;=35,"19-35",B608&lt;=50,"36-50",B608&lt;=65,"51-65","True","65+")</f>
        <v>19-35</v>
      </c>
      <c r="D608" t="s">
        <v>62</v>
      </c>
      <c r="E608" s="6">
        <v>45426</v>
      </c>
      <c r="F608" s="6">
        <v>45437</v>
      </c>
      <c r="G608">
        <v>11</v>
      </c>
      <c r="H608" t="s">
        <v>63</v>
      </c>
      <c r="I608">
        <v>4</v>
      </c>
      <c r="J608" t="s">
        <v>24</v>
      </c>
      <c r="K608">
        <v>20321</v>
      </c>
      <c r="L608" t="s">
        <v>36</v>
      </c>
      <c r="M608" t="s">
        <v>54</v>
      </c>
      <c r="N608" t="s">
        <v>27</v>
      </c>
      <c r="O608" s="2">
        <v>45425</v>
      </c>
      <c r="P608" s="2">
        <v>45425.333333333336</v>
      </c>
      <c r="Q608" s="38">
        <f t="shared" si="9"/>
        <v>0.33333333333575865</v>
      </c>
      <c r="R608" t="s">
        <v>28</v>
      </c>
      <c r="S608" t="s">
        <v>29</v>
      </c>
      <c r="T608" t="s">
        <v>43</v>
      </c>
      <c r="U608">
        <v>10</v>
      </c>
      <c r="V608">
        <v>12</v>
      </c>
      <c r="W608" s="18">
        <f>IFERROR(Table1[[#This Row],[Staff Hours Worked]]/Table1[[#This Row],[Staff Available Hours]],0)</f>
        <v>0.83333333333333337</v>
      </c>
      <c r="X608" t="s">
        <v>68</v>
      </c>
    </row>
    <row r="609" spans="1:24">
      <c r="A609" t="s">
        <v>666</v>
      </c>
      <c r="B609">
        <v>72</v>
      </c>
      <c r="C609" t="str" cm="1">
        <f t="array" ref="C609">_xlfn.IFS(B609&lt;=18,"0-18",B609&lt;=35,"19-35",B609&lt;=50,"36-50",B609&lt;=65,"51-65","True","65+")</f>
        <v>65+</v>
      </c>
      <c r="D609" t="s">
        <v>41</v>
      </c>
      <c r="E609" s="6">
        <v>45085</v>
      </c>
      <c r="F609" s="6">
        <v>45157</v>
      </c>
      <c r="G609">
        <v>13</v>
      </c>
      <c r="H609" t="s">
        <v>40</v>
      </c>
      <c r="I609">
        <v>2</v>
      </c>
      <c r="J609" t="s">
        <v>35</v>
      </c>
      <c r="K609">
        <v>17646</v>
      </c>
      <c r="L609" t="s">
        <v>60</v>
      </c>
      <c r="M609" t="s">
        <v>54</v>
      </c>
      <c r="N609" t="s">
        <v>27</v>
      </c>
      <c r="O609" s="2">
        <v>44965</v>
      </c>
      <c r="P609" s="2">
        <v>44993.166666666664</v>
      </c>
      <c r="Q609" s="38">
        <f t="shared" si="9"/>
        <v>28.166666666664241</v>
      </c>
      <c r="R609" t="s">
        <v>42</v>
      </c>
      <c r="S609" t="s">
        <v>29</v>
      </c>
      <c r="T609" t="s">
        <v>47</v>
      </c>
      <c r="U609">
        <v>8</v>
      </c>
      <c r="V609">
        <v>8</v>
      </c>
      <c r="W609" s="18">
        <f>IFERROR(Table1[[#This Row],[Staff Hours Worked]]/Table1[[#This Row],[Staff Available Hours]],0)</f>
        <v>1</v>
      </c>
      <c r="X609" t="s">
        <v>31</v>
      </c>
    </row>
    <row r="610" spans="1:24">
      <c r="A610" t="s">
        <v>667</v>
      </c>
      <c r="B610">
        <v>61</v>
      </c>
      <c r="C610" t="str" cm="1">
        <f t="array" ref="C610">_xlfn.IFS(B610&lt;=18,"0-18",B610&lt;=35,"19-35",B610&lt;=50,"36-50",B610&lt;=65,"51-65","True","65+")</f>
        <v>51-65</v>
      </c>
      <c r="D610" t="s">
        <v>52</v>
      </c>
      <c r="E610" s="6">
        <v>45290</v>
      </c>
      <c r="F610" s="6">
        <v>45413</v>
      </c>
      <c r="G610">
        <v>6</v>
      </c>
      <c r="H610" t="s">
        <v>50</v>
      </c>
      <c r="I610">
        <v>4</v>
      </c>
      <c r="J610" t="s">
        <v>66</v>
      </c>
      <c r="K610">
        <v>27117</v>
      </c>
      <c r="L610" t="s">
        <v>60</v>
      </c>
      <c r="M610" t="s">
        <v>26</v>
      </c>
      <c r="N610" t="s">
        <v>27</v>
      </c>
      <c r="O610" s="2">
        <v>45286</v>
      </c>
      <c r="P610" s="2">
        <v>45287.875</v>
      </c>
      <c r="Q610" s="38">
        <f t="shared" si="9"/>
        <v>1.875</v>
      </c>
      <c r="R610" t="s">
        <v>42</v>
      </c>
      <c r="S610" t="s">
        <v>29</v>
      </c>
      <c r="T610" t="s">
        <v>47</v>
      </c>
      <c r="U610">
        <v>5</v>
      </c>
      <c r="V610">
        <v>8</v>
      </c>
      <c r="W610" s="18">
        <f>IFERROR(Table1[[#This Row],[Staff Hours Worked]]/Table1[[#This Row],[Staff Available Hours]],0)</f>
        <v>0.625</v>
      </c>
      <c r="X610" t="s">
        <v>48</v>
      </c>
    </row>
    <row r="611" spans="1:24">
      <c r="A611" t="s">
        <v>668</v>
      </c>
      <c r="B611">
        <v>39</v>
      </c>
      <c r="C611" t="str" cm="1">
        <f t="array" ref="C611">_xlfn.IFS(B611&lt;=18,"0-18",B611&lt;=35,"19-35",B611&lt;=50,"36-50",B611&lt;=65,"51-65","True","65+")</f>
        <v>36-50</v>
      </c>
      <c r="D611" t="s">
        <v>52</v>
      </c>
      <c r="E611" s="6">
        <v>45191</v>
      </c>
      <c r="F611" s="6">
        <v>45087</v>
      </c>
      <c r="G611">
        <v>14</v>
      </c>
      <c r="H611" t="s">
        <v>40</v>
      </c>
      <c r="I611">
        <v>5</v>
      </c>
      <c r="J611" t="s">
        <v>35</v>
      </c>
      <c r="K611">
        <v>9893</v>
      </c>
      <c r="L611" t="s">
        <v>60</v>
      </c>
      <c r="M611" t="s">
        <v>54</v>
      </c>
      <c r="N611" t="s">
        <v>27</v>
      </c>
      <c r="O611" s="2">
        <v>45190</v>
      </c>
      <c r="P611" s="2">
        <v>45190.375</v>
      </c>
      <c r="Q611" s="38">
        <f t="shared" si="9"/>
        <v>0.375</v>
      </c>
      <c r="R611" t="s">
        <v>42</v>
      </c>
      <c r="S611" t="s">
        <v>29</v>
      </c>
      <c r="T611" t="s">
        <v>30</v>
      </c>
      <c r="U611">
        <v>11</v>
      </c>
      <c r="V611">
        <v>12</v>
      </c>
      <c r="W611" s="18">
        <f>IFERROR(Table1[[#This Row],[Staff Hours Worked]]/Table1[[#This Row],[Staff Available Hours]],0)</f>
        <v>0.91666666666666663</v>
      </c>
      <c r="X611" t="s">
        <v>48</v>
      </c>
    </row>
    <row r="612" spans="1:24">
      <c r="A612" t="s">
        <v>669</v>
      </c>
      <c r="B612">
        <v>1</v>
      </c>
      <c r="C612" t="str" cm="1">
        <f t="array" ref="C612">_xlfn.IFS(B612&lt;=18,"0-18",B612&lt;=35,"19-35",B612&lt;=50,"36-50",B612&lt;=65,"51-65","True","65+")</f>
        <v>0-18</v>
      </c>
      <c r="D612" t="s">
        <v>45</v>
      </c>
      <c r="E612" s="6">
        <v>45275</v>
      </c>
      <c r="F612" s="6">
        <v>45278</v>
      </c>
      <c r="G612">
        <v>3</v>
      </c>
      <c r="H612" t="s">
        <v>63</v>
      </c>
      <c r="I612">
        <v>5</v>
      </c>
      <c r="J612" t="s">
        <v>66</v>
      </c>
      <c r="K612">
        <v>14476</v>
      </c>
      <c r="L612" t="s">
        <v>60</v>
      </c>
      <c r="M612" t="s">
        <v>26</v>
      </c>
      <c r="N612" t="s">
        <v>27</v>
      </c>
      <c r="O612" s="2">
        <v>45274</v>
      </c>
      <c r="P612" s="2">
        <v>45275.291666666664</v>
      </c>
      <c r="Q612" s="38">
        <f t="shared" si="9"/>
        <v>1.2916666666642413</v>
      </c>
      <c r="R612" t="s">
        <v>55</v>
      </c>
      <c r="S612" t="s">
        <v>29</v>
      </c>
      <c r="T612" t="s">
        <v>30</v>
      </c>
      <c r="U612">
        <v>7</v>
      </c>
      <c r="V612">
        <v>8</v>
      </c>
      <c r="W612" s="18">
        <f>IFERROR(Table1[[#This Row],[Staff Hours Worked]]/Table1[[#This Row],[Staff Available Hours]],0)</f>
        <v>0.875</v>
      </c>
      <c r="X612" t="s">
        <v>48</v>
      </c>
    </row>
    <row r="613" spans="1:24">
      <c r="A613" t="s">
        <v>670</v>
      </c>
      <c r="B613">
        <v>3</v>
      </c>
      <c r="C613" t="str" cm="1">
        <f t="array" ref="C613">_xlfn.IFS(B613&lt;=18,"0-18",B613&lt;=35,"19-35",B613&lt;=50,"36-50",B613&lt;=65,"51-65","True","65+")</f>
        <v>0-18</v>
      </c>
      <c r="D613" t="s">
        <v>33</v>
      </c>
      <c r="E613" s="6">
        <v>45213</v>
      </c>
      <c r="F613" s="6">
        <v>45224</v>
      </c>
      <c r="G613">
        <v>11</v>
      </c>
      <c r="H613" t="s">
        <v>34</v>
      </c>
      <c r="I613">
        <v>5</v>
      </c>
      <c r="J613" t="s">
        <v>66</v>
      </c>
      <c r="K613">
        <v>22270</v>
      </c>
      <c r="L613" t="s">
        <v>53</v>
      </c>
      <c r="M613" t="s">
        <v>54</v>
      </c>
      <c r="N613" t="s">
        <v>27</v>
      </c>
      <c r="O613" s="2">
        <v>45270</v>
      </c>
      <c r="P613" s="2">
        <v>45270.208333333336</v>
      </c>
      <c r="Q613" s="38">
        <f t="shared" si="9"/>
        <v>0.20833333333575865</v>
      </c>
      <c r="R613" t="s">
        <v>42</v>
      </c>
      <c r="S613" t="s">
        <v>38</v>
      </c>
      <c r="T613" t="s">
        <v>47</v>
      </c>
      <c r="U613">
        <v>10</v>
      </c>
      <c r="V613">
        <v>10</v>
      </c>
      <c r="W613" s="18">
        <f>IFERROR(Table1[[#This Row],[Staff Hours Worked]]/Table1[[#This Row],[Staff Available Hours]],0)</f>
        <v>1</v>
      </c>
      <c r="X613" t="s">
        <v>68</v>
      </c>
    </row>
    <row r="614" spans="1:24">
      <c r="A614" t="s">
        <v>671</v>
      </c>
      <c r="B614">
        <v>77</v>
      </c>
      <c r="C614" t="str" cm="1">
        <f t="array" ref="C614">_xlfn.IFS(B614&lt;=18,"0-18",B614&lt;=35,"19-35",B614&lt;=50,"36-50",B614&lt;=65,"51-65","True","65+")</f>
        <v>65+</v>
      </c>
      <c r="D614" t="s">
        <v>62</v>
      </c>
      <c r="E614" s="6">
        <v>45209</v>
      </c>
      <c r="F614" s="6">
        <v>45221</v>
      </c>
      <c r="G614">
        <v>12</v>
      </c>
      <c r="H614" t="s">
        <v>23</v>
      </c>
      <c r="I614">
        <v>1</v>
      </c>
      <c r="J614" t="s">
        <v>24</v>
      </c>
      <c r="K614">
        <v>26702</v>
      </c>
      <c r="L614" t="s">
        <v>25</v>
      </c>
      <c r="M614" t="s">
        <v>54</v>
      </c>
      <c r="N614" t="s">
        <v>27</v>
      </c>
      <c r="O614" s="2">
        <v>45087</v>
      </c>
      <c r="P614" s="2">
        <v>45087.625</v>
      </c>
      <c r="Q614" s="38">
        <f t="shared" si="9"/>
        <v>0.625</v>
      </c>
      <c r="R614" t="s">
        <v>55</v>
      </c>
      <c r="S614" t="s">
        <v>29</v>
      </c>
      <c r="T614" t="s">
        <v>43</v>
      </c>
      <c r="U614">
        <v>11</v>
      </c>
      <c r="V614">
        <v>8</v>
      </c>
      <c r="W614" s="18">
        <f>IFERROR(Table1[[#This Row],[Staff Hours Worked]]/Table1[[#This Row],[Staff Available Hours]],0)</f>
        <v>1.375</v>
      </c>
      <c r="X614" t="s">
        <v>31</v>
      </c>
    </row>
    <row r="615" spans="1:24">
      <c r="A615" t="s">
        <v>672</v>
      </c>
      <c r="B615">
        <v>62</v>
      </c>
      <c r="C615" t="str" cm="1">
        <f t="array" ref="C615">_xlfn.IFS(B615&lt;=18,"0-18",B615&lt;=35,"19-35",B615&lt;=50,"36-50",B615&lt;=65,"51-65","True","65+")</f>
        <v>51-65</v>
      </c>
      <c r="D615" t="s">
        <v>33</v>
      </c>
      <c r="E615" s="6">
        <v>45231</v>
      </c>
      <c r="F615" s="6">
        <v>44951</v>
      </c>
      <c r="G615">
        <v>14</v>
      </c>
      <c r="H615" t="s">
        <v>23</v>
      </c>
      <c r="I615">
        <v>2</v>
      </c>
      <c r="J615" t="s">
        <v>24</v>
      </c>
      <c r="K615">
        <v>9382</v>
      </c>
      <c r="L615" t="s">
        <v>25</v>
      </c>
      <c r="M615" t="s">
        <v>26</v>
      </c>
      <c r="N615" t="s">
        <v>27</v>
      </c>
      <c r="O615" s="2">
        <v>45139</v>
      </c>
      <c r="P615" s="2">
        <v>45170.041666666664</v>
      </c>
      <c r="Q615" s="38">
        <f t="shared" si="9"/>
        <v>31.041666666664241</v>
      </c>
      <c r="R615" t="s">
        <v>64</v>
      </c>
      <c r="S615" t="s">
        <v>29</v>
      </c>
      <c r="T615" t="s">
        <v>30</v>
      </c>
      <c r="U615">
        <v>10</v>
      </c>
      <c r="V615">
        <v>10</v>
      </c>
      <c r="W615" s="18">
        <f>IFERROR(Table1[[#This Row],[Staff Hours Worked]]/Table1[[#This Row],[Staff Available Hours]],0)</f>
        <v>1</v>
      </c>
      <c r="X615" t="s">
        <v>68</v>
      </c>
    </row>
    <row r="616" spans="1:24">
      <c r="A616" t="s">
        <v>673</v>
      </c>
      <c r="B616">
        <v>63</v>
      </c>
      <c r="C616" t="str" cm="1">
        <f t="array" ref="C616">_xlfn.IFS(B616&lt;=18,"0-18",B616&lt;=35,"19-35",B616&lt;=50,"36-50",B616&lt;=65,"51-65","True","65+")</f>
        <v>51-65</v>
      </c>
      <c r="D616" t="s">
        <v>45</v>
      </c>
      <c r="E616" s="6">
        <v>45456</v>
      </c>
      <c r="F616" s="6">
        <v>45468</v>
      </c>
      <c r="G616">
        <v>12</v>
      </c>
      <c r="H616" t="s">
        <v>34</v>
      </c>
      <c r="I616">
        <v>1</v>
      </c>
      <c r="J616" t="s">
        <v>35</v>
      </c>
      <c r="K616">
        <v>6785</v>
      </c>
      <c r="L616" t="s">
        <v>60</v>
      </c>
      <c r="M616" t="s">
        <v>26</v>
      </c>
      <c r="N616" t="s">
        <v>27</v>
      </c>
      <c r="O616" s="2">
        <v>45456</v>
      </c>
      <c r="P616" s="2">
        <v>45456.25</v>
      </c>
      <c r="Q616" s="38">
        <f t="shared" si="9"/>
        <v>0.25</v>
      </c>
      <c r="R616" t="s">
        <v>28</v>
      </c>
      <c r="S616" t="s">
        <v>29</v>
      </c>
      <c r="T616" t="s">
        <v>47</v>
      </c>
      <c r="U616">
        <v>10</v>
      </c>
      <c r="V616">
        <v>8</v>
      </c>
      <c r="W616" s="18">
        <f>IFERROR(Table1[[#This Row],[Staff Hours Worked]]/Table1[[#This Row],[Staff Available Hours]],0)</f>
        <v>1.25</v>
      </c>
      <c r="X616" t="s">
        <v>48</v>
      </c>
    </row>
    <row r="617" spans="1:24">
      <c r="A617" t="s">
        <v>674</v>
      </c>
      <c r="B617">
        <v>25</v>
      </c>
      <c r="C617" t="str" cm="1">
        <f t="array" ref="C617">_xlfn.IFS(B617&lt;=18,"0-18",B617&lt;=35,"19-35",B617&lt;=50,"36-50",B617&lt;=65,"51-65","True","65+")</f>
        <v>19-35</v>
      </c>
      <c r="D617" t="s">
        <v>52</v>
      </c>
      <c r="E617" s="6">
        <v>45122</v>
      </c>
      <c r="F617" s="6">
        <v>45133</v>
      </c>
      <c r="G617">
        <v>11</v>
      </c>
      <c r="H617" t="s">
        <v>23</v>
      </c>
      <c r="I617">
        <v>3</v>
      </c>
      <c r="J617" t="s">
        <v>66</v>
      </c>
      <c r="K617">
        <v>16735</v>
      </c>
      <c r="L617" t="s">
        <v>53</v>
      </c>
      <c r="M617" t="s">
        <v>54</v>
      </c>
      <c r="N617" t="s">
        <v>27</v>
      </c>
      <c r="O617" s="2">
        <v>45206</v>
      </c>
      <c r="P617" s="2">
        <v>45237.958333333336</v>
      </c>
      <c r="Q617" s="38">
        <f t="shared" si="9"/>
        <v>31.958333333335759</v>
      </c>
      <c r="R617" t="s">
        <v>28</v>
      </c>
      <c r="S617" t="s">
        <v>29</v>
      </c>
      <c r="T617" t="s">
        <v>47</v>
      </c>
      <c r="U617">
        <v>6</v>
      </c>
      <c r="V617">
        <v>8</v>
      </c>
      <c r="W617" s="18">
        <f>IFERROR(Table1[[#This Row],[Staff Hours Worked]]/Table1[[#This Row],[Staff Available Hours]],0)</f>
        <v>0.75</v>
      </c>
      <c r="X617" t="s">
        <v>31</v>
      </c>
    </row>
    <row r="618" spans="1:24">
      <c r="A618" t="s">
        <v>675</v>
      </c>
      <c r="B618">
        <v>56</v>
      </c>
      <c r="C618" t="str" cm="1">
        <f t="array" ref="C618">_xlfn.IFS(B618&lt;=18,"0-18",B618&lt;=35,"19-35",B618&lt;=50,"36-50",B618&lt;=65,"51-65","True","65+")</f>
        <v>51-65</v>
      </c>
      <c r="D618" t="s">
        <v>33</v>
      </c>
      <c r="E618" s="6">
        <v>45014</v>
      </c>
      <c r="F618" s="6">
        <v>45029</v>
      </c>
      <c r="G618">
        <v>15</v>
      </c>
      <c r="H618" t="s">
        <v>23</v>
      </c>
      <c r="I618">
        <v>2</v>
      </c>
      <c r="J618" t="s">
        <v>35</v>
      </c>
      <c r="K618">
        <v>35177</v>
      </c>
      <c r="L618" t="s">
        <v>60</v>
      </c>
      <c r="M618" t="s">
        <v>26</v>
      </c>
      <c r="N618" t="s">
        <v>27</v>
      </c>
      <c r="O618" s="2">
        <v>45013</v>
      </c>
      <c r="P618" s="2">
        <v>45013.291666666664</v>
      </c>
      <c r="Q618" s="38">
        <f t="shared" si="9"/>
        <v>0.29166666666424135</v>
      </c>
      <c r="R618" t="s">
        <v>37</v>
      </c>
      <c r="S618" t="s">
        <v>29</v>
      </c>
      <c r="T618" t="s">
        <v>47</v>
      </c>
      <c r="U618">
        <v>8</v>
      </c>
      <c r="V618">
        <v>12</v>
      </c>
      <c r="W618" s="18">
        <f>IFERROR(Table1[[#This Row],[Staff Hours Worked]]/Table1[[#This Row],[Staff Available Hours]],0)</f>
        <v>0.66666666666666663</v>
      </c>
      <c r="X618" t="s">
        <v>48</v>
      </c>
    </row>
    <row r="619" spans="1:24">
      <c r="A619" t="s">
        <v>676</v>
      </c>
      <c r="B619">
        <v>33</v>
      </c>
      <c r="C619" t="str" cm="1">
        <f t="array" ref="C619">_xlfn.IFS(B619&lt;=18,"0-18",B619&lt;=35,"19-35",B619&lt;=50,"36-50",B619&lt;=65,"51-65","True","65+")</f>
        <v>19-35</v>
      </c>
      <c r="D619" t="s">
        <v>33</v>
      </c>
      <c r="E619" s="6">
        <v>45055</v>
      </c>
      <c r="F619" s="6">
        <v>45183</v>
      </c>
      <c r="G619">
        <v>9</v>
      </c>
      <c r="H619" t="s">
        <v>63</v>
      </c>
      <c r="I619">
        <v>4</v>
      </c>
      <c r="J619" t="s">
        <v>71</v>
      </c>
      <c r="K619">
        <v>35712</v>
      </c>
      <c r="L619" t="s">
        <v>53</v>
      </c>
      <c r="M619" t="s">
        <v>26</v>
      </c>
      <c r="N619" t="s">
        <v>27</v>
      </c>
      <c r="O619" s="2">
        <v>45169</v>
      </c>
      <c r="P619" s="2">
        <v>45169.291666666664</v>
      </c>
      <c r="Q619" s="38">
        <f t="shared" si="9"/>
        <v>0.29166666666424135</v>
      </c>
      <c r="R619" t="s">
        <v>64</v>
      </c>
      <c r="S619" t="s">
        <v>29</v>
      </c>
      <c r="T619" t="s">
        <v>43</v>
      </c>
      <c r="U619">
        <v>8</v>
      </c>
      <c r="V619">
        <v>10</v>
      </c>
      <c r="W619" s="18">
        <f>IFERROR(Table1[[#This Row],[Staff Hours Worked]]/Table1[[#This Row],[Staff Available Hours]],0)</f>
        <v>0.8</v>
      </c>
      <c r="X619" t="s">
        <v>48</v>
      </c>
    </row>
    <row r="620" spans="1:24">
      <c r="A620" t="s">
        <v>677</v>
      </c>
      <c r="B620">
        <v>38</v>
      </c>
      <c r="C620" t="str" cm="1">
        <f t="array" ref="C620">_xlfn.IFS(B620&lt;=18,"0-18",B620&lt;=35,"19-35",B620&lt;=50,"36-50",B620&lt;=65,"51-65","True","65+")</f>
        <v>36-50</v>
      </c>
      <c r="D620" t="s">
        <v>52</v>
      </c>
      <c r="E620" s="6">
        <v>45343</v>
      </c>
      <c r="F620" s="6">
        <v>45345</v>
      </c>
      <c r="G620">
        <v>2</v>
      </c>
      <c r="H620" t="s">
        <v>34</v>
      </c>
      <c r="I620">
        <v>5</v>
      </c>
      <c r="J620" t="s">
        <v>35</v>
      </c>
      <c r="K620">
        <v>21679</v>
      </c>
      <c r="L620" t="s">
        <v>60</v>
      </c>
      <c r="M620" t="s">
        <v>26</v>
      </c>
      <c r="N620" t="s">
        <v>27</v>
      </c>
      <c r="O620" s="2">
        <v>45339</v>
      </c>
      <c r="P620" s="2">
        <v>45339.875</v>
      </c>
      <c r="Q620" s="38">
        <f t="shared" si="9"/>
        <v>0.875</v>
      </c>
      <c r="R620" t="s">
        <v>42</v>
      </c>
      <c r="S620" t="s">
        <v>38</v>
      </c>
      <c r="T620" t="s">
        <v>30</v>
      </c>
      <c r="U620">
        <v>10</v>
      </c>
      <c r="V620">
        <v>12</v>
      </c>
      <c r="W620" s="18">
        <f>IFERROR(Table1[[#This Row],[Staff Hours Worked]]/Table1[[#This Row],[Staff Available Hours]],0)</f>
        <v>0.83333333333333337</v>
      </c>
      <c r="X620" t="s">
        <v>68</v>
      </c>
    </row>
    <row r="621" spans="1:24">
      <c r="A621" t="s">
        <v>678</v>
      </c>
      <c r="B621">
        <v>6</v>
      </c>
      <c r="C621" t="str" cm="1">
        <f t="array" ref="C621">_xlfn.IFS(B621&lt;=18,"0-18",B621&lt;=35,"19-35",B621&lt;=50,"36-50",B621&lt;=65,"51-65","True","65+")</f>
        <v>0-18</v>
      </c>
      <c r="D621" t="s">
        <v>62</v>
      </c>
      <c r="E621" s="6">
        <v>45427</v>
      </c>
      <c r="F621" s="6">
        <v>45438</v>
      </c>
      <c r="G621">
        <v>11</v>
      </c>
      <c r="H621" t="s">
        <v>57</v>
      </c>
      <c r="I621">
        <v>3</v>
      </c>
      <c r="J621" t="s">
        <v>46</v>
      </c>
      <c r="K621">
        <v>48013</v>
      </c>
      <c r="L621" t="s">
        <v>67</v>
      </c>
      <c r="M621" t="s">
        <v>54</v>
      </c>
      <c r="N621" t="s">
        <v>27</v>
      </c>
      <c r="O621" s="2">
        <v>45631</v>
      </c>
      <c r="P621" s="2">
        <v>45425</v>
      </c>
      <c r="Q621" s="38">
        <f t="shared" si="9"/>
        <v>206</v>
      </c>
      <c r="R621" t="s">
        <v>42</v>
      </c>
      <c r="S621" t="s">
        <v>29</v>
      </c>
      <c r="T621" t="s">
        <v>30</v>
      </c>
      <c r="U621">
        <v>6</v>
      </c>
      <c r="V621">
        <v>8</v>
      </c>
      <c r="W621" s="18">
        <f>IFERROR(Table1[[#This Row],[Staff Hours Worked]]/Table1[[#This Row],[Staff Available Hours]],0)</f>
        <v>0.75</v>
      </c>
      <c r="X621" t="s">
        <v>48</v>
      </c>
    </row>
    <row r="622" spans="1:24">
      <c r="A622" t="s">
        <v>679</v>
      </c>
      <c r="B622">
        <v>58</v>
      </c>
      <c r="C622" t="str" cm="1">
        <f t="array" ref="C622">_xlfn.IFS(B622&lt;=18,"0-18",B622&lt;=35,"19-35",B622&lt;=50,"36-50",B622&lt;=65,"51-65","True","65+")</f>
        <v>51-65</v>
      </c>
      <c r="D622" t="s">
        <v>52</v>
      </c>
      <c r="E622" s="6">
        <v>45025</v>
      </c>
      <c r="F622" s="6">
        <v>45184</v>
      </c>
      <c r="G622">
        <v>11</v>
      </c>
      <c r="H622" t="s">
        <v>50</v>
      </c>
      <c r="I622">
        <v>2</v>
      </c>
      <c r="J622" t="s">
        <v>35</v>
      </c>
      <c r="K622">
        <v>40365</v>
      </c>
      <c r="L622" t="s">
        <v>67</v>
      </c>
      <c r="M622" t="s">
        <v>54</v>
      </c>
      <c r="N622" t="s">
        <v>27</v>
      </c>
      <c r="O622" s="2">
        <v>45025</v>
      </c>
      <c r="P622" s="2">
        <v>45025.833333333336</v>
      </c>
      <c r="Q622" s="38">
        <f t="shared" si="9"/>
        <v>0.83333333333575865</v>
      </c>
      <c r="R622" t="s">
        <v>64</v>
      </c>
      <c r="S622" t="s">
        <v>29</v>
      </c>
      <c r="T622" t="s">
        <v>30</v>
      </c>
      <c r="U622">
        <v>10</v>
      </c>
      <c r="V622">
        <v>12</v>
      </c>
      <c r="W622" s="18">
        <f>IFERROR(Table1[[#This Row],[Staff Hours Worked]]/Table1[[#This Row],[Staff Available Hours]],0)</f>
        <v>0.83333333333333337</v>
      </c>
      <c r="X622" t="s">
        <v>31</v>
      </c>
    </row>
    <row r="623" spans="1:24">
      <c r="A623" t="s">
        <v>680</v>
      </c>
      <c r="B623">
        <v>44</v>
      </c>
      <c r="C623" t="str" cm="1">
        <f t="array" ref="C623">_xlfn.IFS(B623&lt;=18,"0-18",B623&lt;=35,"19-35",B623&lt;=50,"36-50",B623&lt;=65,"51-65","True","65+")</f>
        <v>36-50</v>
      </c>
      <c r="D623" t="s">
        <v>33</v>
      </c>
      <c r="E623" s="6">
        <v>45327</v>
      </c>
      <c r="F623" s="6">
        <v>45540</v>
      </c>
      <c r="G623">
        <v>7</v>
      </c>
      <c r="H623" t="s">
        <v>50</v>
      </c>
      <c r="I623">
        <v>1</v>
      </c>
      <c r="J623" t="s">
        <v>46</v>
      </c>
      <c r="K623">
        <v>22064</v>
      </c>
      <c r="L623" t="s">
        <v>36</v>
      </c>
      <c r="M623" t="s">
        <v>54</v>
      </c>
      <c r="N623" t="s">
        <v>27</v>
      </c>
      <c r="O623" s="2">
        <v>45410</v>
      </c>
      <c r="P623" s="2">
        <v>45410.375</v>
      </c>
      <c r="Q623" s="38">
        <f t="shared" si="9"/>
        <v>0.375</v>
      </c>
      <c r="R623" t="s">
        <v>42</v>
      </c>
      <c r="S623" t="s">
        <v>29</v>
      </c>
      <c r="T623" t="s">
        <v>43</v>
      </c>
      <c r="U623">
        <v>7</v>
      </c>
      <c r="V623">
        <v>8</v>
      </c>
      <c r="W623" s="18">
        <f>IFERROR(Table1[[#This Row],[Staff Hours Worked]]/Table1[[#This Row],[Staff Available Hours]],0)</f>
        <v>0.875</v>
      </c>
      <c r="X623" t="s">
        <v>48</v>
      </c>
    </row>
    <row r="624" spans="1:24">
      <c r="A624" t="s">
        <v>681</v>
      </c>
      <c r="B624">
        <v>45</v>
      </c>
      <c r="C624" t="str" cm="1">
        <f t="array" ref="C624">_xlfn.IFS(B624&lt;=18,"0-18",B624&lt;=35,"19-35",B624&lt;=50,"36-50",B624&lt;=65,"51-65","True","65+")</f>
        <v>36-50</v>
      </c>
      <c r="D624" t="s">
        <v>62</v>
      </c>
      <c r="E624" s="6">
        <v>45429</v>
      </c>
      <c r="F624" s="6">
        <v>45438</v>
      </c>
      <c r="G624">
        <v>9</v>
      </c>
      <c r="H624" t="s">
        <v>23</v>
      </c>
      <c r="I624">
        <v>5</v>
      </c>
      <c r="J624" t="s">
        <v>46</v>
      </c>
      <c r="K624">
        <v>35563</v>
      </c>
      <c r="L624" t="s">
        <v>60</v>
      </c>
      <c r="M624" t="s">
        <v>26</v>
      </c>
      <c r="N624" t="s">
        <v>27</v>
      </c>
      <c r="O624" s="2">
        <v>45426</v>
      </c>
      <c r="P624" s="2">
        <v>45427.041666666664</v>
      </c>
      <c r="Q624" s="38">
        <f t="shared" si="9"/>
        <v>1.0416666666642413</v>
      </c>
      <c r="R624" t="s">
        <v>37</v>
      </c>
      <c r="S624" t="s">
        <v>38</v>
      </c>
      <c r="T624" t="s">
        <v>30</v>
      </c>
      <c r="U624">
        <v>6</v>
      </c>
      <c r="V624">
        <v>8</v>
      </c>
      <c r="W624" s="18">
        <f>IFERROR(Table1[[#This Row],[Staff Hours Worked]]/Table1[[#This Row],[Staff Available Hours]],0)</f>
        <v>0.75</v>
      </c>
      <c r="X624" t="s">
        <v>48</v>
      </c>
    </row>
    <row r="625" spans="1:24">
      <c r="A625" t="s">
        <v>682</v>
      </c>
      <c r="B625">
        <v>32</v>
      </c>
      <c r="C625" t="str" cm="1">
        <f t="array" ref="C625">_xlfn.IFS(B625&lt;=18,"0-18",B625&lt;=35,"19-35",B625&lt;=50,"36-50",B625&lt;=65,"51-65","True","65+")</f>
        <v>19-35</v>
      </c>
      <c r="D625" t="s">
        <v>62</v>
      </c>
      <c r="E625" s="6">
        <v>45355</v>
      </c>
      <c r="F625" s="6">
        <v>45539</v>
      </c>
      <c r="G625">
        <v>6</v>
      </c>
      <c r="H625" t="s">
        <v>50</v>
      </c>
      <c r="I625">
        <v>1</v>
      </c>
      <c r="J625" t="s">
        <v>46</v>
      </c>
      <c r="K625">
        <v>38092</v>
      </c>
      <c r="L625" t="s">
        <v>25</v>
      </c>
      <c r="M625" t="s">
        <v>54</v>
      </c>
      <c r="N625" t="s">
        <v>27</v>
      </c>
      <c r="O625" s="2">
        <v>45355</v>
      </c>
      <c r="P625" s="2">
        <v>45355.375</v>
      </c>
      <c r="Q625" s="38">
        <f t="shared" si="9"/>
        <v>0.375</v>
      </c>
      <c r="R625" t="s">
        <v>55</v>
      </c>
      <c r="S625" t="s">
        <v>29</v>
      </c>
      <c r="T625" t="s">
        <v>30</v>
      </c>
      <c r="U625">
        <v>10</v>
      </c>
      <c r="V625">
        <v>8</v>
      </c>
      <c r="W625" s="18">
        <f>IFERROR(Table1[[#This Row],[Staff Hours Worked]]/Table1[[#This Row],[Staff Available Hours]],0)</f>
        <v>1.25</v>
      </c>
      <c r="X625" t="s">
        <v>68</v>
      </c>
    </row>
    <row r="626" spans="1:24">
      <c r="A626" t="s">
        <v>683</v>
      </c>
      <c r="B626">
        <v>45</v>
      </c>
      <c r="C626" t="str" cm="1">
        <f t="array" ref="C626">_xlfn.IFS(B626&lt;=18,"0-18",B626&lt;=35,"19-35",B626&lt;=50,"36-50",B626&lt;=65,"51-65","True","65+")</f>
        <v>36-50</v>
      </c>
      <c r="D626" t="s">
        <v>52</v>
      </c>
      <c r="E626" s="6">
        <v>44944</v>
      </c>
      <c r="F626" s="6">
        <v>44945</v>
      </c>
      <c r="G626">
        <v>1</v>
      </c>
      <c r="H626" t="s">
        <v>34</v>
      </c>
      <c r="I626">
        <v>2</v>
      </c>
      <c r="J626" t="s">
        <v>71</v>
      </c>
      <c r="K626">
        <v>31867</v>
      </c>
      <c r="L626" t="s">
        <v>36</v>
      </c>
      <c r="M626" t="s">
        <v>26</v>
      </c>
      <c r="N626" t="s">
        <v>27</v>
      </c>
      <c r="O626" s="2">
        <v>44941</v>
      </c>
      <c r="P626" s="2">
        <v>44942.75</v>
      </c>
      <c r="Q626" s="38">
        <f t="shared" si="9"/>
        <v>1.75</v>
      </c>
      <c r="R626" t="s">
        <v>28</v>
      </c>
      <c r="S626" t="s">
        <v>29</v>
      </c>
      <c r="T626" t="s">
        <v>30</v>
      </c>
      <c r="U626">
        <v>9</v>
      </c>
      <c r="V626">
        <v>10</v>
      </c>
      <c r="W626" s="18">
        <f>IFERROR(Table1[[#This Row],[Staff Hours Worked]]/Table1[[#This Row],[Staff Available Hours]],0)</f>
        <v>0.9</v>
      </c>
      <c r="X626" t="s">
        <v>31</v>
      </c>
    </row>
    <row r="627" spans="1:24">
      <c r="A627" t="s">
        <v>684</v>
      </c>
      <c r="B627">
        <v>61</v>
      </c>
      <c r="C627" t="str" cm="1">
        <f t="array" ref="C627">_xlfn.IFS(B627&lt;=18,"0-18",B627&lt;=35,"19-35",B627&lt;=50,"36-50",B627&lt;=65,"51-65","True","65+")</f>
        <v>51-65</v>
      </c>
      <c r="D627" t="s">
        <v>33</v>
      </c>
      <c r="E627" s="6">
        <v>45081</v>
      </c>
      <c r="F627" s="6">
        <v>45264</v>
      </c>
      <c r="G627">
        <v>6</v>
      </c>
      <c r="H627" t="s">
        <v>34</v>
      </c>
      <c r="I627">
        <v>2</v>
      </c>
      <c r="J627" t="s">
        <v>35</v>
      </c>
      <c r="K627">
        <v>38754</v>
      </c>
      <c r="L627" t="s">
        <v>67</v>
      </c>
      <c r="M627" t="s">
        <v>54</v>
      </c>
      <c r="N627" t="s">
        <v>27</v>
      </c>
      <c r="O627" s="2">
        <v>45050</v>
      </c>
      <c r="P627" s="2">
        <v>45081.833333333336</v>
      </c>
      <c r="Q627" s="38">
        <f t="shared" si="9"/>
        <v>31.833333333335759</v>
      </c>
      <c r="R627" t="s">
        <v>64</v>
      </c>
      <c r="S627" t="s">
        <v>29</v>
      </c>
      <c r="T627" t="s">
        <v>30</v>
      </c>
      <c r="U627">
        <v>5</v>
      </c>
      <c r="V627">
        <v>10</v>
      </c>
      <c r="W627" s="18">
        <f>IFERROR(Table1[[#This Row],[Staff Hours Worked]]/Table1[[#This Row],[Staff Available Hours]],0)</f>
        <v>0.5</v>
      </c>
      <c r="X627" t="s">
        <v>68</v>
      </c>
    </row>
    <row r="628" spans="1:24">
      <c r="A628" t="s">
        <v>685</v>
      </c>
      <c r="B628">
        <v>47</v>
      </c>
      <c r="C628" t="str" cm="1">
        <f t="array" ref="C628">_xlfn.IFS(B628&lt;=18,"0-18",B628&lt;=35,"19-35",B628&lt;=50,"36-50",B628&lt;=65,"51-65","True","65+")</f>
        <v>36-50</v>
      </c>
      <c r="D628" t="s">
        <v>45</v>
      </c>
      <c r="E628" s="6">
        <v>45228</v>
      </c>
      <c r="F628" s="6">
        <v>44996</v>
      </c>
      <c r="G628">
        <v>5</v>
      </c>
      <c r="H628" t="s">
        <v>40</v>
      </c>
      <c r="I628">
        <v>3</v>
      </c>
      <c r="J628" t="s">
        <v>35</v>
      </c>
      <c r="K628">
        <v>24502</v>
      </c>
      <c r="L628" t="s">
        <v>60</v>
      </c>
      <c r="M628" t="s">
        <v>54</v>
      </c>
      <c r="N628" t="s">
        <v>27</v>
      </c>
      <c r="O628" s="2">
        <v>45224</v>
      </c>
      <c r="P628" s="2">
        <v>45224.416666666664</v>
      </c>
      <c r="Q628" s="38">
        <f t="shared" si="9"/>
        <v>0.41666666666424135</v>
      </c>
      <c r="R628" t="s">
        <v>28</v>
      </c>
      <c r="S628" t="s">
        <v>29</v>
      </c>
      <c r="T628" t="s">
        <v>43</v>
      </c>
      <c r="U628">
        <v>9</v>
      </c>
      <c r="V628">
        <v>10</v>
      </c>
      <c r="W628" s="18">
        <f>IFERROR(Table1[[#This Row],[Staff Hours Worked]]/Table1[[#This Row],[Staff Available Hours]],0)</f>
        <v>0.9</v>
      </c>
      <c r="X628" t="s">
        <v>48</v>
      </c>
    </row>
    <row r="629" spans="1:24">
      <c r="A629" t="s">
        <v>686</v>
      </c>
      <c r="B629">
        <v>21</v>
      </c>
      <c r="C629" t="str" cm="1">
        <f t="array" ref="C629">_xlfn.IFS(B629&lt;=18,"0-18",B629&lt;=35,"19-35",B629&lt;=50,"36-50",B629&lt;=65,"51-65","True","65+")</f>
        <v>19-35</v>
      </c>
      <c r="D629" t="s">
        <v>33</v>
      </c>
      <c r="E629" s="6">
        <v>45153</v>
      </c>
      <c r="F629" s="6">
        <v>45156</v>
      </c>
      <c r="G629">
        <v>3</v>
      </c>
      <c r="H629" t="s">
        <v>40</v>
      </c>
      <c r="I629">
        <v>4</v>
      </c>
      <c r="J629" t="s">
        <v>71</v>
      </c>
      <c r="K629">
        <v>5760</v>
      </c>
      <c r="L629" t="s">
        <v>36</v>
      </c>
      <c r="M629" t="s">
        <v>54</v>
      </c>
      <c r="N629" t="s">
        <v>41</v>
      </c>
      <c r="O629" s="2">
        <v>45268</v>
      </c>
      <c r="P629" s="2">
        <v>45268.208333333336</v>
      </c>
      <c r="Q629" s="38">
        <f t="shared" si="9"/>
        <v>0.20833333333575865</v>
      </c>
      <c r="R629" t="s">
        <v>55</v>
      </c>
      <c r="S629" t="s">
        <v>29</v>
      </c>
      <c r="T629" t="s">
        <v>47</v>
      </c>
      <c r="U629">
        <v>5</v>
      </c>
      <c r="V629">
        <v>12</v>
      </c>
      <c r="W629" s="18">
        <f>IFERROR(Table1[[#This Row],[Staff Hours Worked]]/Table1[[#This Row],[Staff Available Hours]],0)</f>
        <v>0.41666666666666669</v>
      </c>
      <c r="X629" t="s">
        <v>68</v>
      </c>
    </row>
    <row r="630" spans="1:24">
      <c r="A630" t="s">
        <v>687</v>
      </c>
      <c r="B630">
        <v>80</v>
      </c>
      <c r="C630" t="str" cm="1">
        <f t="array" ref="C630">_xlfn.IFS(B630&lt;=18,"0-18",B630&lt;=35,"19-35",B630&lt;=50,"36-50",B630&lt;=65,"51-65","True","65+")</f>
        <v>65+</v>
      </c>
      <c r="D630" t="s">
        <v>22</v>
      </c>
      <c r="E630" s="6">
        <v>45341</v>
      </c>
      <c r="F630" s="6">
        <v>45345</v>
      </c>
      <c r="G630">
        <v>4</v>
      </c>
      <c r="H630" t="s">
        <v>50</v>
      </c>
      <c r="I630">
        <v>1</v>
      </c>
      <c r="J630" t="s">
        <v>66</v>
      </c>
      <c r="K630">
        <v>29142</v>
      </c>
      <c r="L630" t="s">
        <v>60</v>
      </c>
      <c r="M630" t="s">
        <v>26</v>
      </c>
      <c r="N630" t="s">
        <v>27</v>
      </c>
      <c r="O630" s="2">
        <v>45338</v>
      </c>
      <c r="P630" s="2">
        <v>45339.416666666664</v>
      </c>
      <c r="Q630" s="38">
        <f t="shared" si="9"/>
        <v>1.4166666666642413</v>
      </c>
      <c r="R630" t="s">
        <v>64</v>
      </c>
      <c r="S630" t="s">
        <v>29</v>
      </c>
      <c r="T630" t="s">
        <v>47</v>
      </c>
      <c r="U630">
        <v>6</v>
      </c>
      <c r="V630">
        <v>8</v>
      </c>
      <c r="W630" s="18">
        <f>IFERROR(Table1[[#This Row],[Staff Hours Worked]]/Table1[[#This Row],[Staff Available Hours]],0)</f>
        <v>0.75</v>
      </c>
      <c r="X630" t="s">
        <v>68</v>
      </c>
    </row>
    <row r="631" spans="1:24">
      <c r="A631" t="s">
        <v>688</v>
      </c>
      <c r="B631">
        <v>85</v>
      </c>
      <c r="C631" t="str" cm="1">
        <f t="array" ref="C631">_xlfn.IFS(B631&lt;=18,"0-18",B631&lt;=35,"19-35",B631&lt;=50,"36-50",B631&lt;=65,"51-65","True","65+")</f>
        <v>65+</v>
      </c>
      <c r="D631" t="s">
        <v>41</v>
      </c>
      <c r="E631" s="6">
        <v>45116</v>
      </c>
      <c r="F631" s="6">
        <v>45182</v>
      </c>
      <c r="G631">
        <v>6</v>
      </c>
      <c r="H631" t="s">
        <v>57</v>
      </c>
      <c r="I631">
        <v>3</v>
      </c>
      <c r="J631" t="s">
        <v>24</v>
      </c>
      <c r="K631">
        <v>49653</v>
      </c>
      <c r="L631" t="s">
        <v>67</v>
      </c>
      <c r="M631" t="s">
        <v>54</v>
      </c>
      <c r="N631" t="s">
        <v>27</v>
      </c>
      <c r="O631" s="2">
        <v>44994</v>
      </c>
      <c r="P631" s="2">
        <v>45025.541666666664</v>
      </c>
      <c r="Q631" s="38">
        <f t="shared" si="9"/>
        <v>31.541666666664241</v>
      </c>
      <c r="R631" t="s">
        <v>55</v>
      </c>
      <c r="S631" t="s">
        <v>29</v>
      </c>
      <c r="T631" t="s">
        <v>30</v>
      </c>
      <c r="U631">
        <v>9</v>
      </c>
      <c r="V631">
        <v>12</v>
      </c>
      <c r="W631" s="18">
        <f>IFERROR(Table1[[#This Row],[Staff Hours Worked]]/Table1[[#This Row],[Staff Available Hours]],0)</f>
        <v>0.75</v>
      </c>
      <c r="X631" t="s">
        <v>68</v>
      </c>
    </row>
    <row r="632" spans="1:24">
      <c r="A632" t="s">
        <v>689</v>
      </c>
      <c r="B632">
        <v>75</v>
      </c>
      <c r="C632" t="str" cm="1">
        <f t="array" ref="C632">_xlfn.IFS(B632&lt;=18,"0-18",B632&lt;=35,"19-35",B632&lt;=50,"36-50",B632&lt;=65,"51-65","True","65+")</f>
        <v>65+</v>
      </c>
      <c r="D632" t="s">
        <v>45</v>
      </c>
      <c r="E632" s="6">
        <v>45210</v>
      </c>
      <c r="F632" s="6">
        <v>45253</v>
      </c>
      <c r="G632">
        <v>13</v>
      </c>
      <c r="H632" t="s">
        <v>40</v>
      </c>
      <c r="I632">
        <v>5</v>
      </c>
      <c r="J632" t="s">
        <v>35</v>
      </c>
      <c r="K632">
        <v>46996</v>
      </c>
      <c r="L632" t="s">
        <v>36</v>
      </c>
      <c r="M632" t="s">
        <v>26</v>
      </c>
      <c r="N632" t="s">
        <v>27</v>
      </c>
      <c r="O632" s="2">
        <v>45210</v>
      </c>
      <c r="P632" s="2">
        <v>45210.041666666664</v>
      </c>
      <c r="Q632" s="38">
        <f t="shared" si="9"/>
        <v>4.1666666664241347E-2</v>
      </c>
      <c r="R632" t="s">
        <v>42</v>
      </c>
      <c r="S632" t="s">
        <v>29</v>
      </c>
      <c r="T632" t="s">
        <v>30</v>
      </c>
      <c r="U632">
        <v>7</v>
      </c>
      <c r="V632">
        <v>12</v>
      </c>
      <c r="W632" s="18">
        <f>IFERROR(Table1[[#This Row],[Staff Hours Worked]]/Table1[[#This Row],[Staff Available Hours]],0)</f>
        <v>0.58333333333333337</v>
      </c>
      <c r="X632" t="s">
        <v>68</v>
      </c>
    </row>
    <row r="633" spans="1:24">
      <c r="A633" t="s">
        <v>690</v>
      </c>
      <c r="B633">
        <v>36</v>
      </c>
      <c r="C633" t="str" cm="1">
        <f t="array" ref="C633">_xlfn.IFS(B633&lt;=18,"0-18",B633&lt;=35,"19-35",B633&lt;=50,"36-50",B633&lt;=65,"51-65","True","65+")</f>
        <v>36-50</v>
      </c>
      <c r="D633" t="s">
        <v>62</v>
      </c>
      <c r="E633" s="6">
        <v>45304</v>
      </c>
      <c r="F633" s="6">
        <v>45312</v>
      </c>
      <c r="G633">
        <v>8</v>
      </c>
      <c r="H633" t="s">
        <v>40</v>
      </c>
      <c r="I633">
        <v>4</v>
      </c>
      <c r="J633" t="s">
        <v>24</v>
      </c>
      <c r="K633">
        <v>22290</v>
      </c>
      <c r="L633" t="s">
        <v>67</v>
      </c>
      <c r="M633" t="s">
        <v>54</v>
      </c>
      <c r="N633" t="s">
        <v>27</v>
      </c>
      <c r="O633" s="2">
        <v>45536</v>
      </c>
      <c r="P633" s="2">
        <v>45566.666666666664</v>
      </c>
      <c r="Q633" s="38">
        <f t="shared" si="9"/>
        <v>30.666666666664241</v>
      </c>
      <c r="R633" t="s">
        <v>42</v>
      </c>
      <c r="S633" t="s">
        <v>29</v>
      </c>
      <c r="T633" t="s">
        <v>30</v>
      </c>
      <c r="U633">
        <v>11</v>
      </c>
      <c r="V633">
        <v>8</v>
      </c>
      <c r="W633" s="18">
        <f>IFERROR(Table1[[#This Row],[Staff Hours Worked]]/Table1[[#This Row],[Staff Available Hours]],0)</f>
        <v>1.375</v>
      </c>
      <c r="X633" t="s">
        <v>48</v>
      </c>
    </row>
    <row r="634" spans="1:24">
      <c r="A634" t="s">
        <v>691</v>
      </c>
      <c r="B634">
        <v>19</v>
      </c>
      <c r="C634" t="str" cm="1">
        <f t="array" ref="C634">_xlfn.IFS(B634&lt;=18,"0-18",B634&lt;=35,"19-35",B634&lt;=50,"36-50",B634&lt;=65,"51-65","True","65+")</f>
        <v>19-35</v>
      </c>
      <c r="D634" t="s">
        <v>45</v>
      </c>
      <c r="E634" s="6">
        <v>45411</v>
      </c>
      <c r="F634" s="6">
        <v>45356</v>
      </c>
      <c r="G634">
        <v>4</v>
      </c>
      <c r="H634" t="s">
        <v>34</v>
      </c>
      <c r="I634">
        <v>3</v>
      </c>
      <c r="J634" t="s">
        <v>71</v>
      </c>
      <c r="K634">
        <v>10499</v>
      </c>
      <c r="L634" t="s">
        <v>53</v>
      </c>
      <c r="M634" t="s">
        <v>26</v>
      </c>
      <c r="N634" t="s">
        <v>27</v>
      </c>
      <c r="O634" s="2">
        <v>45408</v>
      </c>
      <c r="P634" s="2">
        <v>45409.75</v>
      </c>
      <c r="Q634" s="38">
        <f t="shared" si="9"/>
        <v>1.75</v>
      </c>
      <c r="R634" t="s">
        <v>42</v>
      </c>
      <c r="S634" t="s">
        <v>29</v>
      </c>
      <c r="T634" t="s">
        <v>43</v>
      </c>
      <c r="U634">
        <v>9</v>
      </c>
      <c r="V634">
        <v>12</v>
      </c>
      <c r="W634" s="18">
        <f>IFERROR(Table1[[#This Row],[Staff Hours Worked]]/Table1[[#This Row],[Staff Available Hours]],0)</f>
        <v>0.75</v>
      </c>
      <c r="X634" t="s">
        <v>48</v>
      </c>
    </row>
    <row r="635" spans="1:24">
      <c r="A635" t="s">
        <v>692</v>
      </c>
      <c r="B635">
        <v>20</v>
      </c>
      <c r="C635" t="str" cm="1">
        <f t="array" ref="C635">_xlfn.IFS(B635&lt;=18,"0-18",B635&lt;=35,"19-35",B635&lt;=50,"36-50",B635&lt;=65,"51-65","True","65+")</f>
        <v>19-35</v>
      </c>
      <c r="D635" t="s">
        <v>62</v>
      </c>
      <c r="E635" s="6">
        <v>45279</v>
      </c>
      <c r="F635" s="6">
        <v>45283</v>
      </c>
      <c r="G635">
        <v>4</v>
      </c>
      <c r="H635" t="s">
        <v>57</v>
      </c>
      <c r="I635">
        <v>1</v>
      </c>
      <c r="J635" t="s">
        <v>66</v>
      </c>
      <c r="K635">
        <v>5364</v>
      </c>
      <c r="L635" t="s">
        <v>67</v>
      </c>
      <c r="M635" t="s">
        <v>26</v>
      </c>
      <c r="N635" t="s">
        <v>27</v>
      </c>
      <c r="O635" s="2">
        <v>45274</v>
      </c>
      <c r="P635" s="2">
        <v>45274.458333333336</v>
      </c>
      <c r="Q635" s="38">
        <f t="shared" si="9"/>
        <v>0.45833333333575865</v>
      </c>
      <c r="R635" t="s">
        <v>55</v>
      </c>
      <c r="S635" t="s">
        <v>29</v>
      </c>
      <c r="T635" t="s">
        <v>30</v>
      </c>
      <c r="U635">
        <v>8</v>
      </c>
      <c r="V635">
        <v>8</v>
      </c>
      <c r="W635" s="18">
        <f>IFERROR(Table1[[#This Row],[Staff Hours Worked]]/Table1[[#This Row],[Staff Available Hours]],0)</f>
        <v>1</v>
      </c>
      <c r="X635" t="s">
        <v>31</v>
      </c>
    </row>
    <row r="636" spans="1:24">
      <c r="A636" t="s">
        <v>693</v>
      </c>
      <c r="B636">
        <v>57</v>
      </c>
      <c r="C636" t="str" cm="1">
        <f t="array" ref="C636">_xlfn.IFS(B636&lt;=18,"0-18",B636&lt;=35,"19-35",B636&lt;=50,"36-50",B636&lt;=65,"51-65","True","65+")</f>
        <v>51-65</v>
      </c>
      <c r="D636" t="s">
        <v>62</v>
      </c>
      <c r="E636" s="6">
        <v>45599</v>
      </c>
      <c r="F636" s="6">
        <v>45365</v>
      </c>
      <c r="G636">
        <v>3</v>
      </c>
      <c r="H636" t="s">
        <v>23</v>
      </c>
      <c r="I636">
        <v>2</v>
      </c>
      <c r="J636" t="s">
        <v>66</v>
      </c>
      <c r="K636">
        <v>24797</v>
      </c>
      <c r="L636" t="s">
        <v>60</v>
      </c>
      <c r="M636" t="s">
        <v>26</v>
      </c>
      <c r="N636" t="s">
        <v>41</v>
      </c>
      <c r="O636" s="2">
        <v>45538</v>
      </c>
      <c r="P636" s="2">
        <v>45568.208333333336</v>
      </c>
      <c r="Q636" s="38">
        <f t="shared" si="9"/>
        <v>30.208333333335759</v>
      </c>
      <c r="R636" t="s">
        <v>55</v>
      </c>
      <c r="S636" t="s">
        <v>38</v>
      </c>
      <c r="T636" t="s">
        <v>43</v>
      </c>
      <c r="U636">
        <v>11</v>
      </c>
      <c r="V636">
        <v>8</v>
      </c>
      <c r="W636" s="18">
        <f>IFERROR(Table1[[#This Row],[Staff Hours Worked]]/Table1[[#This Row],[Staff Available Hours]],0)</f>
        <v>1.375</v>
      </c>
      <c r="X636" t="s">
        <v>68</v>
      </c>
    </row>
    <row r="637" spans="1:24">
      <c r="A637" t="s">
        <v>694</v>
      </c>
      <c r="B637">
        <v>18</v>
      </c>
      <c r="C637" t="str" cm="1">
        <f t="array" ref="C637">_xlfn.IFS(B637&lt;=18,"0-18",B637&lt;=35,"19-35",B637&lt;=50,"36-50",B637&lt;=65,"51-65","True","65+")</f>
        <v>0-18</v>
      </c>
      <c r="D637" t="s">
        <v>45</v>
      </c>
      <c r="E637" s="6">
        <v>45058</v>
      </c>
      <c r="F637" s="6">
        <v>45150</v>
      </c>
      <c r="G637">
        <v>3</v>
      </c>
      <c r="H637" t="s">
        <v>50</v>
      </c>
      <c r="I637">
        <v>5</v>
      </c>
      <c r="J637" t="s">
        <v>66</v>
      </c>
      <c r="K637">
        <v>45795</v>
      </c>
      <c r="L637" t="s">
        <v>25</v>
      </c>
      <c r="M637" t="s">
        <v>26</v>
      </c>
      <c r="N637" t="s">
        <v>27</v>
      </c>
      <c r="O637" s="2">
        <v>45260</v>
      </c>
      <c r="P637" s="2">
        <v>45260.958333333336</v>
      </c>
      <c r="Q637" s="38">
        <f t="shared" si="9"/>
        <v>0.95833333333575865</v>
      </c>
      <c r="R637" t="s">
        <v>55</v>
      </c>
      <c r="S637" t="s">
        <v>29</v>
      </c>
      <c r="T637" t="s">
        <v>30</v>
      </c>
      <c r="U637">
        <v>11</v>
      </c>
      <c r="V637">
        <v>8</v>
      </c>
      <c r="W637" s="18">
        <f>IFERROR(Table1[[#This Row],[Staff Hours Worked]]/Table1[[#This Row],[Staff Available Hours]],0)</f>
        <v>1.375</v>
      </c>
      <c r="X637" t="s">
        <v>68</v>
      </c>
    </row>
    <row r="638" spans="1:24">
      <c r="A638" t="s">
        <v>695</v>
      </c>
      <c r="B638">
        <v>47</v>
      </c>
      <c r="C638" t="str" cm="1">
        <f t="array" ref="C638">_xlfn.IFS(B638&lt;=18,"0-18",B638&lt;=35,"19-35",B638&lt;=50,"36-50",B638&lt;=65,"51-65","True","65+")</f>
        <v>36-50</v>
      </c>
      <c r="D638" t="s">
        <v>62</v>
      </c>
      <c r="E638" s="6">
        <v>45287</v>
      </c>
      <c r="F638" s="6">
        <v>45289</v>
      </c>
      <c r="G638">
        <v>2</v>
      </c>
      <c r="H638" t="s">
        <v>40</v>
      </c>
      <c r="I638">
        <v>1</v>
      </c>
      <c r="J638" t="s">
        <v>71</v>
      </c>
      <c r="K638">
        <v>37535</v>
      </c>
      <c r="L638" t="s">
        <v>67</v>
      </c>
      <c r="M638" t="s">
        <v>54</v>
      </c>
      <c r="N638" t="s">
        <v>27</v>
      </c>
      <c r="O638" s="2">
        <v>45287</v>
      </c>
      <c r="P638" s="2">
        <v>45288.958333333336</v>
      </c>
      <c r="Q638" s="38">
        <f t="shared" si="9"/>
        <v>1.9583333333357587</v>
      </c>
      <c r="R638" t="s">
        <v>28</v>
      </c>
      <c r="S638" t="s">
        <v>29</v>
      </c>
      <c r="T638" t="s">
        <v>30</v>
      </c>
      <c r="U638">
        <v>5</v>
      </c>
      <c r="V638">
        <v>8</v>
      </c>
      <c r="W638" s="18">
        <f>IFERROR(Table1[[#This Row],[Staff Hours Worked]]/Table1[[#This Row],[Staff Available Hours]],0)</f>
        <v>0.625</v>
      </c>
      <c r="X638" t="s">
        <v>31</v>
      </c>
    </row>
    <row r="639" spans="1:24">
      <c r="A639" t="s">
        <v>696</v>
      </c>
      <c r="B639">
        <v>49</v>
      </c>
      <c r="C639" t="str" cm="1">
        <f t="array" ref="C639">_xlfn.IFS(B639&lt;=18,"0-18",B639&lt;=35,"19-35",B639&lt;=50,"36-50",B639&lt;=65,"51-65","True","65+")</f>
        <v>36-50</v>
      </c>
      <c r="D639" t="s">
        <v>62</v>
      </c>
      <c r="E639" s="6">
        <v>45539</v>
      </c>
      <c r="F639" s="6">
        <v>45396</v>
      </c>
      <c r="G639">
        <v>5</v>
      </c>
      <c r="H639" t="s">
        <v>57</v>
      </c>
      <c r="I639">
        <v>4</v>
      </c>
      <c r="J639" t="s">
        <v>46</v>
      </c>
      <c r="K639">
        <v>21105</v>
      </c>
      <c r="L639" t="s">
        <v>25</v>
      </c>
      <c r="M639" t="s">
        <v>54</v>
      </c>
      <c r="N639" t="s">
        <v>41</v>
      </c>
      <c r="O639" s="2">
        <v>45447</v>
      </c>
      <c r="P639" s="2">
        <v>45447.583333333336</v>
      </c>
      <c r="Q639" s="38">
        <f t="shared" si="9"/>
        <v>0.58333333333575865</v>
      </c>
      <c r="R639" t="s">
        <v>55</v>
      </c>
      <c r="S639" t="s">
        <v>29</v>
      </c>
      <c r="T639" t="s">
        <v>47</v>
      </c>
      <c r="U639">
        <v>5</v>
      </c>
      <c r="V639">
        <v>12</v>
      </c>
      <c r="W639" s="18">
        <f>IFERROR(Table1[[#This Row],[Staff Hours Worked]]/Table1[[#This Row],[Staff Available Hours]],0)</f>
        <v>0.41666666666666669</v>
      </c>
      <c r="X639" t="s">
        <v>68</v>
      </c>
    </row>
    <row r="640" spans="1:24">
      <c r="A640" t="s">
        <v>697</v>
      </c>
      <c r="B640">
        <v>14</v>
      </c>
      <c r="C640" t="str" cm="1">
        <f t="array" ref="C640">_xlfn.IFS(B640&lt;=18,"0-18",B640&lt;=35,"19-35",B640&lt;=50,"36-50",B640&lt;=65,"51-65","True","65+")</f>
        <v>0-18</v>
      </c>
      <c r="D640" t="s">
        <v>22</v>
      </c>
      <c r="E640" s="6">
        <v>45056</v>
      </c>
      <c r="F640" s="6">
        <v>45218</v>
      </c>
      <c r="G640">
        <v>14</v>
      </c>
      <c r="H640" t="s">
        <v>57</v>
      </c>
      <c r="I640">
        <v>4</v>
      </c>
      <c r="J640" t="s">
        <v>46</v>
      </c>
      <c r="K640">
        <v>12939</v>
      </c>
      <c r="L640" t="s">
        <v>53</v>
      </c>
      <c r="M640" t="s">
        <v>54</v>
      </c>
      <c r="N640" t="s">
        <v>41</v>
      </c>
      <c r="O640" s="2">
        <v>44995</v>
      </c>
      <c r="P640" s="2">
        <v>45026.708333333336</v>
      </c>
      <c r="Q640" s="38">
        <f t="shared" si="9"/>
        <v>31.708333333335759</v>
      </c>
      <c r="R640" t="s">
        <v>42</v>
      </c>
      <c r="S640" t="s">
        <v>29</v>
      </c>
      <c r="T640" t="s">
        <v>30</v>
      </c>
      <c r="U640">
        <v>10</v>
      </c>
      <c r="V640">
        <v>12</v>
      </c>
      <c r="W640" s="18">
        <f>IFERROR(Table1[[#This Row],[Staff Hours Worked]]/Table1[[#This Row],[Staff Available Hours]],0)</f>
        <v>0.83333333333333337</v>
      </c>
      <c r="X640" t="s">
        <v>31</v>
      </c>
    </row>
    <row r="641" spans="1:24">
      <c r="A641" t="s">
        <v>698</v>
      </c>
      <c r="B641">
        <v>15</v>
      </c>
      <c r="C641" t="str" cm="1">
        <f t="array" ref="C641">_xlfn.IFS(B641&lt;=18,"0-18",B641&lt;=35,"19-35",B641&lt;=50,"36-50",B641&lt;=65,"51-65","True","65+")</f>
        <v>0-18</v>
      </c>
      <c r="D641" t="s">
        <v>33</v>
      </c>
      <c r="E641" s="6">
        <v>45210</v>
      </c>
      <c r="F641" s="6">
        <v>45253</v>
      </c>
      <c r="G641">
        <v>13</v>
      </c>
      <c r="H641" t="s">
        <v>50</v>
      </c>
      <c r="I641">
        <v>2</v>
      </c>
      <c r="J641" t="s">
        <v>24</v>
      </c>
      <c r="K641">
        <v>18936</v>
      </c>
      <c r="L641" t="s">
        <v>36</v>
      </c>
      <c r="M641" t="s">
        <v>54</v>
      </c>
      <c r="N641" t="s">
        <v>27</v>
      </c>
      <c r="O641" s="2">
        <v>45210</v>
      </c>
      <c r="P641" s="2">
        <v>45271</v>
      </c>
      <c r="Q641" s="38">
        <f t="shared" si="9"/>
        <v>61</v>
      </c>
      <c r="R641" t="s">
        <v>37</v>
      </c>
      <c r="S641" t="s">
        <v>29</v>
      </c>
      <c r="T641" t="s">
        <v>43</v>
      </c>
      <c r="U641">
        <v>7</v>
      </c>
      <c r="V641">
        <v>12</v>
      </c>
      <c r="W641" s="18">
        <f>IFERROR(Table1[[#This Row],[Staff Hours Worked]]/Table1[[#This Row],[Staff Available Hours]],0)</f>
        <v>0.58333333333333337</v>
      </c>
      <c r="X641" t="s">
        <v>48</v>
      </c>
    </row>
    <row r="642" spans="1:24">
      <c r="A642" t="s">
        <v>699</v>
      </c>
      <c r="B642">
        <v>31</v>
      </c>
      <c r="C642" t="str" cm="1">
        <f t="array" ref="C642">_xlfn.IFS(B642&lt;=18,"0-18",B642&lt;=35,"19-35",B642&lt;=50,"36-50",B642&lt;=65,"51-65","True","65+")</f>
        <v>19-35</v>
      </c>
      <c r="D642" t="s">
        <v>33</v>
      </c>
      <c r="E642" s="6">
        <v>45184</v>
      </c>
      <c r="F642" s="6">
        <v>45186</v>
      </c>
      <c r="G642">
        <v>2</v>
      </c>
      <c r="H642" t="s">
        <v>57</v>
      </c>
      <c r="I642">
        <v>2</v>
      </c>
      <c r="J642" t="s">
        <v>46</v>
      </c>
      <c r="K642">
        <v>47029</v>
      </c>
      <c r="L642" t="s">
        <v>36</v>
      </c>
      <c r="M642" t="s">
        <v>26</v>
      </c>
      <c r="N642" t="s">
        <v>27</v>
      </c>
      <c r="O642" s="2">
        <v>45208</v>
      </c>
      <c r="P642" s="2">
        <v>45208.416666666664</v>
      </c>
      <c r="Q642" s="38">
        <f t="shared" ref="Q642:Q705" si="10">IF(OR(O642="",P642=""),"",ABS(P642-O642))</f>
        <v>0.41666666666424135</v>
      </c>
      <c r="R642" t="s">
        <v>55</v>
      </c>
      <c r="S642" t="s">
        <v>29</v>
      </c>
      <c r="T642" t="s">
        <v>47</v>
      </c>
      <c r="U642">
        <v>5</v>
      </c>
      <c r="V642">
        <v>10</v>
      </c>
      <c r="W642" s="18">
        <f>IFERROR(Table1[[#This Row],[Staff Hours Worked]]/Table1[[#This Row],[Staff Available Hours]],0)</f>
        <v>0.5</v>
      </c>
      <c r="X642" t="s">
        <v>31</v>
      </c>
    </row>
    <row r="643" spans="1:24">
      <c r="A643" t="s">
        <v>700</v>
      </c>
      <c r="B643">
        <v>1</v>
      </c>
      <c r="C643" t="str" cm="1">
        <f t="array" ref="C643">_xlfn.IFS(B643&lt;=18,"0-18",B643&lt;=35,"19-35",B643&lt;=50,"36-50",B643&lt;=65,"51-65","True","65+")</f>
        <v>0-18</v>
      </c>
      <c r="D643" t="s">
        <v>41</v>
      </c>
      <c r="E643" s="6">
        <v>45163</v>
      </c>
      <c r="F643" s="6">
        <v>44994</v>
      </c>
      <c r="G643">
        <v>9</v>
      </c>
      <c r="H643" t="s">
        <v>57</v>
      </c>
      <c r="I643">
        <v>5</v>
      </c>
      <c r="J643" t="s">
        <v>46</v>
      </c>
      <c r="K643">
        <v>20863</v>
      </c>
      <c r="L643" t="s">
        <v>25</v>
      </c>
      <c r="M643" t="s">
        <v>54</v>
      </c>
      <c r="N643" t="s">
        <v>41</v>
      </c>
      <c r="O643" s="2">
        <v>45162</v>
      </c>
      <c r="P643" s="2">
        <v>45163.125</v>
      </c>
      <c r="Q643" s="38">
        <f t="shared" si="10"/>
        <v>1.125</v>
      </c>
      <c r="R643" t="s">
        <v>37</v>
      </c>
      <c r="S643" t="s">
        <v>29</v>
      </c>
      <c r="T643" t="s">
        <v>43</v>
      </c>
      <c r="U643">
        <v>5</v>
      </c>
      <c r="V643">
        <v>12</v>
      </c>
      <c r="W643" s="18">
        <f>IFERROR(Table1[[#This Row],[Staff Hours Worked]]/Table1[[#This Row],[Staff Available Hours]],0)</f>
        <v>0.41666666666666669</v>
      </c>
      <c r="X643" t="s">
        <v>68</v>
      </c>
    </row>
    <row r="644" spans="1:24">
      <c r="A644" t="s">
        <v>701</v>
      </c>
      <c r="B644">
        <v>54</v>
      </c>
      <c r="C644" t="str" cm="1">
        <f t="array" ref="C644">_xlfn.IFS(B644&lt;=18,"0-18",B644&lt;=35,"19-35",B644&lt;=50,"36-50",B644&lt;=65,"51-65","True","65+")</f>
        <v>51-65</v>
      </c>
      <c r="D644" t="s">
        <v>41</v>
      </c>
      <c r="E644" s="6">
        <v>45021</v>
      </c>
      <c r="F644" s="6">
        <v>45063</v>
      </c>
      <c r="G644">
        <v>13</v>
      </c>
      <c r="H644" t="s">
        <v>57</v>
      </c>
      <c r="I644">
        <v>5</v>
      </c>
      <c r="J644" t="s">
        <v>66</v>
      </c>
      <c r="K644">
        <v>17561</v>
      </c>
      <c r="L644" t="s">
        <v>36</v>
      </c>
      <c r="M644" t="s">
        <v>54</v>
      </c>
      <c r="N644" t="s">
        <v>27</v>
      </c>
      <c r="O644" s="2">
        <v>45046</v>
      </c>
      <c r="P644" s="2">
        <v>44931.666666666664</v>
      </c>
      <c r="Q644" s="38">
        <f t="shared" si="10"/>
        <v>114.33333333333576</v>
      </c>
      <c r="R644" t="s">
        <v>42</v>
      </c>
      <c r="S644" t="s">
        <v>29</v>
      </c>
      <c r="T644" t="s">
        <v>47</v>
      </c>
      <c r="U644">
        <v>10</v>
      </c>
      <c r="V644">
        <v>12</v>
      </c>
      <c r="W644" s="18">
        <f>IFERROR(Table1[[#This Row],[Staff Hours Worked]]/Table1[[#This Row],[Staff Available Hours]],0)</f>
        <v>0.83333333333333337</v>
      </c>
      <c r="X644" t="s">
        <v>31</v>
      </c>
    </row>
    <row r="645" spans="1:24">
      <c r="A645" t="s">
        <v>702</v>
      </c>
      <c r="B645">
        <v>3</v>
      </c>
      <c r="C645" t="str" cm="1">
        <f t="array" ref="C645">_xlfn.IFS(B645&lt;=18,"0-18",B645&lt;=35,"19-35",B645&lt;=50,"36-50",B645&lt;=65,"51-65","True","65+")</f>
        <v>0-18</v>
      </c>
      <c r="D645" t="s">
        <v>22</v>
      </c>
      <c r="E645" s="6">
        <v>45124</v>
      </c>
      <c r="F645" s="6">
        <v>45133</v>
      </c>
      <c r="G645">
        <v>9</v>
      </c>
      <c r="H645" t="s">
        <v>40</v>
      </c>
      <c r="I645">
        <v>2</v>
      </c>
      <c r="J645" t="s">
        <v>66</v>
      </c>
      <c r="K645">
        <v>15447</v>
      </c>
      <c r="L645" t="s">
        <v>67</v>
      </c>
      <c r="M645" t="s">
        <v>54</v>
      </c>
      <c r="N645" t="s">
        <v>27</v>
      </c>
      <c r="O645" s="2">
        <v>45124</v>
      </c>
      <c r="P645" s="2">
        <v>45125.833333333336</v>
      </c>
      <c r="Q645" s="38">
        <f t="shared" si="10"/>
        <v>1.8333333333357587</v>
      </c>
      <c r="R645" t="s">
        <v>55</v>
      </c>
      <c r="S645" t="s">
        <v>29</v>
      </c>
      <c r="T645" t="s">
        <v>43</v>
      </c>
      <c r="U645">
        <v>7</v>
      </c>
      <c r="V645">
        <v>10</v>
      </c>
      <c r="W645" s="18">
        <f>IFERROR(Table1[[#This Row],[Staff Hours Worked]]/Table1[[#This Row],[Staff Available Hours]],0)</f>
        <v>0.7</v>
      </c>
      <c r="X645" t="s">
        <v>48</v>
      </c>
    </row>
    <row r="646" spans="1:24">
      <c r="A646" t="s">
        <v>703</v>
      </c>
      <c r="B646">
        <v>16</v>
      </c>
      <c r="C646" t="str" cm="1">
        <f t="array" ref="C646">_xlfn.IFS(B646&lt;=18,"0-18",B646&lt;=35,"19-35",B646&lt;=50,"36-50",B646&lt;=65,"51-65","True","65+")</f>
        <v>0-18</v>
      </c>
      <c r="D646" t="s">
        <v>41</v>
      </c>
      <c r="E646" s="6">
        <v>45250</v>
      </c>
      <c r="F646" s="6">
        <v>45028</v>
      </c>
      <c r="G646">
        <v>14</v>
      </c>
      <c r="H646" t="s">
        <v>50</v>
      </c>
      <c r="I646">
        <v>2</v>
      </c>
      <c r="J646" t="s">
        <v>24</v>
      </c>
      <c r="K646">
        <v>35624</v>
      </c>
      <c r="L646" t="s">
        <v>25</v>
      </c>
      <c r="M646" t="s">
        <v>54</v>
      </c>
      <c r="N646" t="s">
        <v>27</v>
      </c>
      <c r="O646" s="2">
        <v>45250</v>
      </c>
      <c r="P646" s="2">
        <v>45251.208333333336</v>
      </c>
      <c r="Q646" s="38">
        <f t="shared" si="10"/>
        <v>1.2083333333357587</v>
      </c>
      <c r="R646" t="s">
        <v>28</v>
      </c>
      <c r="S646" t="s">
        <v>29</v>
      </c>
      <c r="T646" t="s">
        <v>47</v>
      </c>
      <c r="U646">
        <v>9</v>
      </c>
      <c r="V646">
        <v>8</v>
      </c>
      <c r="W646" s="18">
        <f>IFERROR(Table1[[#This Row],[Staff Hours Worked]]/Table1[[#This Row],[Staff Available Hours]],0)</f>
        <v>1.125</v>
      </c>
      <c r="X646" t="s">
        <v>68</v>
      </c>
    </row>
    <row r="647" spans="1:24">
      <c r="A647" t="s">
        <v>704</v>
      </c>
      <c r="B647">
        <v>87</v>
      </c>
      <c r="C647" t="str" cm="1">
        <f t="array" ref="C647">_xlfn.IFS(B647&lt;=18,"0-18",B647&lt;=35,"19-35",B647&lt;=50,"36-50",B647&lt;=65,"51-65","True","65+")</f>
        <v>65+</v>
      </c>
      <c r="D647" t="s">
        <v>45</v>
      </c>
      <c r="E647" s="6">
        <v>44990</v>
      </c>
      <c r="F647" s="6">
        <v>45061</v>
      </c>
      <c r="G647">
        <v>12</v>
      </c>
      <c r="H647" t="s">
        <v>57</v>
      </c>
      <c r="I647">
        <v>4</v>
      </c>
      <c r="J647" t="s">
        <v>35</v>
      </c>
      <c r="K647">
        <v>49646</v>
      </c>
      <c r="L647" t="s">
        <v>60</v>
      </c>
      <c r="M647" t="s">
        <v>54</v>
      </c>
      <c r="N647" t="s">
        <v>27</v>
      </c>
      <c r="O647" s="2">
        <v>45046</v>
      </c>
      <c r="P647" s="2">
        <v>45046.583333333336</v>
      </c>
      <c r="Q647" s="38">
        <f t="shared" si="10"/>
        <v>0.58333333333575865</v>
      </c>
      <c r="R647" t="s">
        <v>28</v>
      </c>
      <c r="S647" t="s">
        <v>29</v>
      </c>
      <c r="T647" t="s">
        <v>43</v>
      </c>
      <c r="U647">
        <v>6</v>
      </c>
      <c r="V647">
        <v>8</v>
      </c>
      <c r="W647" s="18">
        <f>IFERROR(Table1[[#This Row],[Staff Hours Worked]]/Table1[[#This Row],[Staff Available Hours]],0)</f>
        <v>0.75</v>
      </c>
      <c r="X647" t="s">
        <v>48</v>
      </c>
    </row>
    <row r="648" spans="1:24">
      <c r="A648" t="s">
        <v>705</v>
      </c>
      <c r="B648">
        <v>57</v>
      </c>
      <c r="C648" t="str" cm="1">
        <f t="array" ref="C648">_xlfn.IFS(B648&lt;=18,"0-18",B648&lt;=35,"19-35",B648&lt;=50,"36-50",B648&lt;=65,"51-65","True","65+")</f>
        <v>51-65</v>
      </c>
      <c r="D648" t="s">
        <v>52</v>
      </c>
      <c r="E648" s="6">
        <v>45176</v>
      </c>
      <c r="F648" s="6">
        <v>45131</v>
      </c>
      <c r="G648">
        <v>15</v>
      </c>
      <c r="H648" t="s">
        <v>57</v>
      </c>
      <c r="I648">
        <v>2</v>
      </c>
      <c r="J648" t="s">
        <v>24</v>
      </c>
      <c r="K648">
        <v>17411</v>
      </c>
      <c r="L648" t="s">
        <v>67</v>
      </c>
      <c r="M648" t="s">
        <v>26</v>
      </c>
      <c r="N648" t="s">
        <v>27</v>
      </c>
      <c r="O648" s="2">
        <v>45114</v>
      </c>
      <c r="P648" s="2">
        <v>45114.25</v>
      </c>
      <c r="Q648" s="38">
        <f t="shared" si="10"/>
        <v>0.25</v>
      </c>
      <c r="R648" t="s">
        <v>37</v>
      </c>
      <c r="S648" t="s">
        <v>29</v>
      </c>
      <c r="T648" t="s">
        <v>43</v>
      </c>
      <c r="U648">
        <v>9</v>
      </c>
      <c r="V648">
        <v>8</v>
      </c>
      <c r="W648" s="18">
        <f>IFERROR(Table1[[#This Row],[Staff Hours Worked]]/Table1[[#This Row],[Staff Available Hours]],0)</f>
        <v>1.125</v>
      </c>
      <c r="X648" t="s">
        <v>48</v>
      </c>
    </row>
    <row r="649" spans="1:24">
      <c r="A649" t="s">
        <v>706</v>
      </c>
      <c r="B649">
        <v>75</v>
      </c>
      <c r="C649" t="str" cm="1">
        <f t="array" ref="C649">_xlfn.IFS(B649&lt;=18,"0-18",B649&lt;=35,"19-35",B649&lt;=50,"36-50",B649&lt;=65,"51-65","True","65+")</f>
        <v>65+</v>
      </c>
      <c r="D649" t="s">
        <v>52</v>
      </c>
      <c r="E649" s="6">
        <v>45123</v>
      </c>
      <c r="F649" s="6">
        <v>45132</v>
      </c>
      <c r="G649">
        <v>9</v>
      </c>
      <c r="H649" t="s">
        <v>40</v>
      </c>
      <c r="I649">
        <v>3</v>
      </c>
      <c r="J649" t="s">
        <v>24</v>
      </c>
      <c r="K649">
        <v>24465</v>
      </c>
      <c r="L649" t="s">
        <v>67</v>
      </c>
      <c r="M649" t="s">
        <v>54</v>
      </c>
      <c r="N649" t="s">
        <v>27</v>
      </c>
      <c r="O649" s="2">
        <v>45237</v>
      </c>
      <c r="P649" s="2">
        <v>45237.291666666664</v>
      </c>
      <c r="Q649" s="38">
        <f t="shared" si="10"/>
        <v>0.29166666666424135</v>
      </c>
      <c r="R649" t="s">
        <v>28</v>
      </c>
      <c r="S649" t="s">
        <v>38</v>
      </c>
      <c r="T649" t="s">
        <v>30</v>
      </c>
      <c r="U649">
        <v>8</v>
      </c>
      <c r="V649">
        <v>10</v>
      </c>
      <c r="W649" s="18">
        <f>IFERROR(Table1[[#This Row],[Staff Hours Worked]]/Table1[[#This Row],[Staff Available Hours]],0)</f>
        <v>0.8</v>
      </c>
      <c r="X649" t="s">
        <v>31</v>
      </c>
    </row>
    <row r="650" spans="1:24">
      <c r="A650" t="s">
        <v>707</v>
      </c>
      <c r="B650">
        <v>12</v>
      </c>
      <c r="C650" t="str" cm="1">
        <f t="array" ref="C650">_xlfn.IFS(B650&lt;=18,"0-18",B650&lt;=35,"19-35",B650&lt;=50,"36-50",B650&lt;=65,"51-65","True","65+")</f>
        <v>0-18</v>
      </c>
      <c r="D650" t="s">
        <v>52</v>
      </c>
      <c r="E650" s="6">
        <v>45207</v>
      </c>
      <c r="F650" s="6">
        <v>45238</v>
      </c>
      <c r="G650">
        <v>1</v>
      </c>
      <c r="H650" t="s">
        <v>50</v>
      </c>
      <c r="I650">
        <v>1</v>
      </c>
      <c r="J650" t="s">
        <v>71</v>
      </c>
      <c r="K650">
        <v>43216</v>
      </c>
      <c r="L650" t="s">
        <v>67</v>
      </c>
      <c r="M650" t="s">
        <v>54</v>
      </c>
      <c r="N650" t="s">
        <v>27</v>
      </c>
      <c r="O650" s="2">
        <v>45207</v>
      </c>
      <c r="P650" s="2">
        <v>45207.375</v>
      </c>
      <c r="Q650" s="38">
        <f t="shared" si="10"/>
        <v>0.375</v>
      </c>
      <c r="R650" t="s">
        <v>28</v>
      </c>
      <c r="S650" t="s">
        <v>29</v>
      </c>
      <c r="T650" t="s">
        <v>47</v>
      </c>
      <c r="U650">
        <v>8</v>
      </c>
      <c r="V650">
        <v>12</v>
      </c>
      <c r="W650" s="18">
        <f>IFERROR(Table1[[#This Row],[Staff Hours Worked]]/Table1[[#This Row],[Staff Available Hours]],0)</f>
        <v>0.66666666666666663</v>
      </c>
      <c r="X650" t="s">
        <v>48</v>
      </c>
    </row>
    <row r="651" spans="1:24">
      <c r="A651" t="s">
        <v>708</v>
      </c>
      <c r="B651">
        <v>74</v>
      </c>
      <c r="C651" t="str" cm="1">
        <f t="array" ref="C651">_xlfn.IFS(B651&lt;=18,"0-18",B651&lt;=35,"19-35",B651&lt;=50,"36-50",B651&lt;=65,"51-65","True","65+")</f>
        <v>65+</v>
      </c>
      <c r="D651" t="s">
        <v>22</v>
      </c>
      <c r="E651" s="6">
        <v>45570</v>
      </c>
      <c r="F651" s="6">
        <v>45433</v>
      </c>
      <c r="G651">
        <v>11</v>
      </c>
      <c r="H651" t="s">
        <v>34</v>
      </c>
      <c r="I651">
        <v>2</v>
      </c>
      <c r="J651" t="s">
        <v>71</v>
      </c>
      <c r="K651">
        <v>24642</v>
      </c>
      <c r="L651" t="s">
        <v>60</v>
      </c>
      <c r="M651" t="s">
        <v>54</v>
      </c>
      <c r="N651" t="s">
        <v>27</v>
      </c>
      <c r="O651" s="2">
        <v>45448</v>
      </c>
      <c r="P651" s="2">
        <v>45448.333333333336</v>
      </c>
      <c r="Q651" s="38">
        <f t="shared" si="10"/>
        <v>0.33333333333575865</v>
      </c>
      <c r="R651" t="s">
        <v>28</v>
      </c>
      <c r="S651" t="s">
        <v>29</v>
      </c>
      <c r="T651" t="s">
        <v>47</v>
      </c>
      <c r="U651">
        <v>5</v>
      </c>
      <c r="V651">
        <v>12</v>
      </c>
      <c r="W651" s="18">
        <f>IFERROR(Table1[[#This Row],[Staff Hours Worked]]/Table1[[#This Row],[Staff Available Hours]],0)</f>
        <v>0.41666666666666669</v>
      </c>
      <c r="X651" t="s">
        <v>68</v>
      </c>
    </row>
    <row r="652" spans="1:24">
      <c r="A652" t="s">
        <v>709</v>
      </c>
      <c r="B652">
        <v>16</v>
      </c>
      <c r="C652" t="str" cm="1">
        <f t="array" ref="C652">_xlfn.IFS(B652&lt;=18,"0-18",B652&lt;=35,"19-35",B652&lt;=50,"36-50",B652&lt;=65,"51-65","True","65+")</f>
        <v>0-18</v>
      </c>
      <c r="D652" t="s">
        <v>22</v>
      </c>
      <c r="E652" s="6">
        <v>45240</v>
      </c>
      <c r="F652" s="6">
        <v>45216</v>
      </c>
      <c r="G652">
        <v>6</v>
      </c>
      <c r="H652" t="s">
        <v>40</v>
      </c>
      <c r="I652">
        <v>5</v>
      </c>
      <c r="J652" t="s">
        <v>24</v>
      </c>
      <c r="K652">
        <v>36262</v>
      </c>
      <c r="L652" t="s">
        <v>53</v>
      </c>
      <c r="M652" t="s">
        <v>26</v>
      </c>
      <c r="N652" t="s">
        <v>41</v>
      </c>
      <c r="O652" s="2">
        <v>45240</v>
      </c>
      <c r="P652" s="2">
        <v>45270.583333333336</v>
      </c>
      <c r="Q652" s="38">
        <f t="shared" si="10"/>
        <v>30.583333333335759</v>
      </c>
      <c r="R652" t="s">
        <v>42</v>
      </c>
      <c r="S652" t="s">
        <v>29</v>
      </c>
      <c r="T652" t="s">
        <v>30</v>
      </c>
      <c r="U652">
        <v>11</v>
      </c>
      <c r="V652">
        <v>12</v>
      </c>
      <c r="W652" s="18">
        <f>IFERROR(Table1[[#This Row],[Staff Hours Worked]]/Table1[[#This Row],[Staff Available Hours]],0)</f>
        <v>0.91666666666666663</v>
      </c>
      <c r="X652" t="s">
        <v>48</v>
      </c>
    </row>
    <row r="653" spans="1:24">
      <c r="A653" t="s">
        <v>710</v>
      </c>
      <c r="B653">
        <v>72</v>
      </c>
      <c r="C653" t="str" cm="1">
        <f t="array" ref="C653">_xlfn.IFS(B653&lt;=18,"0-18",B653&lt;=35,"19-35",B653&lt;=50,"36-50",B653&lt;=65,"51-65","True","65+")</f>
        <v>65+</v>
      </c>
      <c r="D653" t="s">
        <v>62</v>
      </c>
      <c r="E653" s="6">
        <v>45464</v>
      </c>
      <c r="F653" s="6">
        <v>45450</v>
      </c>
      <c r="G653">
        <v>15</v>
      </c>
      <c r="H653" t="s">
        <v>50</v>
      </c>
      <c r="I653">
        <v>3</v>
      </c>
      <c r="J653" t="s">
        <v>24</v>
      </c>
      <c r="K653">
        <v>35363</v>
      </c>
      <c r="L653" t="s">
        <v>36</v>
      </c>
      <c r="M653" t="s">
        <v>54</v>
      </c>
      <c r="N653" t="s">
        <v>27</v>
      </c>
      <c r="O653" s="2">
        <v>45464</v>
      </c>
      <c r="P653" s="2">
        <v>45465.958333333336</v>
      </c>
      <c r="Q653" s="38">
        <f t="shared" si="10"/>
        <v>1.9583333333357587</v>
      </c>
      <c r="R653" t="s">
        <v>28</v>
      </c>
      <c r="S653" t="s">
        <v>29</v>
      </c>
      <c r="T653" t="s">
        <v>43</v>
      </c>
      <c r="U653">
        <v>8</v>
      </c>
      <c r="V653">
        <v>12</v>
      </c>
      <c r="W653" s="18">
        <f>IFERROR(Table1[[#This Row],[Staff Hours Worked]]/Table1[[#This Row],[Staff Available Hours]],0)</f>
        <v>0.66666666666666663</v>
      </c>
      <c r="X653" t="s">
        <v>48</v>
      </c>
    </row>
    <row r="654" spans="1:24">
      <c r="A654" t="s">
        <v>711</v>
      </c>
      <c r="B654">
        <v>76</v>
      </c>
      <c r="C654" t="str" cm="1">
        <f t="array" ref="C654">_xlfn.IFS(B654&lt;=18,"0-18",B654&lt;=35,"19-35",B654&lt;=50,"36-50",B654&lt;=65,"51-65","True","65+")</f>
        <v>65+</v>
      </c>
      <c r="D654" t="s">
        <v>52</v>
      </c>
      <c r="E654" s="6">
        <v>45216</v>
      </c>
      <c r="F654" s="6">
        <v>45229</v>
      </c>
      <c r="G654">
        <v>13</v>
      </c>
      <c r="H654" t="s">
        <v>57</v>
      </c>
      <c r="I654">
        <v>5</v>
      </c>
      <c r="J654" t="s">
        <v>24</v>
      </c>
      <c r="K654">
        <v>7107</v>
      </c>
      <c r="L654" t="s">
        <v>25</v>
      </c>
      <c r="M654" t="s">
        <v>26</v>
      </c>
      <c r="N654" t="s">
        <v>41</v>
      </c>
      <c r="O654" s="2">
        <v>45213</v>
      </c>
      <c r="P654" s="2">
        <v>45214.041666666664</v>
      </c>
      <c r="Q654" s="38">
        <f t="shared" si="10"/>
        <v>1.0416666666642413</v>
      </c>
      <c r="R654" t="s">
        <v>64</v>
      </c>
      <c r="S654" t="s">
        <v>29</v>
      </c>
      <c r="T654" t="s">
        <v>43</v>
      </c>
      <c r="U654">
        <v>6</v>
      </c>
      <c r="V654">
        <v>10</v>
      </c>
      <c r="W654" s="18">
        <f>IFERROR(Table1[[#This Row],[Staff Hours Worked]]/Table1[[#This Row],[Staff Available Hours]],0)</f>
        <v>0.6</v>
      </c>
      <c r="X654" t="s">
        <v>31</v>
      </c>
    </row>
    <row r="655" spans="1:24">
      <c r="A655" t="s">
        <v>712</v>
      </c>
      <c r="B655">
        <v>24</v>
      </c>
      <c r="C655" t="str" cm="1">
        <f t="array" ref="C655">_xlfn.IFS(B655&lt;=18,"0-18",B655&lt;=35,"19-35",B655&lt;=50,"36-50",B655&lt;=65,"51-65","True","65+")</f>
        <v>19-35</v>
      </c>
      <c r="D655" t="s">
        <v>45</v>
      </c>
      <c r="E655" s="6">
        <v>45029</v>
      </c>
      <c r="F655" s="6">
        <v>45039</v>
      </c>
      <c r="G655">
        <v>10</v>
      </c>
      <c r="H655" t="s">
        <v>50</v>
      </c>
      <c r="I655">
        <v>3</v>
      </c>
      <c r="J655" t="s">
        <v>46</v>
      </c>
      <c r="K655">
        <v>12928</v>
      </c>
      <c r="L655" t="s">
        <v>53</v>
      </c>
      <c r="M655" t="s">
        <v>54</v>
      </c>
      <c r="N655" t="s">
        <v>41</v>
      </c>
      <c r="O655" s="2">
        <v>45029</v>
      </c>
      <c r="P655" s="2">
        <v>45029.958333333336</v>
      </c>
      <c r="Q655" s="38">
        <f t="shared" si="10"/>
        <v>0.95833333333575865</v>
      </c>
      <c r="R655" t="s">
        <v>55</v>
      </c>
      <c r="S655" t="s">
        <v>29</v>
      </c>
      <c r="T655" t="s">
        <v>47</v>
      </c>
      <c r="U655">
        <v>5</v>
      </c>
      <c r="V655">
        <v>12</v>
      </c>
      <c r="W655" s="18">
        <f>IFERROR(Table1[[#This Row],[Staff Hours Worked]]/Table1[[#This Row],[Staff Available Hours]],0)</f>
        <v>0.41666666666666669</v>
      </c>
      <c r="X655" t="s">
        <v>48</v>
      </c>
    </row>
    <row r="656" spans="1:24">
      <c r="A656" t="s">
        <v>713</v>
      </c>
      <c r="B656">
        <v>28</v>
      </c>
      <c r="C656" t="str" cm="1">
        <f t="array" ref="C656">_xlfn.IFS(B656&lt;=18,"0-18",B656&lt;=35,"19-35",B656&lt;=50,"36-50",B656&lt;=65,"51-65","True","65+")</f>
        <v>19-35</v>
      </c>
      <c r="D656" t="s">
        <v>41</v>
      </c>
      <c r="E656" s="6">
        <v>45125</v>
      </c>
      <c r="F656" s="6">
        <v>45128</v>
      </c>
      <c r="G656">
        <v>3</v>
      </c>
      <c r="H656" t="s">
        <v>50</v>
      </c>
      <c r="I656">
        <v>2</v>
      </c>
      <c r="J656" t="s">
        <v>71</v>
      </c>
      <c r="K656">
        <v>24317</v>
      </c>
      <c r="L656" t="s">
        <v>25</v>
      </c>
      <c r="M656" t="s">
        <v>54</v>
      </c>
      <c r="N656" t="s">
        <v>41</v>
      </c>
      <c r="O656" s="2">
        <v>45123</v>
      </c>
      <c r="P656" s="2">
        <v>45124.166666666664</v>
      </c>
      <c r="Q656" s="38">
        <f t="shared" si="10"/>
        <v>1.1666666666642413</v>
      </c>
      <c r="R656" t="s">
        <v>28</v>
      </c>
      <c r="S656" t="s">
        <v>29</v>
      </c>
      <c r="T656" t="s">
        <v>43</v>
      </c>
      <c r="U656">
        <v>10</v>
      </c>
      <c r="V656">
        <v>8</v>
      </c>
      <c r="W656" s="18">
        <f>IFERROR(Table1[[#This Row],[Staff Hours Worked]]/Table1[[#This Row],[Staff Available Hours]],0)</f>
        <v>1.25</v>
      </c>
      <c r="X656" t="s">
        <v>31</v>
      </c>
    </row>
    <row r="657" spans="1:24">
      <c r="A657" t="s">
        <v>714</v>
      </c>
      <c r="B657">
        <v>8</v>
      </c>
      <c r="C657" t="str" cm="1">
        <f t="array" ref="C657">_xlfn.IFS(B657&lt;=18,"0-18",B657&lt;=35,"19-35",B657&lt;=50,"36-50",B657&lt;=65,"51-65","True","65+")</f>
        <v>0-18</v>
      </c>
      <c r="D657" t="s">
        <v>45</v>
      </c>
      <c r="E657" s="6">
        <v>45230</v>
      </c>
      <c r="F657" s="6">
        <v>45210</v>
      </c>
      <c r="G657">
        <v>10</v>
      </c>
      <c r="H657" t="s">
        <v>23</v>
      </c>
      <c r="I657">
        <v>1</v>
      </c>
      <c r="J657" t="s">
        <v>24</v>
      </c>
      <c r="K657">
        <v>30017</v>
      </c>
      <c r="L657" t="s">
        <v>36</v>
      </c>
      <c r="M657" t="s">
        <v>54</v>
      </c>
      <c r="N657" t="s">
        <v>41</v>
      </c>
      <c r="O657" s="2">
        <v>45227</v>
      </c>
      <c r="P657" s="2">
        <v>45227.875</v>
      </c>
      <c r="Q657" s="38">
        <f t="shared" si="10"/>
        <v>0.875</v>
      </c>
      <c r="R657" t="s">
        <v>28</v>
      </c>
      <c r="S657" t="s">
        <v>29</v>
      </c>
      <c r="T657" t="s">
        <v>47</v>
      </c>
      <c r="U657">
        <v>8</v>
      </c>
      <c r="V657">
        <v>10</v>
      </c>
      <c r="W657" s="18">
        <f>IFERROR(Table1[[#This Row],[Staff Hours Worked]]/Table1[[#This Row],[Staff Available Hours]],0)</f>
        <v>0.8</v>
      </c>
      <c r="X657" t="s">
        <v>31</v>
      </c>
    </row>
    <row r="658" spans="1:24">
      <c r="A658" t="s">
        <v>715</v>
      </c>
      <c r="B658">
        <v>36</v>
      </c>
      <c r="C658" t="str" cm="1">
        <f t="array" ref="C658">_xlfn.IFS(B658&lt;=18,"0-18",B658&lt;=35,"19-35",B658&lt;=50,"36-50",B658&lt;=65,"51-65","True","65+")</f>
        <v>36-50</v>
      </c>
      <c r="D658" t="s">
        <v>41</v>
      </c>
      <c r="E658" s="6">
        <v>45159</v>
      </c>
      <c r="F658" s="6">
        <v>45166</v>
      </c>
      <c r="G658">
        <v>7</v>
      </c>
      <c r="H658" t="s">
        <v>50</v>
      </c>
      <c r="I658">
        <v>5</v>
      </c>
      <c r="J658" t="s">
        <v>66</v>
      </c>
      <c r="K658">
        <v>18528</v>
      </c>
      <c r="L658" t="s">
        <v>60</v>
      </c>
      <c r="M658" t="s">
        <v>54</v>
      </c>
      <c r="N658" t="s">
        <v>27</v>
      </c>
      <c r="O658" s="2">
        <v>45158</v>
      </c>
      <c r="P658" s="2">
        <v>45158.375</v>
      </c>
      <c r="Q658" s="38">
        <f t="shared" si="10"/>
        <v>0.375</v>
      </c>
      <c r="R658" t="s">
        <v>28</v>
      </c>
      <c r="S658" t="s">
        <v>29</v>
      </c>
      <c r="T658" t="s">
        <v>47</v>
      </c>
      <c r="U658">
        <v>11</v>
      </c>
      <c r="V658">
        <v>10</v>
      </c>
      <c r="W658" s="18">
        <f>IFERROR(Table1[[#This Row],[Staff Hours Worked]]/Table1[[#This Row],[Staff Available Hours]],0)</f>
        <v>1.1000000000000001</v>
      </c>
      <c r="X658" t="s">
        <v>68</v>
      </c>
    </row>
    <row r="659" spans="1:24">
      <c r="A659" t="s">
        <v>716</v>
      </c>
      <c r="B659">
        <v>8</v>
      </c>
      <c r="C659" t="str" cm="1">
        <f t="array" ref="C659">_xlfn.IFS(B659&lt;=18,"0-18",B659&lt;=35,"19-35",B659&lt;=50,"36-50",B659&lt;=65,"51-65","True","65+")</f>
        <v>0-18</v>
      </c>
      <c r="D659" t="s">
        <v>52</v>
      </c>
      <c r="E659" s="6">
        <v>45413</v>
      </c>
      <c r="F659" s="6">
        <v>45505</v>
      </c>
      <c r="G659">
        <v>3</v>
      </c>
      <c r="H659" t="s">
        <v>34</v>
      </c>
      <c r="I659">
        <v>3</v>
      </c>
      <c r="J659" t="s">
        <v>66</v>
      </c>
      <c r="K659">
        <v>18313</v>
      </c>
      <c r="L659" t="s">
        <v>67</v>
      </c>
      <c r="M659" t="s">
        <v>26</v>
      </c>
      <c r="N659" t="s">
        <v>41</v>
      </c>
      <c r="O659" s="2">
        <v>45383</v>
      </c>
      <c r="P659" s="2">
        <v>45383.666666666664</v>
      </c>
      <c r="Q659" s="38">
        <f t="shared" si="10"/>
        <v>0.66666666666424135</v>
      </c>
      <c r="R659" t="s">
        <v>64</v>
      </c>
      <c r="S659" t="s">
        <v>29</v>
      </c>
      <c r="T659" t="s">
        <v>43</v>
      </c>
      <c r="U659">
        <v>10</v>
      </c>
      <c r="V659">
        <v>8</v>
      </c>
      <c r="W659" s="18">
        <f>IFERROR(Table1[[#This Row],[Staff Hours Worked]]/Table1[[#This Row],[Staff Available Hours]],0)</f>
        <v>1.25</v>
      </c>
      <c r="X659" t="s">
        <v>68</v>
      </c>
    </row>
    <row r="660" spans="1:24">
      <c r="A660" t="s">
        <v>717</v>
      </c>
      <c r="B660">
        <v>58</v>
      </c>
      <c r="C660" t="str" cm="1">
        <f t="array" ref="C660">_xlfn.IFS(B660&lt;=18,"0-18",B660&lt;=35,"19-35",B660&lt;=50,"36-50",B660&lt;=65,"51-65","True","65+")</f>
        <v>51-65</v>
      </c>
      <c r="D660" t="s">
        <v>52</v>
      </c>
      <c r="E660" s="6">
        <v>44992</v>
      </c>
      <c r="F660" s="6">
        <v>45084</v>
      </c>
      <c r="G660">
        <v>3</v>
      </c>
      <c r="H660" t="s">
        <v>50</v>
      </c>
      <c r="I660">
        <v>4</v>
      </c>
      <c r="J660" t="s">
        <v>46</v>
      </c>
      <c r="K660">
        <v>6559</v>
      </c>
      <c r="L660" t="s">
        <v>67</v>
      </c>
      <c r="M660" t="s">
        <v>54</v>
      </c>
      <c r="N660" t="s">
        <v>27</v>
      </c>
      <c r="O660" s="2">
        <v>45105</v>
      </c>
      <c r="P660" s="2">
        <v>45105.75</v>
      </c>
      <c r="Q660" s="38">
        <f t="shared" si="10"/>
        <v>0.75</v>
      </c>
      <c r="R660" t="s">
        <v>28</v>
      </c>
      <c r="S660" t="s">
        <v>29</v>
      </c>
      <c r="T660" t="s">
        <v>43</v>
      </c>
      <c r="U660">
        <v>4</v>
      </c>
      <c r="V660">
        <v>8</v>
      </c>
      <c r="W660" s="18">
        <f>IFERROR(Table1[[#This Row],[Staff Hours Worked]]/Table1[[#This Row],[Staff Available Hours]],0)</f>
        <v>0.5</v>
      </c>
      <c r="X660" t="s">
        <v>68</v>
      </c>
    </row>
    <row r="661" spans="1:24">
      <c r="A661" t="s">
        <v>718</v>
      </c>
      <c r="B661">
        <v>60</v>
      </c>
      <c r="C661" t="str" cm="1">
        <f t="array" ref="C661">_xlfn.IFS(B661&lt;=18,"0-18",B661&lt;=35,"19-35",B661&lt;=50,"36-50",B661&lt;=65,"51-65","True","65+")</f>
        <v>51-65</v>
      </c>
      <c r="D661" t="s">
        <v>52</v>
      </c>
      <c r="E661" s="6">
        <v>45088</v>
      </c>
      <c r="F661" s="6">
        <v>45180</v>
      </c>
      <c r="G661">
        <v>3</v>
      </c>
      <c r="H661" t="s">
        <v>34</v>
      </c>
      <c r="I661">
        <v>2</v>
      </c>
      <c r="J661" t="s">
        <v>46</v>
      </c>
      <c r="K661">
        <v>20167</v>
      </c>
      <c r="L661" t="s">
        <v>60</v>
      </c>
      <c r="M661" t="s">
        <v>54</v>
      </c>
      <c r="N661" t="s">
        <v>27</v>
      </c>
      <c r="O661" s="2">
        <v>44937</v>
      </c>
      <c r="P661" s="2">
        <v>44968.75</v>
      </c>
      <c r="Q661" s="38">
        <f t="shared" si="10"/>
        <v>31.75</v>
      </c>
      <c r="R661" t="s">
        <v>28</v>
      </c>
      <c r="S661" t="s">
        <v>29</v>
      </c>
      <c r="T661" t="s">
        <v>43</v>
      </c>
      <c r="U661">
        <v>4</v>
      </c>
      <c r="V661">
        <v>12</v>
      </c>
      <c r="W661" s="18">
        <f>IFERROR(Table1[[#This Row],[Staff Hours Worked]]/Table1[[#This Row],[Staff Available Hours]],0)</f>
        <v>0.33333333333333331</v>
      </c>
      <c r="X661" t="s">
        <v>68</v>
      </c>
    </row>
    <row r="662" spans="1:24">
      <c r="A662" t="s">
        <v>719</v>
      </c>
      <c r="B662">
        <v>50</v>
      </c>
      <c r="C662" t="str" cm="1">
        <f t="array" ref="C662">_xlfn.IFS(B662&lt;=18,"0-18",B662&lt;=35,"19-35",B662&lt;=50,"36-50",B662&lt;=65,"51-65","True","65+")</f>
        <v>36-50</v>
      </c>
      <c r="D662" t="s">
        <v>22</v>
      </c>
      <c r="E662" s="6">
        <v>44941</v>
      </c>
      <c r="F662" s="6">
        <v>44955</v>
      </c>
      <c r="G662">
        <v>14</v>
      </c>
      <c r="H662" t="s">
        <v>57</v>
      </c>
      <c r="I662">
        <v>1</v>
      </c>
      <c r="J662" t="s">
        <v>35</v>
      </c>
      <c r="K662">
        <v>20343</v>
      </c>
      <c r="L662" t="s">
        <v>53</v>
      </c>
      <c r="M662" t="s">
        <v>26</v>
      </c>
      <c r="N662" t="s">
        <v>27</v>
      </c>
      <c r="O662" s="2">
        <v>45200</v>
      </c>
      <c r="P662" s="2">
        <v>45200.25</v>
      </c>
      <c r="Q662" s="38">
        <f t="shared" si="10"/>
        <v>0.25</v>
      </c>
      <c r="R662" t="s">
        <v>55</v>
      </c>
      <c r="S662" t="s">
        <v>29</v>
      </c>
      <c r="T662" t="s">
        <v>30</v>
      </c>
      <c r="U662">
        <v>4</v>
      </c>
      <c r="V662">
        <v>8</v>
      </c>
      <c r="W662" s="18">
        <f>IFERROR(Table1[[#This Row],[Staff Hours Worked]]/Table1[[#This Row],[Staff Available Hours]],0)</f>
        <v>0.5</v>
      </c>
      <c r="X662" t="s">
        <v>31</v>
      </c>
    </row>
    <row r="663" spans="1:24">
      <c r="A663" t="s">
        <v>720</v>
      </c>
      <c r="B663">
        <v>28</v>
      </c>
      <c r="C663" t="str" cm="1">
        <f t="array" ref="C663">_xlfn.IFS(B663&lt;=18,"0-18",B663&lt;=35,"19-35",B663&lt;=50,"36-50",B663&lt;=65,"51-65","True","65+")</f>
        <v>19-35</v>
      </c>
      <c r="D663" t="s">
        <v>41</v>
      </c>
      <c r="E663" s="6">
        <v>45204</v>
      </c>
      <c r="F663" s="6">
        <v>45068</v>
      </c>
      <c r="G663">
        <v>12</v>
      </c>
      <c r="H663" t="s">
        <v>34</v>
      </c>
      <c r="I663">
        <v>2</v>
      </c>
      <c r="J663" t="s">
        <v>35</v>
      </c>
      <c r="K663">
        <v>43598</v>
      </c>
      <c r="L663" t="s">
        <v>53</v>
      </c>
      <c r="M663" t="s">
        <v>54</v>
      </c>
      <c r="N663" t="s">
        <v>41</v>
      </c>
      <c r="O663" s="2">
        <v>45112</v>
      </c>
      <c r="P663" s="2">
        <v>45112.666666666664</v>
      </c>
      <c r="Q663" s="38">
        <f t="shared" si="10"/>
        <v>0.66666666666424135</v>
      </c>
      <c r="R663" t="s">
        <v>64</v>
      </c>
      <c r="S663" t="s">
        <v>29</v>
      </c>
      <c r="T663" t="s">
        <v>47</v>
      </c>
      <c r="U663">
        <v>10</v>
      </c>
      <c r="V663">
        <v>10</v>
      </c>
      <c r="W663" s="18">
        <f>IFERROR(Table1[[#This Row],[Staff Hours Worked]]/Table1[[#This Row],[Staff Available Hours]],0)</f>
        <v>1</v>
      </c>
      <c r="X663" t="s">
        <v>48</v>
      </c>
    </row>
    <row r="664" spans="1:24">
      <c r="A664" t="s">
        <v>721</v>
      </c>
      <c r="B664">
        <v>41</v>
      </c>
      <c r="C664" t="str" cm="1">
        <f t="array" ref="C664">_xlfn.IFS(B664&lt;=18,"0-18",B664&lt;=35,"19-35",B664&lt;=50,"36-50",B664&lt;=65,"51-65","True","65+")</f>
        <v>36-50</v>
      </c>
      <c r="D664" t="s">
        <v>22</v>
      </c>
      <c r="E664" s="6">
        <v>45148</v>
      </c>
      <c r="F664" s="6">
        <v>45220</v>
      </c>
      <c r="G664">
        <v>13</v>
      </c>
      <c r="H664" t="s">
        <v>57</v>
      </c>
      <c r="I664">
        <v>4</v>
      </c>
      <c r="J664" t="s">
        <v>35</v>
      </c>
      <c r="K664">
        <v>12523</v>
      </c>
      <c r="L664" t="s">
        <v>25</v>
      </c>
      <c r="M664" t="s">
        <v>54</v>
      </c>
      <c r="N664" t="s">
        <v>27</v>
      </c>
      <c r="O664" s="2">
        <v>45087</v>
      </c>
      <c r="P664" s="2">
        <v>45117.5</v>
      </c>
      <c r="Q664" s="38">
        <f t="shared" si="10"/>
        <v>30.5</v>
      </c>
      <c r="R664" t="s">
        <v>64</v>
      </c>
      <c r="S664" t="s">
        <v>29</v>
      </c>
      <c r="T664" t="s">
        <v>43</v>
      </c>
      <c r="U664">
        <v>4</v>
      </c>
      <c r="V664">
        <v>10</v>
      </c>
      <c r="W664" s="18">
        <f>IFERROR(Table1[[#This Row],[Staff Hours Worked]]/Table1[[#This Row],[Staff Available Hours]],0)</f>
        <v>0.4</v>
      </c>
      <c r="X664" t="s">
        <v>68</v>
      </c>
    </row>
    <row r="665" spans="1:24">
      <c r="A665" t="s">
        <v>722</v>
      </c>
      <c r="B665">
        <v>64</v>
      </c>
      <c r="C665" t="str" cm="1">
        <f t="array" ref="C665">_xlfn.IFS(B665&lt;=18,"0-18",B665&lt;=35,"19-35",B665&lt;=50,"36-50",B665&lt;=65,"51-65","True","65+")</f>
        <v>51-65</v>
      </c>
      <c r="D665" t="s">
        <v>22</v>
      </c>
      <c r="E665" s="6">
        <v>44973</v>
      </c>
      <c r="F665" s="6">
        <v>44983</v>
      </c>
      <c r="G665">
        <v>10</v>
      </c>
      <c r="H665" t="s">
        <v>57</v>
      </c>
      <c r="I665">
        <v>1</v>
      </c>
      <c r="J665" t="s">
        <v>46</v>
      </c>
      <c r="K665">
        <v>33439</v>
      </c>
      <c r="L665" t="s">
        <v>60</v>
      </c>
      <c r="M665" t="s">
        <v>26</v>
      </c>
      <c r="N665" t="s">
        <v>27</v>
      </c>
      <c r="O665" s="2">
        <v>44970</v>
      </c>
      <c r="P665" s="2">
        <v>44971.625</v>
      </c>
      <c r="Q665" s="38">
        <f t="shared" si="10"/>
        <v>1.625</v>
      </c>
      <c r="R665" t="s">
        <v>28</v>
      </c>
      <c r="S665" t="s">
        <v>29</v>
      </c>
      <c r="T665" t="s">
        <v>30</v>
      </c>
      <c r="U665">
        <v>9</v>
      </c>
      <c r="V665">
        <v>10</v>
      </c>
      <c r="W665" s="18">
        <f>IFERROR(Table1[[#This Row],[Staff Hours Worked]]/Table1[[#This Row],[Staff Available Hours]],0)</f>
        <v>0.9</v>
      </c>
      <c r="X665" t="s">
        <v>68</v>
      </c>
    </row>
    <row r="666" spans="1:24">
      <c r="A666" t="s">
        <v>723</v>
      </c>
      <c r="B666">
        <v>27</v>
      </c>
      <c r="C666" t="str" cm="1">
        <f t="array" ref="C666">_xlfn.IFS(B666&lt;=18,"0-18",B666&lt;=35,"19-35",B666&lt;=50,"36-50",B666&lt;=65,"51-65","True","65+")</f>
        <v>19-35</v>
      </c>
      <c r="D666" t="s">
        <v>33</v>
      </c>
      <c r="E666" s="6">
        <v>44982</v>
      </c>
      <c r="F666" s="6">
        <v>45202</v>
      </c>
      <c r="G666">
        <v>13</v>
      </c>
      <c r="H666" t="s">
        <v>34</v>
      </c>
      <c r="I666">
        <v>4</v>
      </c>
      <c r="J666" t="s">
        <v>46</v>
      </c>
      <c r="K666">
        <v>20524</v>
      </c>
      <c r="L666" t="s">
        <v>53</v>
      </c>
      <c r="M666" t="s">
        <v>54</v>
      </c>
      <c r="N666" t="s">
        <v>27</v>
      </c>
      <c r="O666" s="2">
        <v>44979</v>
      </c>
      <c r="P666" s="2">
        <v>44980.625</v>
      </c>
      <c r="Q666" s="38">
        <f t="shared" si="10"/>
        <v>1.625</v>
      </c>
      <c r="R666" t="s">
        <v>64</v>
      </c>
      <c r="S666" t="s">
        <v>29</v>
      </c>
      <c r="T666" t="s">
        <v>43</v>
      </c>
      <c r="U666">
        <v>4</v>
      </c>
      <c r="V666">
        <v>12</v>
      </c>
      <c r="W666" s="18">
        <f>IFERROR(Table1[[#This Row],[Staff Hours Worked]]/Table1[[#This Row],[Staff Available Hours]],0)</f>
        <v>0.33333333333333331</v>
      </c>
      <c r="X666" t="s">
        <v>68</v>
      </c>
    </row>
    <row r="667" spans="1:24">
      <c r="A667" t="s">
        <v>724</v>
      </c>
      <c r="B667">
        <v>63</v>
      </c>
      <c r="C667" t="str" cm="1">
        <f t="array" ref="C667">_xlfn.IFS(B667&lt;=18,"0-18",B667&lt;=35,"19-35",B667&lt;=50,"36-50",B667&lt;=65,"51-65","True","65+")</f>
        <v>51-65</v>
      </c>
      <c r="D667" t="s">
        <v>45</v>
      </c>
      <c r="E667" s="6">
        <v>45226</v>
      </c>
      <c r="F667" s="6">
        <v>45241</v>
      </c>
      <c r="G667">
        <v>15</v>
      </c>
      <c r="H667" t="s">
        <v>40</v>
      </c>
      <c r="I667">
        <v>2</v>
      </c>
      <c r="J667" t="s">
        <v>46</v>
      </c>
      <c r="K667">
        <v>18285</v>
      </c>
      <c r="L667" t="s">
        <v>60</v>
      </c>
      <c r="M667" t="s">
        <v>26</v>
      </c>
      <c r="N667" t="s">
        <v>27</v>
      </c>
      <c r="O667" s="2">
        <v>45223</v>
      </c>
      <c r="P667" s="2">
        <v>45224.958333333336</v>
      </c>
      <c r="Q667" s="38">
        <f t="shared" si="10"/>
        <v>1.9583333333357587</v>
      </c>
      <c r="R667" t="s">
        <v>37</v>
      </c>
      <c r="S667" t="s">
        <v>29</v>
      </c>
      <c r="T667" t="s">
        <v>47</v>
      </c>
      <c r="U667">
        <v>5</v>
      </c>
      <c r="V667">
        <v>12</v>
      </c>
      <c r="W667" s="18">
        <f>IFERROR(Table1[[#This Row],[Staff Hours Worked]]/Table1[[#This Row],[Staff Available Hours]],0)</f>
        <v>0.41666666666666669</v>
      </c>
      <c r="X667" t="s">
        <v>48</v>
      </c>
    </row>
    <row r="668" spans="1:24">
      <c r="A668" t="s">
        <v>725</v>
      </c>
      <c r="B668">
        <v>17</v>
      </c>
      <c r="C668" t="str" cm="1">
        <f t="array" ref="C668">_xlfn.IFS(B668&lt;=18,"0-18",B668&lt;=35,"19-35",B668&lt;=50,"36-50",B668&lt;=65,"51-65","True","65+")</f>
        <v>0-18</v>
      </c>
      <c r="D668" t="s">
        <v>45</v>
      </c>
      <c r="E668" s="6">
        <v>45204</v>
      </c>
      <c r="F668" s="6">
        <v>45059</v>
      </c>
      <c r="G668">
        <v>3</v>
      </c>
      <c r="H668" t="s">
        <v>63</v>
      </c>
      <c r="I668">
        <v>3</v>
      </c>
      <c r="J668" t="s">
        <v>66</v>
      </c>
      <c r="K668">
        <v>15973</v>
      </c>
      <c r="L668" t="s">
        <v>36</v>
      </c>
      <c r="M668" t="s">
        <v>54</v>
      </c>
      <c r="N668" t="s">
        <v>27</v>
      </c>
      <c r="O668" s="2">
        <v>45112</v>
      </c>
      <c r="P668" s="2">
        <v>45143.625</v>
      </c>
      <c r="Q668" s="38">
        <f t="shared" si="10"/>
        <v>31.625</v>
      </c>
      <c r="R668" t="s">
        <v>64</v>
      </c>
      <c r="S668" t="s">
        <v>29</v>
      </c>
      <c r="T668" t="s">
        <v>30</v>
      </c>
      <c r="U668">
        <v>7</v>
      </c>
      <c r="V668">
        <v>8</v>
      </c>
      <c r="W668" s="18">
        <f>IFERROR(Table1[[#This Row],[Staff Hours Worked]]/Table1[[#This Row],[Staff Available Hours]],0)</f>
        <v>0.875</v>
      </c>
      <c r="X668" t="s">
        <v>68</v>
      </c>
    </row>
    <row r="669" spans="1:24">
      <c r="A669" t="s">
        <v>726</v>
      </c>
      <c r="B669">
        <v>73</v>
      </c>
      <c r="C669" t="str" cm="1">
        <f t="array" ref="C669">_xlfn.IFS(B669&lt;=18,"0-18",B669&lt;=35,"19-35",B669&lt;=50,"36-50",B669&lt;=65,"51-65","True","65+")</f>
        <v>65+</v>
      </c>
      <c r="D669" t="s">
        <v>62</v>
      </c>
      <c r="E669" s="6">
        <v>45429</v>
      </c>
      <c r="F669" s="6">
        <v>45441</v>
      </c>
      <c r="G669">
        <v>12</v>
      </c>
      <c r="H669" t="s">
        <v>50</v>
      </c>
      <c r="I669">
        <v>2</v>
      </c>
      <c r="J669" t="s">
        <v>46</v>
      </c>
      <c r="K669">
        <v>27694</v>
      </c>
      <c r="L669" t="s">
        <v>67</v>
      </c>
      <c r="M669" t="s">
        <v>26</v>
      </c>
      <c r="N669" t="s">
        <v>27</v>
      </c>
      <c r="O669" s="2">
        <v>45429</v>
      </c>
      <c r="P669" s="2">
        <v>45429.791666666664</v>
      </c>
      <c r="Q669" s="38">
        <f t="shared" si="10"/>
        <v>0.79166666666424135</v>
      </c>
      <c r="R669" t="s">
        <v>64</v>
      </c>
      <c r="S669" t="s">
        <v>29</v>
      </c>
      <c r="T669" t="s">
        <v>47</v>
      </c>
      <c r="U669">
        <v>9</v>
      </c>
      <c r="V669">
        <v>12</v>
      </c>
      <c r="W669" s="18">
        <f>IFERROR(Table1[[#This Row],[Staff Hours Worked]]/Table1[[#This Row],[Staff Available Hours]],0)</f>
        <v>0.75</v>
      </c>
      <c r="X669" t="s">
        <v>48</v>
      </c>
    </row>
    <row r="670" spans="1:24">
      <c r="A670" t="s">
        <v>727</v>
      </c>
      <c r="B670">
        <v>33</v>
      </c>
      <c r="C670" t="str" cm="1">
        <f t="array" ref="C670">_xlfn.IFS(B670&lt;=18,"0-18",B670&lt;=35,"19-35",B670&lt;=50,"36-50",B670&lt;=65,"51-65","True","65+")</f>
        <v>19-35</v>
      </c>
      <c r="D670" t="s">
        <v>22</v>
      </c>
      <c r="E670" s="6">
        <v>45032</v>
      </c>
      <c r="F670" s="6">
        <v>45040</v>
      </c>
      <c r="G670">
        <v>8</v>
      </c>
      <c r="H670" t="s">
        <v>23</v>
      </c>
      <c r="I670">
        <v>2</v>
      </c>
      <c r="J670" t="s">
        <v>66</v>
      </c>
      <c r="K670">
        <v>40774</v>
      </c>
      <c r="L670" t="s">
        <v>67</v>
      </c>
      <c r="M670" t="s">
        <v>54</v>
      </c>
      <c r="N670" t="s">
        <v>27</v>
      </c>
      <c r="O670" s="2">
        <v>45234</v>
      </c>
      <c r="P670" s="2">
        <v>45264.875</v>
      </c>
      <c r="Q670" s="38">
        <f t="shared" si="10"/>
        <v>30.875</v>
      </c>
      <c r="R670" t="s">
        <v>64</v>
      </c>
      <c r="S670" t="s">
        <v>29</v>
      </c>
      <c r="T670" t="s">
        <v>43</v>
      </c>
      <c r="U670">
        <v>11</v>
      </c>
      <c r="V670">
        <v>12</v>
      </c>
      <c r="W670" s="18">
        <f>IFERROR(Table1[[#This Row],[Staff Hours Worked]]/Table1[[#This Row],[Staff Available Hours]],0)</f>
        <v>0.91666666666666663</v>
      </c>
      <c r="X670" t="s">
        <v>31</v>
      </c>
    </row>
    <row r="671" spans="1:24">
      <c r="A671" t="s">
        <v>728</v>
      </c>
      <c r="B671">
        <v>84</v>
      </c>
      <c r="C671" t="str" cm="1">
        <f t="array" ref="C671">_xlfn.IFS(B671&lt;=18,"0-18",B671&lt;=35,"19-35",B671&lt;=50,"36-50",B671&lt;=65,"51-65","True","65+")</f>
        <v>65+</v>
      </c>
      <c r="D671" t="s">
        <v>41</v>
      </c>
      <c r="E671" s="6">
        <v>44939</v>
      </c>
      <c r="F671" s="6">
        <v>44940</v>
      </c>
      <c r="G671">
        <v>1</v>
      </c>
      <c r="H671" t="s">
        <v>63</v>
      </c>
      <c r="I671">
        <v>2</v>
      </c>
      <c r="J671" t="s">
        <v>35</v>
      </c>
      <c r="K671">
        <v>9302</v>
      </c>
      <c r="L671" t="s">
        <v>67</v>
      </c>
      <c r="M671" t="s">
        <v>26</v>
      </c>
      <c r="N671" t="s">
        <v>27</v>
      </c>
      <c r="O671" s="2">
        <v>45139</v>
      </c>
      <c r="P671" s="2">
        <v>45139.083333333336</v>
      </c>
      <c r="Q671" s="38">
        <f t="shared" si="10"/>
        <v>8.3333333335758653E-2</v>
      </c>
      <c r="R671" t="s">
        <v>42</v>
      </c>
      <c r="S671" t="s">
        <v>29</v>
      </c>
      <c r="T671" t="s">
        <v>43</v>
      </c>
      <c r="U671">
        <v>7</v>
      </c>
      <c r="V671">
        <v>10</v>
      </c>
      <c r="W671" s="18">
        <f>IFERROR(Table1[[#This Row],[Staff Hours Worked]]/Table1[[#This Row],[Staff Available Hours]],0)</f>
        <v>0.7</v>
      </c>
      <c r="X671" t="s">
        <v>31</v>
      </c>
    </row>
    <row r="672" spans="1:24">
      <c r="A672" t="s">
        <v>729</v>
      </c>
      <c r="B672">
        <v>77</v>
      </c>
      <c r="C672" t="str" cm="1">
        <f t="array" ref="C672">_xlfn.IFS(B672&lt;=18,"0-18",B672&lt;=35,"19-35",B672&lt;=50,"36-50",B672&lt;=65,"51-65","True","65+")</f>
        <v>65+</v>
      </c>
      <c r="D672" t="s">
        <v>33</v>
      </c>
      <c r="E672" s="6">
        <v>45218</v>
      </c>
      <c r="F672" s="6">
        <v>45225</v>
      </c>
      <c r="G672">
        <v>7</v>
      </c>
      <c r="H672" t="s">
        <v>50</v>
      </c>
      <c r="I672">
        <v>5</v>
      </c>
      <c r="J672" t="s">
        <v>35</v>
      </c>
      <c r="K672">
        <v>27391</v>
      </c>
      <c r="L672" t="s">
        <v>60</v>
      </c>
      <c r="M672" t="s">
        <v>54</v>
      </c>
      <c r="N672" t="s">
        <v>41</v>
      </c>
      <c r="O672" s="2">
        <v>45214</v>
      </c>
      <c r="P672" s="2">
        <v>45215.791666666664</v>
      </c>
      <c r="Q672" s="38">
        <f t="shared" si="10"/>
        <v>1.7916666666642413</v>
      </c>
      <c r="R672" t="s">
        <v>42</v>
      </c>
      <c r="S672" t="s">
        <v>29</v>
      </c>
      <c r="T672" t="s">
        <v>43</v>
      </c>
      <c r="U672">
        <v>5</v>
      </c>
      <c r="V672">
        <v>10</v>
      </c>
      <c r="W672" s="18">
        <f>IFERROR(Table1[[#This Row],[Staff Hours Worked]]/Table1[[#This Row],[Staff Available Hours]],0)</f>
        <v>0.5</v>
      </c>
      <c r="X672" t="s">
        <v>31</v>
      </c>
    </row>
    <row r="673" spans="1:24">
      <c r="A673" t="s">
        <v>730</v>
      </c>
      <c r="B673">
        <v>29</v>
      </c>
      <c r="C673" t="str" cm="1">
        <f t="array" ref="C673">_xlfn.IFS(B673&lt;=18,"0-18",B673&lt;=35,"19-35",B673&lt;=50,"36-50",B673&lt;=65,"51-65","True","65+")</f>
        <v>19-35</v>
      </c>
      <c r="D673" t="s">
        <v>33</v>
      </c>
      <c r="E673" s="6">
        <v>45407</v>
      </c>
      <c r="F673" s="6">
        <v>45296</v>
      </c>
      <c r="G673">
        <v>6</v>
      </c>
      <c r="H673" t="s">
        <v>50</v>
      </c>
      <c r="I673">
        <v>4</v>
      </c>
      <c r="J673" t="s">
        <v>35</v>
      </c>
      <c r="K673">
        <v>9611</v>
      </c>
      <c r="L673" t="s">
        <v>60</v>
      </c>
      <c r="M673" t="s">
        <v>26</v>
      </c>
      <c r="N673" t="s">
        <v>27</v>
      </c>
      <c r="O673" s="2">
        <v>45406</v>
      </c>
      <c r="P673" s="2">
        <v>45406.833333333336</v>
      </c>
      <c r="Q673" s="38">
        <f t="shared" si="10"/>
        <v>0.83333333333575865</v>
      </c>
      <c r="R673" t="s">
        <v>42</v>
      </c>
      <c r="S673" t="s">
        <v>29</v>
      </c>
      <c r="T673" t="s">
        <v>30</v>
      </c>
      <c r="U673">
        <v>11</v>
      </c>
      <c r="V673">
        <v>8</v>
      </c>
      <c r="W673" s="18">
        <f>IFERROR(Table1[[#This Row],[Staff Hours Worked]]/Table1[[#This Row],[Staff Available Hours]],0)</f>
        <v>1.375</v>
      </c>
      <c r="X673" t="s">
        <v>48</v>
      </c>
    </row>
    <row r="674" spans="1:24">
      <c r="A674" t="s">
        <v>731</v>
      </c>
      <c r="B674">
        <v>13</v>
      </c>
      <c r="C674" t="str" cm="1">
        <f t="array" ref="C674">_xlfn.IFS(B674&lt;=18,"0-18",B674&lt;=35,"19-35",B674&lt;=50,"36-50",B674&lt;=65,"51-65","True","65+")</f>
        <v>0-18</v>
      </c>
      <c r="D674" t="s">
        <v>45</v>
      </c>
      <c r="E674" s="6">
        <v>45417</v>
      </c>
      <c r="F674" s="6">
        <v>45428</v>
      </c>
      <c r="G674">
        <v>11</v>
      </c>
      <c r="H674" t="s">
        <v>57</v>
      </c>
      <c r="I674">
        <v>4</v>
      </c>
      <c r="J674" t="s">
        <v>24</v>
      </c>
      <c r="K674">
        <v>14372</v>
      </c>
      <c r="L674" t="s">
        <v>25</v>
      </c>
      <c r="M674" t="s">
        <v>54</v>
      </c>
      <c r="N674" t="s">
        <v>41</v>
      </c>
      <c r="O674" s="2">
        <v>45412</v>
      </c>
      <c r="P674" s="2">
        <v>45412.583333333336</v>
      </c>
      <c r="Q674" s="38">
        <f t="shared" si="10"/>
        <v>0.58333333333575865</v>
      </c>
      <c r="R674" t="s">
        <v>64</v>
      </c>
      <c r="S674" t="s">
        <v>29</v>
      </c>
      <c r="T674" t="s">
        <v>30</v>
      </c>
      <c r="U674">
        <v>5</v>
      </c>
      <c r="V674">
        <v>10</v>
      </c>
      <c r="W674" s="18">
        <f>IFERROR(Table1[[#This Row],[Staff Hours Worked]]/Table1[[#This Row],[Staff Available Hours]],0)</f>
        <v>0.5</v>
      </c>
      <c r="X674" t="s">
        <v>68</v>
      </c>
    </row>
    <row r="675" spans="1:24">
      <c r="A675" t="s">
        <v>732</v>
      </c>
      <c r="B675">
        <v>46</v>
      </c>
      <c r="C675" t="str" cm="1">
        <f t="array" ref="C675">_xlfn.IFS(B675&lt;=18,"0-18",B675&lt;=35,"19-35",B675&lt;=50,"36-50",B675&lt;=65,"51-65","True","65+")</f>
        <v>36-50</v>
      </c>
      <c r="D675" t="s">
        <v>22</v>
      </c>
      <c r="E675" s="6">
        <v>45378</v>
      </c>
      <c r="F675" s="6">
        <v>45508</v>
      </c>
      <c r="G675">
        <v>12</v>
      </c>
      <c r="H675" t="s">
        <v>50</v>
      </c>
      <c r="I675">
        <v>4</v>
      </c>
      <c r="J675" t="s">
        <v>24</v>
      </c>
      <c r="K675">
        <v>29312</v>
      </c>
      <c r="L675" t="s">
        <v>67</v>
      </c>
      <c r="M675" t="s">
        <v>54</v>
      </c>
      <c r="N675" t="s">
        <v>27</v>
      </c>
      <c r="O675" s="2">
        <v>45376</v>
      </c>
      <c r="P675" s="2">
        <v>45377.416666666664</v>
      </c>
      <c r="Q675" s="38">
        <f t="shared" si="10"/>
        <v>1.4166666666642413</v>
      </c>
      <c r="R675" t="s">
        <v>37</v>
      </c>
      <c r="S675" t="s">
        <v>29</v>
      </c>
      <c r="T675" t="s">
        <v>30</v>
      </c>
      <c r="U675">
        <v>6</v>
      </c>
      <c r="V675">
        <v>12</v>
      </c>
      <c r="W675" s="18">
        <f>IFERROR(Table1[[#This Row],[Staff Hours Worked]]/Table1[[#This Row],[Staff Available Hours]],0)</f>
        <v>0.5</v>
      </c>
      <c r="X675" t="s">
        <v>68</v>
      </c>
    </row>
    <row r="676" spans="1:24">
      <c r="A676" t="s">
        <v>733</v>
      </c>
      <c r="B676">
        <v>35</v>
      </c>
      <c r="C676" t="str" cm="1">
        <f t="array" ref="C676">_xlfn.IFS(B676&lt;=18,"0-18",B676&lt;=35,"19-35",B676&lt;=50,"36-50",B676&lt;=65,"51-65","True","65+")</f>
        <v>19-35</v>
      </c>
      <c r="D676" t="s">
        <v>62</v>
      </c>
      <c r="E676" s="6">
        <v>45275</v>
      </c>
      <c r="F676" s="6">
        <v>45279</v>
      </c>
      <c r="G676">
        <v>4</v>
      </c>
      <c r="H676" t="s">
        <v>23</v>
      </c>
      <c r="I676">
        <v>5</v>
      </c>
      <c r="J676" t="s">
        <v>71</v>
      </c>
      <c r="K676">
        <v>19080</v>
      </c>
      <c r="L676" t="s">
        <v>25</v>
      </c>
      <c r="M676" t="s">
        <v>54</v>
      </c>
      <c r="N676" t="s">
        <v>27</v>
      </c>
      <c r="O676" s="2">
        <v>45275</v>
      </c>
      <c r="P676" s="2">
        <v>45276.625</v>
      </c>
      <c r="Q676" s="38">
        <f t="shared" si="10"/>
        <v>1.625</v>
      </c>
      <c r="R676" t="s">
        <v>64</v>
      </c>
      <c r="S676" t="s">
        <v>29</v>
      </c>
      <c r="T676" t="s">
        <v>30</v>
      </c>
      <c r="U676">
        <v>11</v>
      </c>
      <c r="V676">
        <v>8</v>
      </c>
      <c r="W676" s="18">
        <f>IFERROR(Table1[[#This Row],[Staff Hours Worked]]/Table1[[#This Row],[Staff Available Hours]],0)</f>
        <v>1.375</v>
      </c>
      <c r="X676" t="s">
        <v>68</v>
      </c>
    </row>
    <row r="677" spans="1:24">
      <c r="A677" t="s">
        <v>734</v>
      </c>
      <c r="B677">
        <v>6</v>
      </c>
      <c r="C677" t="str" cm="1">
        <f t="array" ref="C677">_xlfn.IFS(B677&lt;=18,"0-18",B677&lt;=35,"19-35",B677&lt;=50,"36-50",B677&lt;=65,"51-65","True","65+")</f>
        <v>0-18</v>
      </c>
      <c r="D677" t="s">
        <v>22</v>
      </c>
      <c r="E677" s="6">
        <v>45145</v>
      </c>
      <c r="F677" s="6">
        <v>45123</v>
      </c>
      <c r="G677">
        <v>8</v>
      </c>
      <c r="H677" t="s">
        <v>50</v>
      </c>
      <c r="I677">
        <v>3</v>
      </c>
      <c r="J677" t="s">
        <v>71</v>
      </c>
      <c r="K677">
        <v>20082</v>
      </c>
      <c r="L677" t="s">
        <v>67</v>
      </c>
      <c r="M677" t="s">
        <v>26</v>
      </c>
      <c r="N677" t="s">
        <v>27</v>
      </c>
      <c r="O677" s="2">
        <v>45114</v>
      </c>
      <c r="P677" s="2">
        <v>45145.375</v>
      </c>
      <c r="Q677" s="38">
        <f t="shared" si="10"/>
        <v>31.375</v>
      </c>
      <c r="R677" t="s">
        <v>28</v>
      </c>
      <c r="S677" t="s">
        <v>29</v>
      </c>
      <c r="T677" t="s">
        <v>43</v>
      </c>
      <c r="U677">
        <v>9</v>
      </c>
      <c r="V677">
        <v>8</v>
      </c>
      <c r="W677" s="18">
        <f>IFERROR(Table1[[#This Row],[Staff Hours Worked]]/Table1[[#This Row],[Staff Available Hours]],0)</f>
        <v>1.125</v>
      </c>
      <c r="X677" t="s">
        <v>68</v>
      </c>
    </row>
    <row r="678" spans="1:24">
      <c r="A678" t="s">
        <v>735</v>
      </c>
      <c r="B678">
        <v>82</v>
      </c>
      <c r="C678" t="str" cm="1">
        <f t="array" ref="C678">_xlfn.IFS(B678&lt;=18,"0-18",B678&lt;=35,"19-35",B678&lt;=50,"36-50",B678&lt;=65,"51-65","True","65+")</f>
        <v>65+</v>
      </c>
      <c r="D678" t="s">
        <v>52</v>
      </c>
      <c r="E678" s="6">
        <v>44979</v>
      </c>
      <c r="F678" s="6">
        <v>45019</v>
      </c>
      <c r="G678">
        <v>10</v>
      </c>
      <c r="H678" t="s">
        <v>34</v>
      </c>
      <c r="I678">
        <v>2</v>
      </c>
      <c r="J678" t="s">
        <v>71</v>
      </c>
      <c r="K678">
        <v>47861</v>
      </c>
      <c r="L678" t="s">
        <v>25</v>
      </c>
      <c r="M678" t="s">
        <v>26</v>
      </c>
      <c r="N678" t="s">
        <v>27</v>
      </c>
      <c r="O678" s="2">
        <v>44975</v>
      </c>
      <c r="P678" s="2">
        <v>44975.541666666664</v>
      </c>
      <c r="Q678" s="38">
        <f t="shared" si="10"/>
        <v>0.54166666666424135</v>
      </c>
      <c r="R678" t="s">
        <v>37</v>
      </c>
      <c r="S678" t="s">
        <v>29</v>
      </c>
      <c r="T678" t="s">
        <v>43</v>
      </c>
      <c r="U678">
        <v>7</v>
      </c>
      <c r="V678">
        <v>10</v>
      </c>
      <c r="W678" s="18">
        <f>IFERROR(Table1[[#This Row],[Staff Hours Worked]]/Table1[[#This Row],[Staff Available Hours]],0)</f>
        <v>0.7</v>
      </c>
      <c r="X678" t="s">
        <v>68</v>
      </c>
    </row>
    <row r="679" spans="1:24">
      <c r="A679" t="s">
        <v>736</v>
      </c>
      <c r="B679">
        <v>69</v>
      </c>
      <c r="C679" t="str" cm="1">
        <f t="array" ref="C679">_xlfn.IFS(B679&lt;=18,"0-18",B679&lt;=35,"19-35",B679&lt;=50,"36-50",B679&lt;=65,"51-65","True","65+")</f>
        <v>65+</v>
      </c>
      <c r="D679" t="s">
        <v>22</v>
      </c>
      <c r="E679" s="6">
        <v>45185</v>
      </c>
      <c r="F679" s="6">
        <v>45190</v>
      </c>
      <c r="G679">
        <v>5</v>
      </c>
      <c r="H679" t="s">
        <v>63</v>
      </c>
      <c r="I679">
        <v>3</v>
      </c>
      <c r="J679" t="s">
        <v>24</v>
      </c>
      <c r="K679">
        <v>35677</v>
      </c>
      <c r="L679" t="s">
        <v>25</v>
      </c>
      <c r="M679" t="s">
        <v>54</v>
      </c>
      <c r="N679" t="s">
        <v>27</v>
      </c>
      <c r="O679" s="2">
        <v>45182</v>
      </c>
      <c r="P679" s="2">
        <v>45184</v>
      </c>
      <c r="Q679" s="38">
        <f t="shared" si="10"/>
        <v>2</v>
      </c>
      <c r="R679" t="s">
        <v>42</v>
      </c>
      <c r="S679" t="s">
        <v>29</v>
      </c>
      <c r="T679" t="s">
        <v>43</v>
      </c>
      <c r="U679">
        <v>4</v>
      </c>
      <c r="V679">
        <v>10</v>
      </c>
      <c r="W679" s="18">
        <f>IFERROR(Table1[[#This Row],[Staff Hours Worked]]/Table1[[#This Row],[Staff Available Hours]],0)</f>
        <v>0.4</v>
      </c>
      <c r="X679" t="s">
        <v>48</v>
      </c>
    </row>
    <row r="680" spans="1:24">
      <c r="A680" t="s">
        <v>737</v>
      </c>
      <c r="B680">
        <v>47</v>
      </c>
      <c r="C680" t="str" cm="1">
        <f t="array" ref="C680">_xlfn.IFS(B680&lt;=18,"0-18",B680&lt;=35,"19-35",B680&lt;=50,"36-50",B680&lt;=65,"51-65","True","65+")</f>
        <v>36-50</v>
      </c>
      <c r="D680" t="s">
        <v>52</v>
      </c>
      <c r="E680" s="6">
        <v>45387</v>
      </c>
      <c r="F680" s="6">
        <v>45429</v>
      </c>
      <c r="G680">
        <v>13</v>
      </c>
      <c r="H680" t="s">
        <v>34</v>
      </c>
      <c r="I680">
        <v>5</v>
      </c>
      <c r="J680" t="s">
        <v>24</v>
      </c>
      <c r="K680">
        <v>25874</v>
      </c>
      <c r="L680" t="s">
        <v>36</v>
      </c>
      <c r="M680" t="s">
        <v>54</v>
      </c>
      <c r="N680" t="s">
        <v>27</v>
      </c>
      <c r="O680" s="2">
        <v>45412</v>
      </c>
      <c r="P680" s="2">
        <v>45296.083333333336</v>
      </c>
      <c r="Q680" s="38">
        <f t="shared" si="10"/>
        <v>115.91666666666424</v>
      </c>
      <c r="R680" t="s">
        <v>55</v>
      </c>
      <c r="S680" t="s">
        <v>38</v>
      </c>
      <c r="T680" t="s">
        <v>30</v>
      </c>
      <c r="U680">
        <v>5</v>
      </c>
      <c r="V680">
        <v>10</v>
      </c>
      <c r="W680" s="18">
        <f>IFERROR(Table1[[#This Row],[Staff Hours Worked]]/Table1[[#This Row],[Staff Available Hours]],0)</f>
        <v>0.5</v>
      </c>
      <c r="X680" t="s">
        <v>31</v>
      </c>
    </row>
    <row r="681" spans="1:24">
      <c r="A681" t="s">
        <v>738</v>
      </c>
      <c r="B681">
        <v>25</v>
      </c>
      <c r="C681" t="str" cm="1">
        <f t="array" ref="C681">_xlfn.IFS(B681&lt;=18,"0-18",B681&lt;=35,"19-35",B681&lt;=50,"36-50",B681&lt;=65,"51-65","True","65+")</f>
        <v>19-35</v>
      </c>
      <c r="D681" t="s">
        <v>52</v>
      </c>
      <c r="E681" s="6">
        <v>45043</v>
      </c>
      <c r="F681" s="6">
        <v>45174</v>
      </c>
      <c r="G681">
        <v>12</v>
      </c>
      <c r="H681" t="s">
        <v>23</v>
      </c>
      <c r="I681">
        <v>4</v>
      </c>
      <c r="J681" t="s">
        <v>71</v>
      </c>
      <c r="K681">
        <v>13378</v>
      </c>
      <c r="L681" t="s">
        <v>25</v>
      </c>
      <c r="M681" t="s">
        <v>26</v>
      </c>
      <c r="N681" t="s">
        <v>27</v>
      </c>
      <c r="O681" s="2">
        <v>45042</v>
      </c>
      <c r="P681" s="2">
        <v>45042.791666666664</v>
      </c>
      <c r="Q681" s="38">
        <f t="shared" si="10"/>
        <v>0.79166666666424135</v>
      </c>
      <c r="R681" t="s">
        <v>37</v>
      </c>
      <c r="S681" t="s">
        <v>38</v>
      </c>
      <c r="T681" t="s">
        <v>30</v>
      </c>
      <c r="U681">
        <v>4</v>
      </c>
      <c r="V681">
        <v>8</v>
      </c>
      <c r="W681" s="18">
        <f>IFERROR(Table1[[#This Row],[Staff Hours Worked]]/Table1[[#This Row],[Staff Available Hours]],0)</f>
        <v>0.5</v>
      </c>
      <c r="X681" t="s">
        <v>68</v>
      </c>
    </row>
    <row r="682" spans="1:24">
      <c r="A682" t="s">
        <v>739</v>
      </c>
      <c r="B682">
        <v>66</v>
      </c>
      <c r="C682" t="str" cm="1">
        <f t="array" ref="C682">_xlfn.IFS(B682&lt;=18,"0-18",B682&lt;=35,"19-35",B682&lt;=50,"36-50",B682&lt;=65,"51-65","True","65+")</f>
        <v>65+</v>
      </c>
      <c r="D682" t="s">
        <v>62</v>
      </c>
      <c r="E682" s="6">
        <v>45141</v>
      </c>
      <c r="F682" s="6">
        <v>45006</v>
      </c>
      <c r="G682">
        <v>13</v>
      </c>
      <c r="H682" t="s">
        <v>50</v>
      </c>
      <c r="I682">
        <v>2</v>
      </c>
      <c r="J682" t="s">
        <v>71</v>
      </c>
      <c r="K682">
        <v>6597</v>
      </c>
      <c r="L682" t="s">
        <v>60</v>
      </c>
      <c r="M682" t="s">
        <v>54</v>
      </c>
      <c r="N682" t="s">
        <v>27</v>
      </c>
      <c r="O682" s="2">
        <v>44988</v>
      </c>
      <c r="P682" s="2">
        <v>45019.75</v>
      </c>
      <c r="Q682" s="38">
        <f t="shared" si="10"/>
        <v>31.75</v>
      </c>
      <c r="R682" t="s">
        <v>42</v>
      </c>
      <c r="S682" t="s">
        <v>29</v>
      </c>
      <c r="T682" t="s">
        <v>43</v>
      </c>
      <c r="U682">
        <v>11</v>
      </c>
      <c r="V682">
        <v>10</v>
      </c>
      <c r="W682" s="18">
        <f>IFERROR(Table1[[#This Row],[Staff Hours Worked]]/Table1[[#This Row],[Staff Available Hours]],0)</f>
        <v>1.1000000000000001</v>
      </c>
      <c r="X682" t="s">
        <v>31</v>
      </c>
    </row>
    <row r="683" spans="1:24">
      <c r="A683" t="s">
        <v>740</v>
      </c>
      <c r="B683">
        <v>10</v>
      </c>
      <c r="C683" t="str" cm="1">
        <f t="array" ref="C683">_xlfn.IFS(B683&lt;=18,"0-18",B683&lt;=35,"19-35",B683&lt;=50,"36-50",B683&lt;=65,"51-65","True","65+")</f>
        <v>0-18</v>
      </c>
      <c r="D683" t="s">
        <v>41</v>
      </c>
      <c r="E683" s="6">
        <v>45337</v>
      </c>
      <c r="F683" s="6">
        <v>45345</v>
      </c>
      <c r="G683">
        <v>8</v>
      </c>
      <c r="H683" t="s">
        <v>23</v>
      </c>
      <c r="I683">
        <v>1</v>
      </c>
      <c r="J683" t="s">
        <v>46</v>
      </c>
      <c r="K683">
        <v>16600</v>
      </c>
      <c r="L683" t="s">
        <v>25</v>
      </c>
      <c r="M683" t="s">
        <v>26</v>
      </c>
      <c r="N683" t="s">
        <v>41</v>
      </c>
      <c r="O683" s="2">
        <v>45336</v>
      </c>
      <c r="P683" s="2">
        <v>45336.166666666664</v>
      </c>
      <c r="Q683" s="38">
        <f t="shared" si="10"/>
        <v>0.16666666666424135</v>
      </c>
      <c r="R683" t="s">
        <v>37</v>
      </c>
      <c r="S683" t="s">
        <v>29</v>
      </c>
      <c r="T683" t="s">
        <v>43</v>
      </c>
      <c r="U683">
        <v>7</v>
      </c>
      <c r="V683">
        <v>12</v>
      </c>
      <c r="W683" s="18">
        <f>IFERROR(Table1[[#This Row],[Staff Hours Worked]]/Table1[[#This Row],[Staff Available Hours]],0)</f>
        <v>0.58333333333333337</v>
      </c>
      <c r="X683" t="s">
        <v>48</v>
      </c>
    </row>
    <row r="684" spans="1:24">
      <c r="A684" t="s">
        <v>741</v>
      </c>
      <c r="B684">
        <v>56</v>
      </c>
      <c r="C684" t="str" cm="1">
        <f t="array" ref="C684">_xlfn.IFS(B684&lt;=18,"0-18",B684&lt;=35,"19-35",B684&lt;=50,"36-50",B684&lt;=65,"51-65","True","65+")</f>
        <v>51-65</v>
      </c>
      <c r="D684" t="s">
        <v>45</v>
      </c>
      <c r="E684" s="6">
        <v>45430</v>
      </c>
      <c r="F684" s="6">
        <v>45434</v>
      </c>
      <c r="G684">
        <v>4</v>
      </c>
      <c r="H684" t="s">
        <v>57</v>
      </c>
      <c r="I684">
        <v>1</v>
      </c>
      <c r="J684" t="s">
        <v>71</v>
      </c>
      <c r="K684">
        <v>8747</v>
      </c>
      <c r="L684" t="s">
        <v>67</v>
      </c>
      <c r="M684" t="s">
        <v>54</v>
      </c>
      <c r="N684" t="s">
        <v>27</v>
      </c>
      <c r="O684" s="2">
        <v>45430</v>
      </c>
      <c r="P684" s="2">
        <v>45430.666666666664</v>
      </c>
      <c r="Q684" s="38">
        <f t="shared" si="10"/>
        <v>0.66666666666424135</v>
      </c>
      <c r="R684" t="s">
        <v>37</v>
      </c>
      <c r="S684" t="s">
        <v>29</v>
      </c>
      <c r="T684" t="s">
        <v>30</v>
      </c>
      <c r="U684">
        <v>10</v>
      </c>
      <c r="V684">
        <v>8</v>
      </c>
      <c r="W684" s="18">
        <f>IFERROR(Table1[[#This Row],[Staff Hours Worked]]/Table1[[#This Row],[Staff Available Hours]],0)</f>
        <v>1.25</v>
      </c>
      <c r="X684" t="s">
        <v>48</v>
      </c>
    </row>
    <row r="685" spans="1:24">
      <c r="A685" t="s">
        <v>742</v>
      </c>
      <c r="B685">
        <v>30</v>
      </c>
      <c r="C685" t="str" cm="1">
        <f t="array" ref="C685">_xlfn.IFS(B685&lt;=18,"0-18",B685&lt;=35,"19-35",B685&lt;=50,"36-50",B685&lt;=65,"51-65","True","65+")</f>
        <v>19-35</v>
      </c>
      <c r="D685" t="s">
        <v>22</v>
      </c>
      <c r="E685" s="6">
        <v>45002</v>
      </c>
      <c r="F685" s="6">
        <v>45011</v>
      </c>
      <c r="G685">
        <v>9</v>
      </c>
      <c r="H685" t="s">
        <v>34</v>
      </c>
      <c r="I685">
        <v>3</v>
      </c>
      <c r="J685" t="s">
        <v>46</v>
      </c>
      <c r="K685">
        <v>18879</v>
      </c>
      <c r="L685" t="s">
        <v>25</v>
      </c>
      <c r="M685" t="s">
        <v>26</v>
      </c>
      <c r="N685" t="s">
        <v>27</v>
      </c>
      <c r="O685" s="2">
        <v>45002</v>
      </c>
      <c r="P685" s="2">
        <v>45003.333333333336</v>
      </c>
      <c r="Q685" s="38">
        <f t="shared" si="10"/>
        <v>1.3333333333357587</v>
      </c>
      <c r="R685" t="s">
        <v>64</v>
      </c>
      <c r="S685" t="s">
        <v>29</v>
      </c>
      <c r="T685" t="s">
        <v>47</v>
      </c>
      <c r="U685">
        <v>9</v>
      </c>
      <c r="V685">
        <v>10</v>
      </c>
      <c r="W685" s="18">
        <f>IFERROR(Table1[[#This Row],[Staff Hours Worked]]/Table1[[#This Row],[Staff Available Hours]],0)</f>
        <v>0.9</v>
      </c>
      <c r="X685" t="s">
        <v>68</v>
      </c>
    </row>
    <row r="686" spans="1:24">
      <c r="A686" t="s">
        <v>743</v>
      </c>
      <c r="B686">
        <v>5</v>
      </c>
      <c r="C686" t="str" cm="1">
        <f t="array" ref="C686">_xlfn.IFS(B686&lt;=18,"0-18",B686&lt;=35,"19-35",B686&lt;=50,"36-50",B686&lt;=65,"51-65","True","65+")</f>
        <v>0-18</v>
      </c>
      <c r="D686" t="s">
        <v>52</v>
      </c>
      <c r="E686" s="6">
        <v>44981</v>
      </c>
      <c r="F686" s="6">
        <v>44985</v>
      </c>
      <c r="G686">
        <v>4</v>
      </c>
      <c r="H686" t="s">
        <v>34</v>
      </c>
      <c r="I686">
        <v>4</v>
      </c>
      <c r="J686" t="s">
        <v>66</v>
      </c>
      <c r="K686">
        <v>18017</v>
      </c>
      <c r="L686" t="s">
        <v>53</v>
      </c>
      <c r="M686" t="s">
        <v>54</v>
      </c>
      <c r="N686" t="s">
        <v>41</v>
      </c>
      <c r="O686" s="2">
        <v>44979</v>
      </c>
      <c r="P686" s="2">
        <v>44980.041666666664</v>
      </c>
      <c r="Q686" s="38">
        <f t="shared" si="10"/>
        <v>1.0416666666642413</v>
      </c>
      <c r="R686" t="s">
        <v>28</v>
      </c>
      <c r="S686" t="s">
        <v>29</v>
      </c>
      <c r="T686" t="s">
        <v>43</v>
      </c>
      <c r="U686">
        <v>8</v>
      </c>
      <c r="V686">
        <v>12</v>
      </c>
      <c r="W686" s="18">
        <f>IFERROR(Table1[[#This Row],[Staff Hours Worked]]/Table1[[#This Row],[Staff Available Hours]],0)</f>
        <v>0.66666666666666663</v>
      </c>
      <c r="X686" t="s">
        <v>48</v>
      </c>
    </row>
    <row r="687" spans="1:24">
      <c r="A687" t="s">
        <v>744</v>
      </c>
      <c r="B687">
        <v>33</v>
      </c>
      <c r="C687" t="str" cm="1">
        <f t="array" ref="C687">_xlfn.IFS(B687&lt;=18,"0-18",B687&lt;=35,"19-35",B687&lt;=50,"36-50",B687&lt;=65,"51-65","True","65+")</f>
        <v>19-35</v>
      </c>
      <c r="D687" t="s">
        <v>22</v>
      </c>
      <c r="E687" s="6">
        <v>45052</v>
      </c>
      <c r="F687" s="6">
        <v>45205</v>
      </c>
      <c r="G687">
        <v>5</v>
      </c>
      <c r="H687" t="s">
        <v>40</v>
      </c>
      <c r="I687">
        <v>1</v>
      </c>
      <c r="J687" t="s">
        <v>24</v>
      </c>
      <c r="K687">
        <v>29815</v>
      </c>
      <c r="L687" t="s">
        <v>67</v>
      </c>
      <c r="M687" t="s">
        <v>54</v>
      </c>
      <c r="N687" t="s">
        <v>27</v>
      </c>
      <c r="O687" s="2">
        <v>44963</v>
      </c>
      <c r="P687" s="2">
        <v>44963.333333333336</v>
      </c>
      <c r="Q687" s="38">
        <f t="shared" si="10"/>
        <v>0.33333333333575865</v>
      </c>
      <c r="R687" t="s">
        <v>55</v>
      </c>
      <c r="S687" t="s">
        <v>38</v>
      </c>
      <c r="T687" t="s">
        <v>43</v>
      </c>
      <c r="U687">
        <v>10</v>
      </c>
      <c r="V687">
        <v>12</v>
      </c>
      <c r="W687" s="18">
        <f>IFERROR(Table1[[#This Row],[Staff Hours Worked]]/Table1[[#This Row],[Staff Available Hours]],0)</f>
        <v>0.83333333333333337</v>
      </c>
      <c r="X687" t="s">
        <v>31</v>
      </c>
    </row>
    <row r="688" spans="1:24">
      <c r="A688" t="s">
        <v>745</v>
      </c>
      <c r="B688">
        <v>65</v>
      </c>
      <c r="C688" t="str" cm="1">
        <f t="array" ref="C688">_xlfn.IFS(B688&lt;=18,"0-18",B688&lt;=35,"19-35",B688&lt;=50,"36-50",B688&lt;=65,"51-65","True","65+")</f>
        <v>51-65</v>
      </c>
      <c r="D688" t="s">
        <v>41</v>
      </c>
      <c r="E688" s="6">
        <v>44963</v>
      </c>
      <c r="F688" s="6">
        <v>45092</v>
      </c>
      <c r="G688">
        <v>13</v>
      </c>
      <c r="H688" t="s">
        <v>50</v>
      </c>
      <c r="I688">
        <v>3</v>
      </c>
      <c r="J688" t="s">
        <v>71</v>
      </c>
      <c r="K688">
        <v>23964</v>
      </c>
      <c r="L688" t="s">
        <v>53</v>
      </c>
      <c r="M688" t="s">
        <v>26</v>
      </c>
      <c r="N688" t="s">
        <v>41</v>
      </c>
      <c r="O688" s="2">
        <v>45074</v>
      </c>
      <c r="P688" s="2">
        <v>45074.666666666664</v>
      </c>
      <c r="Q688" s="38">
        <f t="shared" si="10"/>
        <v>0.66666666666424135</v>
      </c>
      <c r="R688" t="s">
        <v>42</v>
      </c>
      <c r="S688" t="s">
        <v>29</v>
      </c>
      <c r="T688" t="s">
        <v>43</v>
      </c>
      <c r="U688">
        <v>11</v>
      </c>
      <c r="V688">
        <v>10</v>
      </c>
      <c r="W688" s="18">
        <f>IFERROR(Table1[[#This Row],[Staff Hours Worked]]/Table1[[#This Row],[Staff Available Hours]],0)</f>
        <v>1.1000000000000001</v>
      </c>
      <c r="X688" t="s">
        <v>68</v>
      </c>
    </row>
    <row r="689" spans="1:24">
      <c r="A689" t="s">
        <v>746</v>
      </c>
      <c r="B689">
        <v>18</v>
      </c>
      <c r="C689" t="str" cm="1">
        <f t="array" ref="C689">_xlfn.IFS(B689&lt;=18,"0-18",B689&lt;=35,"19-35",B689&lt;=50,"36-50",B689&lt;=65,"51-65","True","65+")</f>
        <v>0-18</v>
      </c>
      <c r="D689" t="s">
        <v>45</v>
      </c>
      <c r="E689" s="6">
        <v>45149</v>
      </c>
      <c r="F689" s="6">
        <v>45251</v>
      </c>
      <c r="G689">
        <v>13</v>
      </c>
      <c r="H689" t="s">
        <v>57</v>
      </c>
      <c r="I689">
        <v>5</v>
      </c>
      <c r="J689" t="s">
        <v>24</v>
      </c>
      <c r="K689">
        <v>33812</v>
      </c>
      <c r="L689" t="s">
        <v>67</v>
      </c>
      <c r="M689" t="s">
        <v>26</v>
      </c>
      <c r="N689" t="s">
        <v>27</v>
      </c>
      <c r="O689" s="2">
        <v>44996</v>
      </c>
      <c r="P689" s="2">
        <v>45027.333333333336</v>
      </c>
      <c r="Q689" s="38">
        <f t="shared" si="10"/>
        <v>31.333333333335759</v>
      </c>
      <c r="R689" t="s">
        <v>37</v>
      </c>
      <c r="S689" t="s">
        <v>29</v>
      </c>
      <c r="T689" t="s">
        <v>30</v>
      </c>
      <c r="U689">
        <v>11</v>
      </c>
      <c r="V689">
        <v>12</v>
      </c>
      <c r="W689" s="18">
        <f>IFERROR(Table1[[#This Row],[Staff Hours Worked]]/Table1[[#This Row],[Staff Available Hours]],0)</f>
        <v>0.91666666666666663</v>
      </c>
      <c r="X689" t="s">
        <v>68</v>
      </c>
    </row>
    <row r="690" spans="1:24">
      <c r="A690" t="s">
        <v>747</v>
      </c>
      <c r="B690">
        <v>49</v>
      </c>
      <c r="C690" t="str" cm="1">
        <f t="array" ref="C690">_xlfn.IFS(B690&lt;=18,"0-18",B690&lt;=35,"19-35",B690&lt;=50,"36-50",B690&lt;=65,"51-65","True","65+")</f>
        <v>36-50</v>
      </c>
      <c r="D690" t="s">
        <v>41</v>
      </c>
      <c r="E690" s="6">
        <v>45014</v>
      </c>
      <c r="F690" s="6">
        <v>45081</v>
      </c>
      <c r="G690">
        <v>8</v>
      </c>
      <c r="H690" t="s">
        <v>34</v>
      </c>
      <c r="I690">
        <v>3</v>
      </c>
      <c r="J690" t="s">
        <v>24</v>
      </c>
      <c r="K690">
        <v>45200</v>
      </c>
      <c r="L690" t="s">
        <v>60</v>
      </c>
      <c r="M690" t="s">
        <v>26</v>
      </c>
      <c r="N690" t="s">
        <v>27</v>
      </c>
      <c r="O690" s="2">
        <v>45010</v>
      </c>
      <c r="P690" s="2">
        <v>45011.708333333336</v>
      </c>
      <c r="Q690" s="38">
        <f t="shared" si="10"/>
        <v>1.7083333333357587</v>
      </c>
      <c r="R690" t="s">
        <v>55</v>
      </c>
      <c r="S690" t="s">
        <v>29</v>
      </c>
      <c r="T690" t="s">
        <v>43</v>
      </c>
      <c r="U690">
        <v>10</v>
      </c>
      <c r="V690">
        <v>8</v>
      </c>
      <c r="W690" s="18">
        <f>IFERROR(Table1[[#This Row],[Staff Hours Worked]]/Table1[[#This Row],[Staff Available Hours]],0)</f>
        <v>1.25</v>
      </c>
      <c r="X690" t="s">
        <v>31</v>
      </c>
    </row>
    <row r="691" spans="1:24">
      <c r="A691" t="s">
        <v>748</v>
      </c>
      <c r="B691">
        <v>11</v>
      </c>
      <c r="C691" t="str" cm="1">
        <f t="array" ref="C691">_xlfn.IFS(B691&lt;=18,"0-18",B691&lt;=35,"19-35",B691&lt;=50,"36-50",B691&lt;=65,"51-65","True","65+")</f>
        <v>0-18</v>
      </c>
      <c r="D691" t="s">
        <v>45</v>
      </c>
      <c r="E691" s="6">
        <v>45269</v>
      </c>
      <c r="F691" s="6">
        <v>45196</v>
      </c>
      <c r="G691">
        <v>15</v>
      </c>
      <c r="H691" t="s">
        <v>34</v>
      </c>
      <c r="I691">
        <v>3</v>
      </c>
      <c r="J691" t="s">
        <v>24</v>
      </c>
      <c r="K691">
        <v>29714</v>
      </c>
      <c r="L691" t="s">
        <v>60</v>
      </c>
      <c r="M691" t="s">
        <v>54</v>
      </c>
      <c r="N691" t="s">
        <v>27</v>
      </c>
      <c r="O691" s="2">
        <v>45178</v>
      </c>
      <c r="P691" s="2">
        <v>45208.625</v>
      </c>
      <c r="Q691" s="38">
        <f t="shared" si="10"/>
        <v>30.625</v>
      </c>
      <c r="R691" t="s">
        <v>37</v>
      </c>
      <c r="S691" t="s">
        <v>29</v>
      </c>
      <c r="T691" t="s">
        <v>43</v>
      </c>
      <c r="U691">
        <v>8</v>
      </c>
      <c r="V691">
        <v>8</v>
      </c>
      <c r="W691" s="18">
        <f>IFERROR(Table1[[#This Row],[Staff Hours Worked]]/Table1[[#This Row],[Staff Available Hours]],0)</f>
        <v>1</v>
      </c>
      <c r="X691" t="s">
        <v>68</v>
      </c>
    </row>
    <row r="692" spans="1:24">
      <c r="A692" t="s">
        <v>749</v>
      </c>
      <c r="B692">
        <v>85</v>
      </c>
      <c r="C692" t="str" cm="1">
        <f t="array" ref="C692">_xlfn.IFS(B692&lt;=18,"0-18",B692&lt;=35,"19-35",B692&lt;=50,"36-50",B692&lt;=65,"51-65","True","65+")</f>
        <v>65+</v>
      </c>
      <c r="D692" t="s">
        <v>33</v>
      </c>
      <c r="E692" s="6">
        <v>44962</v>
      </c>
      <c r="F692" s="6">
        <v>45062</v>
      </c>
      <c r="G692">
        <v>14</v>
      </c>
      <c r="H692" t="s">
        <v>57</v>
      </c>
      <c r="I692">
        <v>3</v>
      </c>
      <c r="J692" t="s">
        <v>66</v>
      </c>
      <c r="K692">
        <v>23890</v>
      </c>
      <c r="L692" t="s">
        <v>60</v>
      </c>
      <c r="M692" t="s">
        <v>54</v>
      </c>
      <c r="N692" t="s">
        <v>41</v>
      </c>
      <c r="O692" s="2">
        <v>45044</v>
      </c>
      <c r="P692" s="2">
        <v>45044.208333333336</v>
      </c>
      <c r="Q692" s="38">
        <f t="shared" si="10"/>
        <v>0.20833333333575865</v>
      </c>
      <c r="R692" t="s">
        <v>28</v>
      </c>
      <c r="S692" t="s">
        <v>38</v>
      </c>
      <c r="T692" t="s">
        <v>43</v>
      </c>
      <c r="U692">
        <v>11</v>
      </c>
      <c r="V692">
        <v>12</v>
      </c>
      <c r="W692" s="18">
        <f>IFERROR(Table1[[#This Row],[Staff Hours Worked]]/Table1[[#This Row],[Staff Available Hours]],0)</f>
        <v>0.91666666666666663</v>
      </c>
      <c r="X692" t="s">
        <v>68</v>
      </c>
    </row>
    <row r="693" spans="1:24">
      <c r="A693" t="s">
        <v>750</v>
      </c>
      <c r="B693">
        <v>26</v>
      </c>
      <c r="C693" t="str" cm="1">
        <f t="array" ref="C693">_xlfn.IFS(B693&lt;=18,"0-18",B693&lt;=35,"19-35",B693&lt;=50,"36-50",B693&lt;=65,"51-65","True","65+")</f>
        <v>19-35</v>
      </c>
      <c r="D693" t="s">
        <v>45</v>
      </c>
      <c r="E693" s="6">
        <v>45325</v>
      </c>
      <c r="F693" s="6">
        <v>45446</v>
      </c>
      <c r="G693">
        <v>4</v>
      </c>
      <c r="H693" t="s">
        <v>23</v>
      </c>
      <c r="I693">
        <v>2</v>
      </c>
      <c r="J693" t="s">
        <v>35</v>
      </c>
      <c r="K693">
        <v>9725</v>
      </c>
      <c r="L693" t="s">
        <v>53</v>
      </c>
      <c r="M693" t="s">
        <v>54</v>
      </c>
      <c r="N693" t="s">
        <v>41</v>
      </c>
      <c r="O693" s="2">
        <v>45350</v>
      </c>
      <c r="P693" s="2">
        <v>45351.416666666664</v>
      </c>
      <c r="Q693" s="38">
        <f t="shared" si="10"/>
        <v>1.4166666666642413</v>
      </c>
      <c r="R693" t="s">
        <v>55</v>
      </c>
      <c r="S693" t="s">
        <v>29</v>
      </c>
      <c r="T693" t="s">
        <v>43</v>
      </c>
      <c r="U693">
        <v>11</v>
      </c>
      <c r="V693">
        <v>8</v>
      </c>
      <c r="W693" s="18">
        <f>IFERROR(Table1[[#This Row],[Staff Hours Worked]]/Table1[[#This Row],[Staff Available Hours]],0)</f>
        <v>1.375</v>
      </c>
      <c r="X693" t="s">
        <v>31</v>
      </c>
    </row>
    <row r="694" spans="1:24">
      <c r="A694" t="s">
        <v>751</v>
      </c>
      <c r="B694">
        <v>63</v>
      </c>
      <c r="C694" t="str" cm="1">
        <f t="array" ref="C694">_xlfn.IFS(B694&lt;=18,"0-18",B694&lt;=35,"19-35",B694&lt;=50,"36-50",B694&lt;=65,"51-65","True","65+")</f>
        <v>51-65</v>
      </c>
      <c r="D694" t="s">
        <v>62</v>
      </c>
      <c r="E694" s="6">
        <v>45158</v>
      </c>
      <c r="F694" s="6">
        <v>45164</v>
      </c>
      <c r="G694">
        <v>6</v>
      </c>
      <c r="H694" t="s">
        <v>23</v>
      </c>
      <c r="I694">
        <v>3</v>
      </c>
      <c r="J694" t="s">
        <v>71</v>
      </c>
      <c r="K694">
        <v>48205</v>
      </c>
      <c r="L694" t="s">
        <v>36</v>
      </c>
      <c r="M694" t="s">
        <v>26</v>
      </c>
      <c r="N694" t="s">
        <v>41</v>
      </c>
      <c r="O694" s="2">
        <v>45157</v>
      </c>
      <c r="P694" s="2">
        <v>45157.041666666664</v>
      </c>
      <c r="Q694" s="38">
        <f t="shared" si="10"/>
        <v>4.1666666664241347E-2</v>
      </c>
      <c r="R694" t="s">
        <v>42</v>
      </c>
      <c r="S694" t="s">
        <v>29</v>
      </c>
      <c r="T694" t="s">
        <v>43</v>
      </c>
      <c r="U694">
        <v>5</v>
      </c>
      <c r="V694">
        <v>10</v>
      </c>
      <c r="W694" s="18">
        <f>IFERROR(Table1[[#This Row],[Staff Hours Worked]]/Table1[[#This Row],[Staff Available Hours]],0)</f>
        <v>0.5</v>
      </c>
      <c r="X694" t="s">
        <v>68</v>
      </c>
    </row>
    <row r="695" spans="1:24">
      <c r="A695" t="s">
        <v>752</v>
      </c>
      <c r="B695">
        <v>89</v>
      </c>
      <c r="C695" t="str" cm="1">
        <f t="array" ref="C695">_xlfn.IFS(B695&lt;=18,"0-18",B695&lt;=35,"19-35",B695&lt;=50,"36-50",B695&lt;=65,"51-65","True","65+")</f>
        <v>65+</v>
      </c>
      <c r="D695" t="s">
        <v>41</v>
      </c>
      <c r="E695" s="6">
        <v>45462</v>
      </c>
      <c r="F695" s="6">
        <v>45473</v>
      </c>
      <c r="G695">
        <v>11</v>
      </c>
      <c r="H695" t="s">
        <v>50</v>
      </c>
      <c r="I695">
        <v>3</v>
      </c>
      <c r="J695" t="s">
        <v>35</v>
      </c>
      <c r="K695">
        <v>25684</v>
      </c>
      <c r="L695" t="s">
        <v>67</v>
      </c>
      <c r="M695" t="s">
        <v>54</v>
      </c>
      <c r="N695" t="s">
        <v>27</v>
      </c>
      <c r="O695" s="2">
        <v>45461</v>
      </c>
      <c r="P695" s="2">
        <v>45462</v>
      </c>
      <c r="Q695" s="38">
        <f t="shared" si="10"/>
        <v>1</v>
      </c>
      <c r="R695" t="s">
        <v>37</v>
      </c>
      <c r="S695" t="s">
        <v>29</v>
      </c>
      <c r="T695" t="s">
        <v>47</v>
      </c>
      <c r="U695">
        <v>6</v>
      </c>
      <c r="V695">
        <v>12</v>
      </c>
      <c r="W695" s="18">
        <f>IFERROR(Table1[[#This Row],[Staff Hours Worked]]/Table1[[#This Row],[Staff Available Hours]],0)</f>
        <v>0.5</v>
      </c>
      <c r="X695" t="s">
        <v>68</v>
      </c>
    </row>
    <row r="696" spans="1:24">
      <c r="A696" t="s">
        <v>753</v>
      </c>
      <c r="B696">
        <v>86</v>
      </c>
      <c r="C696" t="str" cm="1">
        <f t="array" ref="C696">_xlfn.IFS(B696&lt;=18,"0-18",B696&lt;=35,"19-35",B696&lt;=50,"36-50",B696&lt;=65,"51-65","True","65+")</f>
        <v>65+</v>
      </c>
      <c r="D696" t="s">
        <v>52</v>
      </c>
      <c r="E696" s="6">
        <v>45316</v>
      </c>
      <c r="F696" s="6">
        <v>45384</v>
      </c>
      <c r="G696">
        <v>10</v>
      </c>
      <c r="H696" t="s">
        <v>40</v>
      </c>
      <c r="I696">
        <v>2</v>
      </c>
      <c r="J696" t="s">
        <v>35</v>
      </c>
      <c r="K696">
        <v>31325</v>
      </c>
      <c r="L696" t="s">
        <v>60</v>
      </c>
      <c r="M696" t="s">
        <v>54</v>
      </c>
      <c r="N696" t="s">
        <v>27</v>
      </c>
      <c r="O696" s="2">
        <v>45313</v>
      </c>
      <c r="P696" s="2">
        <v>45313.875</v>
      </c>
      <c r="Q696" s="38">
        <f t="shared" si="10"/>
        <v>0.875</v>
      </c>
      <c r="R696" t="s">
        <v>28</v>
      </c>
      <c r="S696" t="s">
        <v>29</v>
      </c>
      <c r="T696" t="s">
        <v>47</v>
      </c>
      <c r="U696">
        <v>11</v>
      </c>
      <c r="V696">
        <v>8</v>
      </c>
      <c r="W696" s="18">
        <f>IFERROR(Table1[[#This Row],[Staff Hours Worked]]/Table1[[#This Row],[Staff Available Hours]],0)</f>
        <v>1.375</v>
      </c>
      <c r="X696" t="s">
        <v>31</v>
      </c>
    </row>
    <row r="697" spans="1:24">
      <c r="A697" t="s">
        <v>754</v>
      </c>
      <c r="B697">
        <v>59</v>
      </c>
      <c r="C697" t="str" cm="1">
        <f t="array" ref="C697">_xlfn.IFS(B697&lt;=18,"0-18",B697&lt;=35,"19-35",B697&lt;=50,"36-50",B697&lt;=65,"51-65","True","65+")</f>
        <v>51-65</v>
      </c>
      <c r="D697" t="s">
        <v>33</v>
      </c>
      <c r="E697" s="6">
        <v>45447</v>
      </c>
      <c r="F697" s="6">
        <v>45396</v>
      </c>
      <c r="G697">
        <v>8</v>
      </c>
      <c r="H697" t="s">
        <v>34</v>
      </c>
      <c r="I697">
        <v>2</v>
      </c>
      <c r="J697" t="s">
        <v>35</v>
      </c>
      <c r="K697">
        <v>37542</v>
      </c>
      <c r="L697" t="s">
        <v>67</v>
      </c>
      <c r="M697" t="s">
        <v>54</v>
      </c>
      <c r="N697" t="s">
        <v>27</v>
      </c>
      <c r="O697" s="2">
        <v>45386</v>
      </c>
      <c r="P697" s="2">
        <v>45386.375</v>
      </c>
      <c r="Q697" s="38">
        <f t="shared" si="10"/>
        <v>0.375</v>
      </c>
      <c r="R697" t="s">
        <v>55</v>
      </c>
      <c r="S697" t="s">
        <v>29</v>
      </c>
      <c r="T697" t="s">
        <v>43</v>
      </c>
      <c r="U697">
        <v>4</v>
      </c>
      <c r="V697">
        <v>10</v>
      </c>
      <c r="W697" s="18">
        <f>IFERROR(Table1[[#This Row],[Staff Hours Worked]]/Table1[[#This Row],[Staff Available Hours]],0)</f>
        <v>0.4</v>
      </c>
      <c r="X697" t="s">
        <v>48</v>
      </c>
    </row>
    <row r="698" spans="1:24">
      <c r="A698" t="s">
        <v>755</v>
      </c>
      <c r="B698">
        <v>27</v>
      </c>
      <c r="C698" t="str" cm="1">
        <f t="array" ref="C698">_xlfn.IFS(B698&lt;=18,"0-18",B698&lt;=35,"19-35",B698&lt;=50,"36-50",B698&lt;=65,"51-65","True","65+")</f>
        <v>19-35</v>
      </c>
      <c r="D698" t="s">
        <v>62</v>
      </c>
      <c r="E698" s="6">
        <v>45380</v>
      </c>
      <c r="F698" s="6">
        <v>45447</v>
      </c>
      <c r="G698">
        <v>8</v>
      </c>
      <c r="H698" t="s">
        <v>40</v>
      </c>
      <c r="I698">
        <v>5</v>
      </c>
      <c r="J698" t="s">
        <v>24</v>
      </c>
      <c r="K698">
        <v>18092</v>
      </c>
      <c r="L698" t="s">
        <v>53</v>
      </c>
      <c r="M698" t="s">
        <v>54</v>
      </c>
      <c r="N698" t="s">
        <v>27</v>
      </c>
      <c r="O698" s="2">
        <v>45379</v>
      </c>
      <c r="P698" s="2">
        <v>45380.041666666664</v>
      </c>
      <c r="Q698" s="38">
        <f t="shared" si="10"/>
        <v>1.0416666666642413</v>
      </c>
      <c r="R698" t="s">
        <v>37</v>
      </c>
      <c r="S698" t="s">
        <v>29</v>
      </c>
      <c r="T698" t="s">
        <v>43</v>
      </c>
      <c r="U698">
        <v>5</v>
      </c>
      <c r="V698">
        <v>10</v>
      </c>
      <c r="W698" s="18">
        <f>IFERROR(Table1[[#This Row],[Staff Hours Worked]]/Table1[[#This Row],[Staff Available Hours]],0)</f>
        <v>0.5</v>
      </c>
      <c r="X698" t="s">
        <v>31</v>
      </c>
    </row>
    <row r="699" spans="1:24">
      <c r="A699" t="s">
        <v>756</v>
      </c>
      <c r="B699">
        <v>49</v>
      </c>
      <c r="C699" t="str" cm="1">
        <f t="array" ref="C699">_xlfn.IFS(B699&lt;=18,"0-18",B699&lt;=35,"19-35",B699&lt;=50,"36-50",B699&lt;=65,"51-65","True","65+")</f>
        <v>36-50</v>
      </c>
      <c r="D699" t="s">
        <v>22</v>
      </c>
      <c r="E699" s="6">
        <v>44937</v>
      </c>
      <c r="F699" s="6">
        <v>45244</v>
      </c>
      <c r="G699">
        <v>13</v>
      </c>
      <c r="H699" t="s">
        <v>23</v>
      </c>
      <c r="I699">
        <v>4</v>
      </c>
      <c r="J699" t="s">
        <v>46</v>
      </c>
      <c r="K699">
        <v>35382</v>
      </c>
      <c r="L699" t="s">
        <v>36</v>
      </c>
      <c r="M699" t="s">
        <v>26</v>
      </c>
      <c r="N699" t="s">
        <v>27</v>
      </c>
      <c r="O699" s="2">
        <v>45229</v>
      </c>
      <c r="P699" s="2">
        <v>45230.541666666664</v>
      </c>
      <c r="Q699" s="38">
        <f t="shared" si="10"/>
        <v>1.5416666666642413</v>
      </c>
      <c r="R699" t="s">
        <v>37</v>
      </c>
      <c r="S699" t="s">
        <v>29</v>
      </c>
      <c r="T699" t="s">
        <v>43</v>
      </c>
      <c r="U699">
        <v>6</v>
      </c>
      <c r="V699">
        <v>8</v>
      </c>
      <c r="W699" s="18">
        <f>IFERROR(Table1[[#This Row],[Staff Hours Worked]]/Table1[[#This Row],[Staff Available Hours]],0)</f>
        <v>0.75</v>
      </c>
      <c r="X699" t="s">
        <v>68</v>
      </c>
    </row>
    <row r="700" spans="1:24">
      <c r="A700" t="s">
        <v>757</v>
      </c>
      <c r="B700">
        <v>77</v>
      </c>
      <c r="C700" t="str" cm="1">
        <f t="array" ref="C700">_xlfn.IFS(B700&lt;=18,"0-18",B700&lt;=35,"19-35",B700&lt;=50,"36-50",B700&lt;=65,"51-65","True","65+")</f>
        <v>65+</v>
      </c>
      <c r="D700" t="s">
        <v>41</v>
      </c>
      <c r="E700" s="6">
        <v>45366</v>
      </c>
      <c r="F700" s="6">
        <v>45371</v>
      </c>
      <c r="G700">
        <v>5</v>
      </c>
      <c r="H700" t="s">
        <v>23</v>
      </c>
      <c r="I700">
        <v>1</v>
      </c>
      <c r="J700" t="s">
        <v>24</v>
      </c>
      <c r="K700">
        <v>44770</v>
      </c>
      <c r="L700" t="s">
        <v>53</v>
      </c>
      <c r="M700" t="s">
        <v>54</v>
      </c>
      <c r="N700" t="s">
        <v>27</v>
      </c>
      <c r="O700" s="2">
        <v>45365</v>
      </c>
      <c r="P700" s="2">
        <v>45366.125</v>
      </c>
      <c r="Q700" s="38">
        <f t="shared" si="10"/>
        <v>1.125</v>
      </c>
      <c r="R700" t="s">
        <v>42</v>
      </c>
      <c r="S700" t="s">
        <v>29</v>
      </c>
      <c r="T700" t="s">
        <v>43</v>
      </c>
      <c r="U700">
        <v>4</v>
      </c>
      <c r="V700">
        <v>12</v>
      </c>
      <c r="W700" s="18">
        <f>IFERROR(Table1[[#This Row],[Staff Hours Worked]]/Table1[[#This Row],[Staff Available Hours]],0)</f>
        <v>0.33333333333333331</v>
      </c>
      <c r="X700" t="s">
        <v>31</v>
      </c>
    </row>
    <row r="701" spans="1:24">
      <c r="A701" t="s">
        <v>758</v>
      </c>
      <c r="B701">
        <v>33</v>
      </c>
      <c r="C701" t="str" cm="1">
        <f t="array" ref="C701">_xlfn.IFS(B701&lt;=18,"0-18",B701&lt;=35,"19-35",B701&lt;=50,"36-50",B701&lt;=65,"51-65","True","65+")</f>
        <v>19-35</v>
      </c>
      <c r="D701" t="s">
        <v>52</v>
      </c>
      <c r="E701" s="6">
        <v>45180</v>
      </c>
      <c r="F701" s="6">
        <v>45252</v>
      </c>
      <c r="G701">
        <v>13</v>
      </c>
      <c r="H701" t="s">
        <v>63</v>
      </c>
      <c r="I701">
        <v>1</v>
      </c>
      <c r="J701" t="s">
        <v>24</v>
      </c>
      <c r="K701">
        <v>30457</v>
      </c>
      <c r="L701" t="s">
        <v>67</v>
      </c>
      <c r="M701" t="s">
        <v>54</v>
      </c>
      <c r="N701" t="s">
        <v>27</v>
      </c>
      <c r="O701" s="2">
        <v>45027</v>
      </c>
      <c r="P701" s="2">
        <v>45057</v>
      </c>
      <c r="Q701" s="38">
        <f t="shared" si="10"/>
        <v>30</v>
      </c>
      <c r="R701" t="s">
        <v>28</v>
      </c>
      <c r="S701" t="s">
        <v>29</v>
      </c>
      <c r="T701" t="s">
        <v>30</v>
      </c>
      <c r="U701">
        <v>7</v>
      </c>
      <c r="V701">
        <v>10</v>
      </c>
      <c r="W701" s="18">
        <f>IFERROR(Table1[[#This Row],[Staff Hours Worked]]/Table1[[#This Row],[Staff Available Hours]],0)</f>
        <v>0.7</v>
      </c>
      <c r="X701" t="s">
        <v>68</v>
      </c>
    </row>
    <row r="702" spans="1:24">
      <c r="A702" t="s">
        <v>759</v>
      </c>
      <c r="B702">
        <v>1</v>
      </c>
      <c r="C702" t="str" cm="1">
        <f t="array" ref="C702">_xlfn.IFS(B702&lt;=18,"0-18",B702&lt;=35,"19-35",B702&lt;=50,"36-50",B702&lt;=65,"51-65","True","65+")</f>
        <v>0-18</v>
      </c>
      <c r="D702" t="s">
        <v>45</v>
      </c>
      <c r="E702" s="6">
        <v>44988</v>
      </c>
      <c r="F702" s="6">
        <v>45202</v>
      </c>
      <c r="G702">
        <v>7</v>
      </c>
      <c r="H702" t="s">
        <v>50</v>
      </c>
      <c r="I702">
        <v>3</v>
      </c>
      <c r="J702" t="s">
        <v>35</v>
      </c>
      <c r="K702">
        <v>11131</v>
      </c>
      <c r="L702" t="s">
        <v>36</v>
      </c>
      <c r="M702" t="s">
        <v>54</v>
      </c>
      <c r="N702" t="s">
        <v>27</v>
      </c>
      <c r="O702" s="2">
        <v>44988</v>
      </c>
      <c r="P702" s="2">
        <v>45019.458333333336</v>
      </c>
      <c r="Q702" s="38">
        <f t="shared" si="10"/>
        <v>31.458333333335759</v>
      </c>
      <c r="R702" t="s">
        <v>64</v>
      </c>
      <c r="S702" t="s">
        <v>29</v>
      </c>
      <c r="T702" t="s">
        <v>30</v>
      </c>
      <c r="U702">
        <v>10</v>
      </c>
      <c r="V702">
        <v>10</v>
      </c>
      <c r="W702" s="18">
        <f>IFERROR(Table1[[#This Row],[Staff Hours Worked]]/Table1[[#This Row],[Staff Available Hours]],0)</f>
        <v>1</v>
      </c>
      <c r="X702" t="s">
        <v>68</v>
      </c>
    </row>
    <row r="703" spans="1:24">
      <c r="A703" t="s">
        <v>760</v>
      </c>
      <c r="B703">
        <v>21</v>
      </c>
      <c r="C703" t="str" cm="1">
        <f t="array" ref="C703">_xlfn.IFS(B703&lt;=18,"0-18",B703&lt;=35,"19-35",B703&lt;=50,"36-50",B703&lt;=65,"51-65","True","65+")</f>
        <v>19-35</v>
      </c>
      <c r="D703" t="s">
        <v>52</v>
      </c>
      <c r="E703" s="6">
        <v>45264</v>
      </c>
      <c r="F703" s="6">
        <v>45037</v>
      </c>
      <c r="G703">
        <v>9</v>
      </c>
      <c r="H703" t="s">
        <v>63</v>
      </c>
      <c r="I703">
        <v>5</v>
      </c>
      <c r="J703" t="s">
        <v>24</v>
      </c>
      <c r="K703">
        <v>30215</v>
      </c>
      <c r="L703" t="s">
        <v>36</v>
      </c>
      <c r="M703" t="s">
        <v>54</v>
      </c>
      <c r="N703" t="s">
        <v>27</v>
      </c>
      <c r="O703" s="2">
        <v>45264</v>
      </c>
      <c r="P703" s="2">
        <v>45029.833333333336</v>
      </c>
      <c r="Q703" s="38">
        <f t="shared" si="10"/>
        <v>234.16666666666424</v>
      </c>
      <c r="R703" t="s">
        <v>37</v>
      </c>
      <c r="S703" t="s">
        <v>29</v>
      </c>
      <c r="T703" t="s">
        <v>30</v>
      </c>
      <c r="U703">
        <v>10</v>
      </c>
      <c r="V703">
        <v>10</v>
      </c>
      <c r="W703" s="18">
        <f>IFERROR(Table1[[#This Row],[Staff Hours Worked]]/Table1[[#This Row],[Staff Available Hours]],0)</f>
        <v>1</v>
      </c>
      <c r="X703" t="s">
        <v>31</v>
      </c>
    </row>
    <row r="704" spans="1:24">
      <c r="A704" t="s">
        <v>761</v>
      </c>
      <c r="B704">
        <v>55</v>
      </c>
      <c r="C704" t="str" cm="1">
        <f t="array" ref="C704">_xlfn.IFS(B704&lt;=18,"0-18",B704&lt;=35,"19-35",B704&lt;=50,"36-50",B704&lt;=65,"51-65","True","65+")</f>
        <v>51-65</v>
      </c>
      <c r="D704" t="s">
        <v>22</v>
      </c>
      <c r="E704" s="6">
        <v>44934</v>
      </c>
      <c r="F704" s="6">
        <v>45207</v>
      </c>
      <c r="G704">
        <v>9</v>
      </c>
      <c r="H704" t="s">
        <v>63</v>
      </c>
      <c r="I704">
        <v>3</v>
      </c>
      <c r="J704" t="s">
        <v>35</v>
      </c>
      <c r="K704">
        <v>17612</v>
      </c>
      <c r="L704" t="s">
        <v>53</v>
      </c>
      <c r="M704" t="s">
        <v>54</v>
      </c>
      <c r="N704" t="s">
        <v>41</v>
      </c>
      <c r="O704" s="2">
        <v>45134</v>
      </c>
      <c r="P704" s="2">
        <v>45134.5</v>
      </c>
      <c r="Q704" s="38">
        <f t="shared" si="10"/>
        <v>0.5</v>
      </c>
      <c r="R704" t="s">
        <v>55</v>
      </c>
      <c r="S704" t="s">
        <v>29</v>
      </c>
      <c r="T704" t="s">
        <v>47</v>
      </c>
      <c r="U704">
        <v>8</v>
      </c>
      <c r="V704">
        <v>10</v>
      </c>
      <c r="W704" s="18">
        <f>IFERROR(Table1[[#This Row],[Staff Hours Worked]]/Table1[[#This Row],[Staff Available Hours]],0)</f>
        <v>0.8</v>
      </c>
      <c r="X704" t="s">
        <v>68</v>
      </c>
    </row>
    <row r="705" spans="1:24">
      <c r="A705" t="s">
        <v>762</v>
      </c>
      <c r="B705">
        <v>6</v>
      </c>
      <c r="C705" t="str" cm="1">
        <f t="array" ref="C705">_xlfn.IFS(B705&lt;=18,"0-18",B705&lt;=35,"19-35",B705&lt;=50,"36-50",B705&lt;=65,"51-65","True","65+")</f>
        <v>0-18</v>
      </c>
      <c r="D705" t="s">
        <v>33</v>
      </c>
      <c r="E705" s="6">
        <v>45054</v>
      </c>
      <c r="F705" s="6">
        <v>45268</v>
      </c>
      <c r="G705">
        <v>7</v>
      </c>
      <c r="H705" t="s">
        <v>63</v>
      </c>
      <c r="I705">
        <v>1</v>
      </c>
      <c r="J705" t="s">
        <v>46</v>
      </c>
      <c r="K705">
        <v>42305</v>
      </c>
      <c r="L705" t="s">
        <v>60</v>
      </c>
      <c r="M705" t="s">
        <v>54</v>
      </c>
      <c r="N705" t="s">
        <v>41</v>
      </c>
      <c r="O705" s="2">
        <v>44965</v>
      </c>
      <c r="P705" s="2">
        <v>44993.291666666664</v>
      </c>
      <c r="Q705" s="38">
        <f t="shared" si="10"/>
        <v>28.291666666664241</v>
      </c>
      <c r="R705" t="s">
        <v>42</v>
      </c>
      <c r="S705" t="s">
        <v>29</v>
      </c>
      <c r="T705" t="s">
        <v>43</v>
      </c>
      <c r="U705">
        <v>6</v>
      </c>
      <c r="V705">
        <v>12</v>
      </c>
      <c r="W705" s="18">
        <f>IFERROR(Table1[[#This Row],[Staff Hours Worked]]/Table1[[#This Row],[Staff Available Hours]],0)</f>
        <v>0.5</v>
      </c>
      <c r="X705" t="s">
        <v>48</v>
      </c>
    </row>
    <row r="706" spans="1:24">
      <c r="A706" t="s">
        <v>763</v>
      </c>
      <c r="B706">
        <v>81</v>
      </c>
      <c r="C706" t="str" cm="1">
        <f t="array" ref="C706">_xlfn.IFS(B706&lt;=18,"0-18",B706&lt;=35,"19-35",B706&lt;=50,"36-50",B706&lt;=65,"51-65","True","65+")</f>
        <v>65+</v>
      </c>
      <c r="D706" t="s">
        <v>33</v>
      </c>
      <c r="E706" s="6">
        <v>45197</v>
      </c>
      <c r="F706" s="6">
        <v>44936</v>
      </c>
      <c r="G706">
        <v>3</v>
      </c>
      <c r="H706" t="s">
        <v>50</v>
      </c>
      <c r="I706">
        <v>2</v>
      </c>
      <c r="J706" t="s">
        <v>71</v>
      </c>
      <c r="K706">
        <v>18091</v>
      </c>
      <c r="L706" t="s">
        <v>67</v>
      </c>
      <c r="M706" t="s">
        <v>26</v>
      </c>
      <c r="N706" t="s">
        <v>27</v>
      </c>
      <c r="O706" s="2">
        <v>45193</v>
      </c>
      <c r="P706" s="2">
        <v>45193.208333333336</v>
      </c>
      <c r="Q706" s="38">
        <f t="shared" ref="Q706:Q769" si="11">IF(OR(O706="",P706=""),"",ABS(P706-O706))</f>
        <v>0.20833333333575865</v>
      </c>
      <c r="R706" t="s">
        <v>42</v>
      </c>
      <c r="S706" t="s">
        <v>38</v>
      </c>
      <c r="T706" t="s">
        <v>30</v>
      </c>
      <c r="U706">
        <v>4</v>
      </c>
      <c r="V706">
        <v>8</v>
      </c>
      <c r="W706" s="18">
        <f>IFERROR(Table1[[#This Row],[Staff Hours Worked]]/Table1[[#This Row],[Staff Available Hours]],0)</f>
        <v>0.5</v>
      </c>
      <c r="X706" t="s">
        <v>68</v>
      </c>
    </row>
    <row r="707" spans="1:24">
      <c r="A707" t="s">
        <v>764</v>
      </c>
      <c r="B707">
        <v>69</v>
      </c>
      <c r="C707" t="str" cm="1">
        <f t="array" ref="C707">_xlfn.IFS(B707&lt;=18,"0-18",B707&lt;=35,"19-35",B707&lt;=50,"36-50",B707&lt;=65,"51-65","True","65+")</f>
        <v>65+</v>
      </c>
      <c r="D707" t="s">
        <v>41</v>
      </c>
      <c r="E707" s="6">
        <v>45010</v>
      </c>
      <c r="F707" s="6">
        <v>45142</v>
      </c>
      <c r="G707">
        <v>14</v>
      </c>
      <c r="H707" t="s">
        <v>50</v>
      </c>
      <c r="I707">
        <v>4</v>
      </c>
      <c r="J707" t="s">
        <v>35</v>
      </c>
      <c r="K707">
        <v>40103</v>
      </c>
      <c r="L707" t="s">
        <v>25</v>
      </c>
      <c r="M707" t="s">
        <v>54</v>
      </c>
      <c r="N707" t="s">
        <v>41</v>
      </c>
      <c r="O707" s="2">
        <v>45010</v>
      </c>
      <c r="P707" s="2">
        <v>45010.083333333336</v>
      </c>
      <c r="Q707" s="38">
        <f t="shared" si="11"/>
        <v>8.3333333335758653E-2</v>
      </c>
      <c r="R707" t="s">
        <v>37</v>
      </c>
      <c r="S707" t="s">
        <v>29</v>
      </c>
      <c r="T707" t="s">
        <v>43</v>
      </c>
      <c r="U707">
        <v>11</v>
      </c>
      <c r="V707">
        <v>8</v>
      </c>
      <c r="W707" s="18">
        <f>IFERROR(Table1[[#This Row],[Staff Hours Worked]]/Table1[[#This Row],[Staff Available Hours]],0)</f>
        <v>1.375</v>
      </c>
      <c r="X707" t="s">
        <v>31</v>
      </c>
    </row>
    <row r="708" spans="1:24">
      <c r="A708" t="s">
        <v>765</v>
      </c>
      <c r="B708">
        <v>5</v>
      </c>
      <c r="C708" t="str" cm="1">
        <f t="array" ref="C708">_xlfn.IFS(B708&lt;=18,"0-18",B708&lt;=35,"19-35",B708&lt;=50,"36-50",B708&lt;=65,"51-65","True","65+")</f>
        <v>0-18</v>
      </c>
      <c r="D708" t="s">
        <v>33</v>
      </c>
      <c r="E708" s="6">
        <v>45205</v>
      </c>
      <c r="F708" s="6">
        <v>45091</v>
      </c>
      <c r="G708">
        <v>4</v>
      </c>
      <c r="H708" t="s">
        <v>57</v>
      </c>
      <c r="I708">
        <v>5</v>
      </c>
      <c r="J708" t="s">
        <v>46</v>
      </c>
      <c r="K708">
        <v>42089</v>
      </c>
      <c r="L708" t="s">
        <v>25</v>
      </c>
      <c r="M708" t="s">
        <v>54</v>
      </c>
      <c r="N708" t="s">
        <v>27</v>
      </c>
      <c r="O708" s="2">
        <v>45175</v>
      </c>
      <c r="P708" s="2">
        <v>45205.583333333336</v>
      </c>
      <c r="Q708" s="38">
        <f t="shared" si="11"/>
        <v>30.583333333335759</v>
      </c>
      <c r="R708" t="s">
        <v>37</v>
      </c>
      <c r="S708" t="s">
        <v>29</v>
      </c>
      <c r="T708" t="s">
        <v>43</v>
      </c>
      <c r="U708">
        <v>5</v>
      </c>
      <c r="V708">
        <v>8</v>
      </c>
      <c r="W708" s="18">
        <f>IFERROR(Table1[[#This Row],[Staff Hours Worked]]/Table1[[#This Row],[Staff Available Hours]],0)</f>
        <v>0.625</v>
      </c>
      <c r="X708" t="s">
        <v>48</v>
      </c>
    </row>
    <row r="709" spans="1:24">
      <c r="A709" t="s">
        <v>766</v>
      </c>
      <c r="B709">
        <v>3</v>
      </c>
      <c r="C709" t="str" cm="1">
        <f t="array" ref="C709">_xlfn.IFS(B709&lt;=18,"0-18",B709&lt;=35,"19-35",B709&lt;=50,"36-50",B709&lt;=65,"51-65","True","65+")</f>
        <v>0-18</v>
      </c>
      <c r="D709" t="s">
        <v>41</v>
      </c>
      <c r="E709" s="6">
        <v>44994</v>
      </c>
      <c r="F709" s="6">
        <v>45185</v>
      </c>
      <c r="G709">
        <v>13</v>
      </c>
      <c r="H709" t="s">
        <v>40</v>
      </c>
      <c r="I709">
        <v>2</v>
      </c>
      <c r="J709" t="s">
        <v>71</v>
      </c>
      <c r="K709">
        <v>34759</v>
      </c>
      <c r="L709" t="s">
        <v>53</v>
      </c>
      <c r="M709" t="s">
        <v>54</v>
      </c>
      <c r="N709" t="s">
        <v>27</v>
      </c>
      <c r="O709" s="2">
        <v>44966</v>
      </c>
      <c r="P709" s="2">
        <v>44966.208333333336</v>
      </c>
      <c r="Q709" s="38">
        <f t="shared" si="11"/>
        <v>0.20833333333575865</v>
      </c>
      <c r="R709" t="s">
        <v>37</v>
      </c>
      <c r="S709" t="s">
        <v>29</v>
      </c>
      <c r="T709" t="s">
        <v>47</v>
      </c>
      <c r="U709">
        <v>4</v>
      </c>
      <c r="V709">
        <v>10</v>
      </c>
      <c r="W709" s="18">
        <f>IFERROR(Table1[[#This Row],[Staff Hours Worked]]/Table1[[#This Row],[Staff Available Hours]],0)</f>
        <v>0.4</v>
      </c>
      <c r="X709" t="s">
        <v>48</v>
      </c>
    </row>
    <row r="710" spans="1:24">
      <c r="A710" t="s">
        <v>767</v>
      </c>
      <c r="B710">
        <v>53</v>
      </c>
      <c r="C710" t="str" cm="1">
        <f t="array" ref="C710">_xlfn.IFS(B710&lt;=18,"0-18",B710&lt;=35,"19-35",B710&lt;=50,"36-50",B710&lt;=65,"51-65","True","65+")</f>
        <v>51-65</v>
      </c>
      <c r="D710" t="s">
        <v>41</v>
      </c>
      <c r="E710" s="6">
        <v>45104</v>
      </c>
      <c r="F710" s="6">
        <v>45114</v>
      </c>
      <c r="G710">
        <v>10</v>
      </c>
      <c r="H710" t="s">
        <v>40</v>
      </c>
      <c r="I710">
        <v>4</v>
      </c>
      <c r="J710" t="s">
        <v>66</v>
      </c>
      <c r="K710">
        <v>5559</v>
      </c>
      <c r="L710" t="s">
        <v>67</v>
      </c>
      <c r="M710" t="s">
        <v>26</v>
      </c>
      <c r="N710" t="s">
        <v>27</v>
      </c>
      <c r="O710" s="2">
        <v>45104</v>
      </c>
      <c r="P710" s="2">
        <v>45104.041666666664</v>
      </c>
      <c r="Q710" s="38">
        <f t="shared" si="11"/>
        <v>4.1666666664241347E-2</v>
      </c>
      <c r="R710" t="s">
        <v>64</v>
      </c>
      <c r="S710" t="s">
        <v>29</v>
      </c>
      <c r="T710" t="s">
        <v>47</v>
      </c>
      <c r="U710">
        <v>5</v>
      </c>
      <c r="V710">
        <v>12</v>
      </c>
      <c r="W710" s="18">
        <f>IFERROR(Table1[[#This Row],[Staff Hours Worked]]/Table1[[#This Row],[Staff Available Hours]],0)</f>
        <v>0.41666666666666669</v>
      </c>
      <c r="X710" t="s">
        <v>68</v>
      </c>
    </row>
    <row r="711" spans="1:24">
      <c r="A711" t="s">
        <v>768</v>
      </c>
      <c r="B711">
        <v>23</v>
      </c>
      <c r="C711" t="str" cm="1">
        <f t="array" ref="C711">_xlfn.IFS(B711&lt;=18,"0-18",B711&lt;=35,"19-35",B711&lt;=50,"36-50",B711&lt;=65,"51-65","True","65+")</f>
        <v>19-35</v>
      </c>
      <c r="D711" t="s">
        <v>41</v>
      </c>
      <c r="E711" s="6">
        <v>45003</v>
      </c>
      <c r="F711" s="6">
        <v>45006</v>
      </c>
      <c r="G711">
        <v>3</v>
      </c>
      <c r="H711" t="s">
        <v>57</v>
      </c>
      <c r="I711">
        <v>5</v>
      </c>
      <c r="J711" t="s">
        <v>35</v>
      </c>
      <c r="K711">
        <v>5713</v>
      </c>
      <c r="L711" t="s">
        <v>67</v>
      </c>
      <c r="M711" t="s">
        <v>54</v>
      </c>
      <c r="N711" t="s">
        <v>27</v>
      </c>
      <c r="O711" s="2">
        <v>45003</v>
      </c>
      <c r="P711" s="2">
        <v>45003.708333333336</v>
      </c>
      <c r="Q711" s="38">
        <f t="shared" si="11"/>
        <v>0.70833333333575865</v>
      </c>
      <c r="R711" t="s">
        <v>37</v>
      </c>
      <c r="S711" t="s">
        <v>29</v>
      </c>
      <c r="T711" t="s">
        <v>30</v>
      </c>
      <c r="U711">
        <v>10</v>
      </c>
      <c r="V711">
        <v>8</v>
      </c>
      <c r="W711" s="18">
        <f>IFERROR(Table1[[#This Row],[Staff Hours Worked]]/Table1[[#This Row],[Staff Available Hours]],0)</f>
        <v>1.25</v>
      </c>
      <c r="X711" t="s">
        <v>31</v>
      </c>
    </row>
    <row r="712" spans="1:24">
      <c r="A712" t="s">
        <v>769</v>
      </c>
      <c r="B712">
        <v>53</v>
      </c>
      <c r="C712" t="str" cm="1">
        <f t="array" ref="C712">_xlfn.IFS(B712&lt;=18,"0-18",B712&lt;=35,"19-35",B712&lt;=50,"36-50",B712&lt;=65,"51-65","True","65+")</f>
        <v>51-65</v>
      </c>
      <c r="D712" t="s">
        <v>45</v>
      </c>
      <c r="E712" s="6">
        <v>45205</v>
      </c>
      <c r="F712" s="6">
        <v>45101</v>
      </c>
      <c r="G712">
        <v>14</v>
      </c>
      <c r="H712" t="s">
        <v>57</v>
      </c>
      <c r="I712">
        <v>5</v>
      </c>
      <c r="J712" t="s">
        <v>35</v>
      </c>
      <c r="K712">
        <v>42361</v>
      </c>
      <c r="L712" t="s">
        <v>53</v>
      </c>
      <c r="M712" t="s">
        <v>26</v>
      </c>
      <c r="N712" t="s">
        <v>41</v>
      </c>
      <c r="O712" s="2">
        <v>45083</v>
      </c>
      <c r="P712" s="2">
        <v>45083.583333333336</v>
      </c>
      <c r="Q712" s="38">
        <f t="shared" si="11"/>
        <v>0.58333333333575865</v>
      </c>
      <c r="R712" t="s">
        <v>28</v>
      </c>
      <c r="S712" t="s">
        <v>29</v>
      </c>
      <c r="T712" t="s">
        <v>30</v>
      </c>
      <c r="U712">
        <v>8</v>
      </c>
      <c r="V712">
        <v>12</v>
      </c>
      <c r="W712" s="18">
        <f>IFERROR(Table1[[#This Row],[Staff Hours Worked]]/Table1[[#This Row],[Staff Available Hours]],0)</f>
        <v>0.66666666666666663</v>
      </c>
      <c r="X712" t="s">
        <v>68</v>
      </c>
    </row>
    <row r="713" spans="1:24">
      <c r="A713" t="s">
        <v>770</v>
      </c>
      <c r="B713">
        <v>37</v>
      </c>
      <c r="C713" t="str" cm="1">
        <f t="array" ref="C713">_xlfn.IFS(B713&lt;=18,"0-18",B713&lt;=35,"19-35",B713&lt;=50,"36-50",B713&lt;=65,"51-65","True","65+")</f>
        <v>36-50</v>
      </c>
      <c r="D713" t="s">
        <v>62</v>
      </c>
      <c r="E713" s="6">
        <v>44986</v>
      </c>
      <c r="F713" s="6">
        <v>45139</v>
      </c>
      <c r="G713">
        <v>5</v>
      </c>
      <c r="H713" t="s">
        <v>23</v>
      </c>
      <c r="I713">
        <v>1</v>
      </c>
      <c r="J713" t="s">
        <v>66</v>
      </c>
      <c r="K713">
        <v>20184</v>
      </c>
      <c r="L713" t="s">
        <v>67</v>
      </c>
      <c r="M713" t="s">
        <v>54</v>
      </c>
      <c r="N713" t="s">
        <v>27</v>
      </c>
      <c r="O713" s="2">
        <v>44986</v>
      </c>
      <c r="P713" s="2">
        <v>44986.125</v>
      </c>
      <c r="Q713" s="38">
        <f t="shared" si="11"/>
        <v>0.125</v>
      </c>
      <c r="R713" t="s">
        <v>55</v>
      </c>
      <c r="S713" t="s">
        <v>29</v>
      </c>
      <c r="T713" t="s">
        <v>47</v>
      </c>
      <c r="U713">
        <v>11</v>
      </c>
      <c r="V713">
        <v>8</v>
      </c>
      <c r="W713" s="18">
        <f>IFERROR(Table1[[#This Row],[Staff Hours Worked]]/Table1[[#This Row],[Staff Available Hours]],0)</f>
        <v>1.375</v>
      </c>
      <c r="X713" t="s">
        <v>68</v>
      </c>
    </row>
    <row r="714" spans="1:24">
      <c r="A714" t="s">
        <v>771</v>
      </c>
      <c r="B714">
        <v>74</v>
      </c>
      <c r="C714" t="str" cm="1">
        <f t="array" ref="C714">_xlfn.IFS(B714&lt;=18,"0-18",B714&lt;=35,"19-35",B714&lt;=50,"36-50",B714&lt;=65,"51-65","True","65+")</f>
        <v>65+</v>
      </c>
      <c r="D714" t="s">
        <v>41</v>
      </c>
      <c r="E714" s="6">
        <v>45345</v>
      </c>
      <c r="F714" s="6">
        <v>45346</v>
      </c>
      <c r="G714">
        <v>1</v>
      </c>
      <c r="H714" t="s">
        <v>63</v>
      </c>
      <c r="I714">
        <v>2</v>
      </c>
      <c r="J714" t="s">
        <v>66</v>
      </c>
      <c r="K714">
        <v>20261</v>
      </c>
      <c r="L714" t="s">
        <v>60</v>
      </c>
      <c r="M714" t="s">
        <v>26</v>
      </c>
      <c r="N714" t="s">
        <v>27</v>
      </c>
      <c r="O714" s="2">
        <v>45342</v>
      </c>
      <c r="P714" s="2">
        <v>45342.166666666664</v>
      </c>
      <c r="Q714" s="38">
        <f t="shared" si="11"/>
        <v>0.16666666666424135</v>
      </c>
      <c r="R714" t="s">
        <v>37</v>
      </c>
      <c r="S714" t="s">
        <v>29</v>
      </c>
      <c r="T714" t="s">
        <v>47</v>
      </c>
      <c r="U714">
        <v>8</v>
      </c>
      <c r="V714">
        <v>10</v>
      </c>
      <c r="W714" s="18">
        <f>IFERROR(Table1[[#This Row],[Staff Hours Worked]]/Table1[[#This Row],[Staff Available Hours]],0)</f>
        <v>0.8</v>
      </c>
      <c r="X714" t="s">
        <v>31</v>
      </c>
    </row>
    <row r="715" spans="1:24">
      <c r="A715" t="s">
        <v>772</v>
      </c>
      <c r="B715">
        <v>74</v>
      </c>
      <c r="C715" t="str" cm="1">
        <f t="array" ref="C715">_xlfn.IFS(B715&lt;=18,"0-18",B715&lt;=35,"19-35",B715&lt;=50,"36-50",B715&lt;=65,"51-65","True","65+")</f>
        <v>65+</v>
      </c>
      <c r="D715" t="s">
        <v>41</v>
      </c>
      <c r="E715" s="6">
        <v>45447</v>
      </c>
      <c r="F715" s="6">
        <v>45399</v>
      </c>
      <c r="G715">
        <v>11</v>
      </c>
      <c r="H715" t="s">
        <v>57</v>
      </c>
      <c r="I715">
        <v>5</v>
      </c>
      <c r="J715" t="s">
        <v>35</v>
      </c>
      <c r="K715">
        <v>25372</v>
      </c>
      <c r="L715" t="s">
        <v>53</v>
      </c>
      <c r="M715" t="s">
        <v>54</v>
      </c>
      <c r="N715" t="s">
        <v>27</v>
      </c>
      <c r="O715" s="2">
        <v>45326</v>
      </c>
      <c r="P715" s="2">
        <v>45355.083333333336</v>
      </c>
      <c r="Q715" s="38">
        <f t="shared" si="11"/>
        <v>29.083333333335759</v>
      </c>
      <c r="R715" t="s">
        <v>64</v>
      </c>
      <c r="S715" t="s">
        <v>29</v>
      </c>
      <c r="T715" t="s">
        <v>43</v>
      </c>
      <c r="U715">
        <v>4</v>
      </c>
      <c r="V715">
        <v>8</v>
      </c>
      <c r="W715" s="18">
        <f>IFERROR(Table1[[#This Row],[Staff Hours Worked]]/Table1[[#This Row],[Staff Available Hours]],0)</f>
        <v>0.5</v>
      </c>
      <c r="X715" t="s">
        <v>31</v>
      </c>
    </row>
    <row r="716" spans="1:24">
      <c r="A716" t="s">
        <v>773</v>
      </c>
      <c r="B716">
        <v>83</v>
      </c>
      <c r="C716" t="str" cm="1">
        <f t="array" ref="C716">_xlfn.IFS(B716&lt;=18,"0-18",B716&lt;=35,"19-35",B716&lt;=50,"36-50",B716&lt;=65,"51-65","True","65+")</f>
        <v>65+</v>
      </c>
      <c r="D716" t="s">
        <v>62</v>
      </c>
      <c r="E716" s="6">
        <v>45408</v>
      </c>
      <c r="F716" s="6">
        <v>45387</v>
      </c>
      <c r="G716">
        <v>8</v>
      </c>
      <c r="H716" t="s">
        <v>34</v>
      </c>
      <c r="I716">
        <v>5</v>
      </c>
      <c r="J716" t="s">
        <v>66</v>
      </c>
      <c r="K716">
        <v>37140</v>
      </c>
      <c r="L716" t="s">
        <v>60</v>
      </c>
      <c r="M716" t="s">
        <v>26</v>
      </c>
      <c r="N716" t="s">
        <v>27</v>
      </c>
      <c r="O716" s="2">
        <v>45403</v>
      </c>
      <c r="P716" s="2">
        <v>45404.375</v>
      </c>
      <c r="Q716" s="38">
        <f t="shared" si="11"/>
        <v>1.375</v>
      </c>
      <c r="R716" t="s">
        <v>55</v>
      </c>
      <c r="S716" t="s">
        <v>29</v>
      </c>
      <c r="T716" t="s">
        <v>43</v>
      </c>
      <c r="U716">
        <v>4</v>
      </c>
      <c r="V716">
        <v>10</v>
      </c>
      <c r="W716" s="18">
        <f>IFERROR(Table1[[#This Row],[Staff Hours Worked]]/Table1[[#This Row],[Staff Available Hours]],0)</f>
        <v>0.4</v>
      </c>
      <c r="X716" t="s">
        <v>68</v>
      </c>
    </row>
    <row r="717" spans="1:24">
      <c r="A717" t="s">
        <v>774</v>
      </c>
      <c r="B717">
        <v>17</v>
      </c>
      <c r="C717" t="str" cm="1">
        <f t="array" ref="C717">_xlfn.IFS(B717&lt;=18,"0-18",B717&lt;=35,"19-35",B717&lt;=50,"36-50",B717&lt;=65,"51-65","True","65+")</f>
        <v>0-18</v>
      </c>
      <c r="D717" t="s">
        <v>52</v>
      </c>
      <c r="E717" s="6">
        <v>45225</v>
      </c>
      <c r="F717" s="6">
        <v>45180</v>
      </c>
      <c r="G717">
        <v>14</v>
      </c>
      <c r="H717" t="s">
        <v>40</v>
      </c>
      <c r="I717">
        <v>4</v>
      </c>
      <c r="J717" t="s">
        <v>24</v>
      </c>
      <c r="K717">
        <v>38024</v>
      </c>
      <c r="L717" t="s">
        <v>67</v>
      </c>
      <c r="M717" t="s">
        <v>54</v>
      </c>
      <c r="N717" t="s">
        <v>27</v>
      </c>
      <c r="O717" s="2">
        <v>45220</v>
      </c>
      <c r="P717" s="2">
        <v>45220.791666666664</v>
      </c>
      <c r="Q717" s="38">
        <f t="shared" si="11"/>
        <v>0.79166666666424135</v>
      </c>
      <c r="R717" t="s">
        <v>42</v>
      </c>
      <c r="S717" t="s">
        <v>29</v>
      </c>
      <c r="T717" t="s">
        <v>30</v>
      </c>
      <c r="U717">
        <v>5</v>
      </c>
      <c r="V717">
        <v>10</v>
      </c>
      <c r="W717" s="18">
        <f>IFERROR(Table1[[#This Row],[Staff Hours Worked]]/Table1[[#This Row],[Staff Available Hours]],0)</f>
        <v>0.5</v>
      </c>
      <c r="X717" t="s">
        <v>48</v>
      </c>
    </row>
    <row r="718" spans="1:24">
      <c r="A718" t="s">
        <v>775</v>
      </c>
      <c r="B718">
        <v>85</v>
      </c>
      <c r="C718" t="str" cm="1">
        <f t="array" ref="C718">_xlfn.IFS(B718&lt;=18,"0-18",B718&lt;=35,"19-35",B718&lt;=50,"36-50",B718&lt;=65,"51-65","True","65+")</f>
        <v>65+</v>
      </c>
      <c r="D718" t="s">
        <v>41</v>
      </c>
      <c r="E718" s="6">
        <v>44987</v>
      </c>
      <c r="F718" s="6">
        <v>45171</v>
      </c>
      <c r="G718">
        <v>6</v>
      </c>
      <c r="H718" t="s">
        <v>57</v>
      </c>
      <c r="I718">
        <v>1</v>
      </c>
      <c r="J718" t="s">
        <v>71</v>
      </c>
      <c r="K718">
        <v>37544</v>
      </c>
      <c r="L718" t="s">
        <v>53</v>
      </c>
      <c r="M718" t="s">
        <v>54</v>
      </c>
      <c r="N718" t="s">
        <v>27</v>
      </c>
      <c r="O718" s="2">
        <v>44987</v>
      </c>
      <c r="P718" s="2">
        <v>45018.708333333336</v>
      </c>
      <c r="Q718" s="38">
        <f t="shared" si="11"/>
        <v>31.708333333335759</v>
      </c>
      <c r="R718" t="s">
        <v>37</v>
      </c>
      <c r="S718" t="s">
        <v>29</v>
      </c>
      <c r="T718" t="s">
        <v>30</v>
      </c>
      <c r="U718">
        <v>5</v>
      </c>
      <c r="V718">
        <v>8</v>
      </c>
      <c r="W718" s="18">
        <f>IFERROR(Table1[[#This Row],[Staff Hours Worked]]/Table1[[#This Row],[Staff Available Hours]],0)</f>
        <v>0.625</v>
      </c>
      <c r="X718" t="s">
        <v>68</v>
      </c>
    </row>
    <row r="719" spans="1:24">
      <c r="A719" t="s">
        <v>776</v>
      </c>
      <c r="B719">
        <v>78</v>
      </c>
      <c r="C719" t="str" cm="1">
        <f t="array" ref="C719">_xlfn.IFS(B719&lt;=18,"0-18",B719&lt;=35,"19-35",B719&lt;=50,"36-50",B719&lt;=65,"51-65","True","65+")</f>
        <v>65+</v>
      </c>
      <c r="D719" t="s">
        <v>45</v>
      </c>
      <c r="E719" s="6">
        <v>45164</v>
      </c>
      <c r="F719" s="6">
        <v>45025</v>
      </c>
      <c r="G719">
        <v>9</v>
      </c>
      <c r="H719" t="s">
        <v>34</v>
      </c>
      <c r="I719">
        <v>3</v>
      </c>
      <c r="J719" t="s">
        <v>71</v>
      </c>
      <c r="K719">
        <v>5037</v>
      </c>
      <c r="L719" t="s">
        <v>67</v>
      </c>
      <c r="M719" t="s">
        <v>26</v>
      </c>
      <c r="N719" t="s">
        <v>27</v>
      </c>
      <c r="O719" s="2">
        <v>45163</v>
      </c>
      <c r="P719" s="2">
        <v>45164.916666666664</v>
      </c>
      <c r="Q719" s="38">
        <f t="shared" si="11"/>
        <v>1.9166666666642413</v>
      </c>
      <c r="R719" t="s">
        <v>55</v>
      </c>
      <c r="S719" t="s">
        <v>29</v>
      </c>
      <c r="T719" t="s">
        <v>47</v>
      </c>
      <c r="U719">
        <v>6</v>
      </c>
      <c r="V719">
        <v>12</v>
      </c>
      <c r="W719" s="18">
        <f>IFERROR(Table1[[#This Row],[Staff Hours Worked]]/Table1[[#This Row],[Staff Available Hours]],0)</f>
        <v>0.5</v>
      </c>
      <c r="X719" t="s">
        <v>48</v>
      </c>
    </row>
    <row r="720" spans="1:24">
      <c r="A720" t="s">
        <v>777</v>
      </c>
      <c r="B720">
        <v>73</v>
      </c>
      <c r="C720" t="str" cm="1">
        <f t="array" ref="C720">_xlfn.IFS(B720&lt;=18,"0-18",B720&lt;=35,"19-35",B720&lt;=50,"36-50",B720&lt;=65,"51-65","True","65+")</f>
        <v>65+</v>
      </c>
      <c r="D720" t="s">
        <v>33</v>
      </c>
      <c r="E720" s="6">
        <v>45222</v>
      </c>
      <c r="F720" s="6">
        <v>45118</v>
      </c>
      <c r="G720">
        <v>15</v>
      </c>
      <c r="H720" t="s">
        <v>34</v>
      </c>
      <c r="I720">
        <v>1</v>
      </c>
      <c r="J720" t="s">
        <v>71</v>
      </c>
      <c r="K720">
        <v>48032</v>
      </c>
      <c r="L720" t="s">
        <v>53</v>
      </c>
      <c r="M720" t="s">
        <v>54</v>
      </c>
      <c r="N720" t="s">
        <v>41</v>
      </c>
      <c r="O720" s="2">
        <v>45217</v>
      </c>
      <c r="P720" s="2">
        <v>45218.375</v>
      </c>
      <c r="Q720" s="38">
        <f t="shared" si="11"/>
        <v>1.375</v>
      </c>
      <c r="R720" t="s">
        <v>42</v>
      </c>
      <c r="S720" t="s">
        <v>29</v>
      </c>
      <c r="T720" t="s">
        <v>30</v>
      </c>
      <c r="U720">
        <v>10</v>
      </c>
      <c r="V720">
        <v>10</v>
      </c>
      <c r="W720" s="18">
        <f>IFERROR(Table1[[#This Row],[Staff Hours Worked]]/Table1[[#This Row],[Staff Available Hours]],0)</f>
        <v>1</v>
      </c>
      <c r="X720" t="s">
        <v>68</v>
      </c>
    </row>
    <row r="721" spans="1:24">
      <c r="A721" t="s">
        <v>778</v>
      </c>
      <c r="B721">
        <v>1</v>
      </c>
      <c r="C721" t="str" cm="1">
        <f t="array" ref="C721">_xlfn.IFS(B721&lt;=18,"0-18",B721&lt;=35,"19-35",B721&lt;=50,"36-50",B721&lt;=65,"51-65","True","65+")</f>
        <v>0-18</v>
      </c>
      <c r="D721" t="s">
        <v>33</v>
      </c>
      <c r="E721" s="6">
        <v>45216</v>
      </c>
      <c r="F721" s="6">
        <v>45218</v>
      </c>
      <c r="G721">
        <v>2</v>
      </c>
      <c r="H721" t="s">
        <v>34</v>
      </c>
      <c r="I721">
        <v>3</v>
      </c>
      <c r="J721" t="s">
        <v>24</v>
      </c>
      <c r="K721">
        <v>17697</v>
      </c>
      <c r="L721" t="s">
        <v>67</v>
      </c>
      <c r="M721" t="s">
        <v>26</v>
      </c>
      <c r="N721" t="s">
        <v>27</v>
      </c>
      <c r="O721" s="2">
        <v>45216</v>
      </c>
      <c r="P721" s="2">
        <v>45217.125</v>
      </c>
      <c r="Q721" s="38">
        <f t="shared" si="11"/>
        <v>1.125</v>
      </c>
      <c r="R721" t="s">
        <v>64</v>
      </c>
      <c r="S721" t="s">
        <v>38</v>
      </c>
      <c r="T721" t="s">
        <v>43</v>
      </c>
      <c r="U721">
        <v>6</v>
      </c>
      <c r="V721">
        <v>12</v>
      </c>
      <c r="W721" s="18">
        <f>IFERROR(Table1[[#This Row],[Staff Hours Worked]]/Table1[[#This Row],[Staff Available Hours]],0)</f>
        <v>0.5</v>
      </c>
      <c r="X721" t="s">
        <v>31</v>
      </c>
    </row>
    <row r="722" spans="1:24">
      <c r="A722" t="s">
        <v>779</v>
      </c>
      <c r="B722">
        <v>51</v>
      </c>
      <c r="C722" t="str" cm="1">
        <f t="array" ref="C722">_xlfn.IFS(B722&lt;=18,"0-18",B722&lt;=35,"19-35",B722&lt;=50,"36-50",B722&lt;=65,"51-65","True","65+")</f>
        <v>51-65</v>
      </c>
      <c r="D722" t="s">
        <v>22</v>
      </c>
      <c r="E722" s="6">
        <v>45539</v>
      </c>
      <c r="F722" s="6">
        <v>45403</v>
      </c>
      <c r="G722">
        <v>12</v>
      </c>
      <c r="H722" t="s">
        <v>23</v>
      </c>
      <c r="I722">
        <v>2</v>
      </c>
      <c r="J722" t="s">
        <v>66</v>
      </c>
      <c r="K722">
        <v>46420</v>
      </c>
      <c r="L722" t="s">
        <v>60</v>
      </c>
      <c r="M722" t="s">
        <v>54</v>
      </c>
      <c r="N722" t="s">
        <v>27</v>
      </c>
      <c r="O722" s="2">
        <v>45447</v>
      </c>
      <c r="P722" s="2">
        <v>45477.166666666664</v>
      </c>
      <c r="Q722" s="38">
        <f t="shared" si="11"/>
        <v>30.166666666664241</v>
      </c>
      <c r="R722" t="s">
        <v>28</v>
      </c>
      <c r="S722" t="s">
        <v>29</v>
      </c>
      <c r="T722" t="s">
        <v>47</v>
      </c>
      <c r="U722">
        <v>6</v>
      </c>
      <c r="V722">
        <v>8</v>
      </c>
      <c r="W722" s="18">
        <f>IFERROR(Table1[[#This Row],[Staff Hours Worked]]/Table1[[#This Row],[Staff Available Hours]],0)</f>
        <v>0.75</v>
      </c>
      <c r="X722" t="s">
        <v>48</v>
      </c>
    </row>
    <row r="723" spans="1:24">
      <c r="A723" t="s">
        <v>780</v>
      </c>
      <c r="B723">
        <v>45</v>
      </c>
      <c r="C723" t="str" cm="1">
        <f t="array" ref="C723">_xlfn.IFS(B723&lt;=18,"0-18",B723&lt;=35,"19-35",B723&lt;=50,"36-50",B723&lt;=65,"51-65","True","65+")</f>
        <v>36-50</v>
      </c>
      <c r="D723" t="s">
        <v>22</v>
      </c>
      <c r="E723" s="6">
        <v>44999</v>
      </c>
      <c r="F723" s="6">
        <v>45013</v>
      </c>
      <c r="G723">
        <v>14</v>
      </c>
      <c r="H723" t="s">
        <v>23</v>
      </c>
      <c r="I723">
        <v>2</v>
      </c>
      <c r="J723" t="s">
        <v>46</v>
      </c>
      <c r="K723">
        <v>36707</v>
      </c>
      <c r="L723" t="s">
        <v>60</v>
      </c>
      <c r="M723" t="s">
        <v>26</v>
      </c>
      <c r="N723" t="s">
        <v>27</v>
      </c>
      <c r="O723" s="2">
        <v>45233</v>
      </c>
      <c r="P723" s="2">
        <v>45263.875</v>
      </c>
      <c r="Q723" s="38">
        <f t="shared" si="11"/>
        <v>30.875</v>
      </c>
      <c r="R723" t="s">
        <v>37</v>
      </c>
      <c r="S723" t="s">
        <v>29</v>
      </c>
      <c r="T723" t="s">
        <v>43</v>
      </c>
      <c r="U723">
        <v>4</v>
      </c>
      <c r="V723">
        <v>10</v>
      </c>
      <c r="W723" s="18">
        <f>IFERROR(Table1[[#This Row],[Staff Hours Worked]]/Table1[[#This Row],[Staff Available Hours]],0)</f>
        <v>0.4</v>
      </c>
      <c r="X723" t="s">
        <v>31</v>
      </c>
    </row>
    <row r="724" spans="1:24">
      <c r="A724" t="s">
        <v>781</v>
      </c>
      <c r="B724">
        <v>77</v>
      </c>
      <c r="C724" t="str" cm="1">
        <f t="array" ref="C724">_xlfn.IFS(B724&lt;=18,"0-18",B724&lt;=35,"19-35",B724&lt;=50,"36-50",B724&lt;=65,"51-65","True","65+")</f>
        <v>65+</v>
      </c>
      <c r="D724" t="s">
        <v>33</v>
      </c>
      <c r="E724" s="6">
        <v>45166</v>
      </c>
      <c r="F724" s="6">
        <v>45086</v>
      </c>
      <c r="G724">
        <v>9</v>
      </c>
      <c r="H724" t="s">
        <v>34</v>
      </c>
      <c r="I724">
        <v>5</v>
      </c>
      <c r="J724" t="s">
        <v>66</v>
      </c>
      <c r="K724">
        <v>31016</v>
      </c>
      <c r="L724" t="s">
        <v>67</v>
      </c>
      <c r="M724" t="s">
        <v>26</v>
      </c>
      <c r="N724" t="s">
        <v>27</v>
      </c>
      <c r="O724" s="2">
        <v>45165</v>
      </c>
      <c r="P724" s="2">
        <v>45166.083333333336</v>
      </c>
      <c r="Q724" s="38">
        <f t="shared" si="11"/>
        <v>1.0833333333357587</v>
      </c>
      <c r="R724" t="s">
        <v>28</v>
      </c>
      <c r="S724" t="s">
        <v>29</v>
      </c>
      <c r="T724" t="s">
        <v>47</v>
      </c>
      <c r="U724">
        <v>9</v>
      </c>
      <c r="V724">
        <v>12</v>
      </c>
      <c r="W724" s="18">
        <f>IFERROR(Table1[[#This Row],[Staff Hours Worked]]/Table1[[#This Row],[Staff Available Hours]],0)</f>
        <v>0.75</v>
      </c>
      <c r="X724" t="s">
        <v>31</v>
      </c>
    </row>
    <row r="725" spans="1:24">
      <c r="A725" t="s">
        <v>782</v>
      </c>
      <c r="B725">
        <v>4</v>
      </c>
      <c r="C725" t="str" cm="1">
        <f t="array" ref="C725">_xlfn.IFS(B725&lt;=18,"0-18",B725&lt;=35,"19-35",B725&lt;=50,"36-50",B725&lt;=65,"51-65","True","65+")</f>
        <v>0-18</v>
      </c>
      <c r="D725" t="s">
        <v>33</v>
      </c>
      <c r="E725" s="6">
        <v>45197</v>
      </c>
      <c r="F725" s="6">
        <v>45270</v>
      </c>
      <c r="G725">
        <v>14</v>
      </c>
      <c r="H725" t="s">
        <v>23</v>
      </c>
      <c r="I725">
        <v>2</v>
      </c>
      <c r="J725" t="s">
        <v>35</v>
      </c>
      <c r="K725">
        <v>39600</v>
      </c>
      <c r="L725" t="s">
        <v>53</v>
      </c>
      <c r="M725" t="s">
        <v>26</v>
      </c>
      <c r="N725" t="s">
        <v>27</v>
      </c>
      <c r="O725" s="2">
        <v>45193</v>
      </c>
      <c r="P725" s="2">
        <v>45193.25</v>
      </c>
      <c r="Q725" s="38">
        <f t="shared" si="11"/>
        <v>0.25</v>
      </c>
      <c r="R725" t="s">
        <v>64</v>
      </c>
      <c r="S725" t="s">
        <v>29</v>
      </c>
      <c r="T725" t="s">
        <v>47</v>
      </c>
      <c r="U725">
        <v>9</v>
      </c>
      <c r="V725">
        <v>10</v>
      </c>
      <c r="W725" s="18">
        <f>IFERROR(Table1[[#This Row],[Staff Hours Worked]]/Table1[[#This Row],[Staff Available Hours]],0)</f>
        <v>0.9</v>
      </c>
      <c r="X725" t="s">
        <v>31</v>
      </c>
    </row>
    <row r="726" spans="1:24">
      <c r="A726" t="s">
        <v>783</v>
      </c>
      <c r="B726">
        <v>62</v>
      </c>
      <c r="C726" t="str" cm="1">
        <f t="array" ref="C726">_xlfn.IFS(B726&lt;=18,"0-18",B726&lt;=35,"19-35",B726&lt;=50,"36-50",B726&lt;=65,"51-65","True","65+")</f>
        <v>51-65</v>
      </c>
      <c r="D726" t="s">
        <v>45</v>
      </c>
      <c r="E726" s="6">
        <v>45129</v>
      </c>
      <c r="F726" s="6">
        <v>45131</v>
      </c>
      <c r="G726">
        <v>2</v>
      </c>
      <c r="H726" t="s">
        <v>63</v>
      </c>
      <c r="I726">
        <v>5</v>
      </c>
      <c r="J726" t="s">
        <v>71</v>
      </c>
      <c r="K726">
        <v>28984</v>
      </c>
      <c r="L726" t="s">
        <v>25</v>
      </c>
      <c r="M726" t="s">
        <v>26</v>
      </c>
      <c r="N726" t="s">
        <v>27</v>
      </c>
      <c r="O726" s="2">
        <v>45128</v>
      </c>
      <c r="P726" s="2">
        <v>45129.708333333336</v>
      </c>
      <c r="Q726" s="38">
        <f t="shared" si="11"/>
        <v>1.7083333333357587</v>
      </c>
      <c r="R726" t="s">
        <v>55</v>
      </c>
      <c r="S726" t="s">
        <v>29</v>
      </c>
      <c r="T726" t="s">
        <v>43</v>
      </c>
      <c r="U726">
        <v>9</v>
      </c>
      <c r="V726">
        <v>8</v>
      </c>
      <c r="W726" s="18">
        <f>IFERROR(Table1[[#This Row],[Staff Hours Worked]]/Table1[[#This Row],[Staff Available Hours]],0)</f>
        <v>1.125</v>
      </c>
      <c r="X726" t="s">
        <v>31</v>
      </c>
    </row>
    <row r="727" spans="1:24">
      <c r="A727" t="s">
        <v>784</v>
      </c>
      <c r="B727">
        <v>65</v>
      </c>
      <c r="C727" t="str" cm="1">
        <f t="array" ref="C727">_xlfn.IFS(B727&lt;=18,"0-18",B727&lt;=35,"19-35",B727&lt;=50,"36-50",B727&lt;=65,"51-65","True","65+")</f>
        <v>51-65</v>
      </c>
      <c r="D727" t="s">
        <v>62</v>
      </c>
      <c r="E727" s="6">
        <v>45599</v>
      </c>
      <c r="F727" s="6">
        <v>45367</v>
      </c>
      <c r="G727">
        <v>5</v>
      </c>
      <c r="H727" t="s">
        <v>34</v>
      </c>
      <c r="I727">
        <v>1</v>
      </c>
      <c r="J727" t="s">
        <v>66</v>
      </c>
      <c r="K727">
        <v>10167</v>
      </c>
      <c r="L727" t="s">
        <v>60</v>
      </c>
      <c r="M727" t="s">
        <v>26</v>
      </c>
      <c r="N727" t="s">
        <v>27</v>
      </c>
      <c r="O727" s="2">
        <v>45599</v>
      </c>
      <c r="P727" s="2">
        <v>45629.458333333336</v>
      </c>
      <c r="Q727" s="38">
        <f t="shared" si="11"/>
        <v>30.458333333335759</v>
      </c>
      <c r="R727" t="s">
        <v>55</v>
      </c>
      <c r="S727" t="s">
        <v>29</v>
      </c>
      <c r="T727" t="s">
        <v>30</v>
      </c>
      <c r="U727">
        <v>9</v>
      </c>
      <c r="V727">
        <v>10</v>
      </c>
      <c r="W727" s="18">
        <f>IFERROR(Table1[[#This Row],[Staff Hours Worked]]/Table1[[#This Row],[Staff Available Hours]],0)</f>
        <v>0.9</v>
      </c>
      <c r="X727" t="s">
        <v>31</v>
      </c>
    </row>
    <row r="728" spans="1:24">
      <c r="A728" t="s">
        <v>785</v>
      </c>
      <c r="B728">
        <v>32</v>
      </c>
      <c r="C728" t="str" cm="1">
        <f t="array" ref="C728">_xlfn.IFS(B728&lt;=18,"0-18",B728&lt;=35,"19-35",B728&lt;=50,"36-50",B728&lt;=65,"51-65","True","65+")</f>
        <v>19-35</v>
      </c>
      <c r="D728" t="s">
        <v>22</v>
      </c>
      <c r="E728" s="6">
        <v>45044</v>
      </c>
      <c r="F728" s="6">
        <v>45046</v>
      </c>
      <c r="G728">
        <v>2</v>
      </c>
      <c r="H728" t="s">
        <v>63</v>
      </c>
      <c r="I728">
        <v>2</v>
      </c>
      <c r="J728" t="s">
        <v>46</v>
      </c>
      <c r="K728">
        <v>5432</v>
      </c>
      <c r="L728" t="s">
        <v>60</v>
      </c>
      <c r="M728" t="s">
        <v>26</v>
      </c>
      <c r="N728" t="s">
        <v>41</v>
      </c>
      <c r="O728" s="2">
        <v>45043</v>
      </c>
      <c r="P728" s="2">
        <v>45044.458333333336</v>
      </c>
      <c r="Q728" s="38">
        <f t="shared" si="11"/>
        <v>1.4583333333357587</v>
      </c>
      <c r="R728" t="s">
        <v>64</v>
      </c>
      <c r="S728" t="s">
        <v>29</v>
      </c>
      <c r="T728" t="s">
        <v>30</v>
      </c>
      <c r="U728">
        <v>6</v>
      </c>
      <c r="V728">
        <v>8</v>
      </c>
      <c r="W728" s="18">
        <f>IFERROR(Table1[[#This Row],[Staff Hours Worked]]/Table1[[#This Row],[Staff Available Hours]],0)</f>
        <v>0.75</v>
      </c>
      <c r="X728" t="s">
        <v>68</v>
      </c>
    </row>
    <row r="729" spans="1:24">
      <c r="A729" t="s">
        <v>786</v>
      </c>
      <c r="B729">
        <v>34</v>
      </c>
      <c r="C729" t="str" cm="1">
        <f t="array" ref="C729">_xlfn.IFS(B729&lt;=18,"0-18",B729&lt;=35,"19-35",B729&lt;=50,"36-50",B729&lt;=65,"51-65","True","65+")</f>
        <v>19-35</v>
      </c>
      <c r="D729" t="s">
        <v>62</v>
      </c>
      <c r="E729" s="6">
        <v>45157</v>
      </c>
      <c r="F729" s="6">
        <v>44935</v>
      </c>
      <c r="G729">
        <v>13</v>
      </c>
      <c r="H729" t="s">
        <v>63</v>
      </c>
      <c r="I729">
        <v>1</v>
      </c>
      <c r="J729" t="s">
        <v>35</v>
      </c>
      <c r="K729">
        <v>9151</v>
      </c>
      <c r="L729" t="s">
        <v>25</v>
      </c>
      <c r="M729" t="s">
        <v>54</v>
      </c>
      <c r="N729" t="s">
        <v>27</v>
      </c>
      <c r="O729" s="2">
        <v>45153</v>
      </c>
      <c r="P729" s="2">
        <v>45154.666666666664</v>
      </c>
      <c r="Q729" s="38">
        <f t="shared" si="11"/>
        <v>1.6666666666642413</v>
      </c>
      <c r="R729" t="s">
        <v>64</v>
      </c>
      <c r="S729" t="s">
        <v>29</v>
      </c>
      <c r="T729" t="s">
        <v>30</v>
      </c>
      <c r="U729">
        <v>4</v>
      </c>
      <c r="V729">
        <v>12</v>
      </c>
      <c r="W729" s="18">
        <f>IFERROR(Table1[[#This Row],[Staff Hours Worked]]/Table1[[#This Row],[Staff Available Hours]],0)</f>
        <v>0.33333333333333331</v>
      </c>
      <c r="X729" t="s">
        <v>48</v>
      </c>
    </row>
    <row r="730" spans="1:24">
      <c r="A730" t="s">
        <v>787</v>
      </c>
      <c r="B730">
        <v>72</v>
      </c>
      <c r="C730" t="str" cm="1">
        <f t="array" ref="C730">_xlfn.IFS(B730&lt;=18,"0-18",B730&lt;=35,"19-35",B730&lt;=50,"36-50",B730&lt;=65,"51-65","True","65+")</f>
        <v>65+</v>
      </c>
      <c r="D730" t="s">
        <v>45</v>
      </c>
      <c r="E730" s="6">
        <v>44963</v>
      </c>
      <c r="F730" s="6">
        <v>45052</v>
      </c>
      <c r="G730">
        <v>3</v>
      </c>
      <c r="H730" t="s">
        <v>34</v>
      </c>
      <c r="I730">
        <v>1</v>
      </c>
      <c r="J730" t="s">
        <v>24</v>
      </c>
      <c r="K730">
        <v>11411</v>
      </c>
      <c r="L730" t="s">
        <v>67</v>
      </c>
      <c r="M730" t="s">
        <v>54</v>
      </c>
      <c r="N730" t="s">
        <v>41</v>
      </c>
      <c r="O730" s="2">
        <v>45077</v>
      </c>
      <c r="P730" s="2">
        <v>45077.416666666664</v>
      </c>
      <c r="Q730" s="38">
        <f t="shared" si="11"/>
        <v>0.41666666666424135</v>
      </c>
      <c r="R730" t="s">
        <v>37</v>
      </c>
      <c r="S730" t="s">
        <v>29</v>
      </c>
      <c r="T730" t="s">
        <v>30</v>
      </c>
      <c r="U730">
        <v>9</v>
      </c>
      <c r="V730">
        <v>10</v>
      </c>
      <c r="W730" s="18">
        <f>IFERROR(Table1[[#This Row],[Staff Hours Worked]]/Table1[[#This Row],[Staff Available Hours]],0)</f>
        <v>0.9</v>
      </c>
      <c r="X730" t="s">
        <v>68</v>
      </c>
    </row>
    <row r="731" spans="1:24">
      <c r="A731" t="s">
        <v>788</v>
      </c>
      <c r="B731">
        <v>39</v>
      </c>
      <c r="C731" t="str" cm="1">
        <f t="array" ref="C731">_xlfn.IFS(B731&lt;=18,"0-18",B731&lt;=35,"19-35",B731&lt;=50,"36-50",B731&lt;=65,"51-65","True","65+")</f>
        <v>36-50</v>
      </c>
      <c r="D731" t="s">
        <v>33</v>
      </c>
      <c r="E731" s="6">
        <v>45199</v>
      </c>
      <c r="F731" s="6">
        <v>45056</v>
      </c>
      <c r="G731">
        <v>5</v>
      </c>
      <c r="H731" t="s">
        <v>40</v>
      </c>
      <c r="I731">
        <v>2</v>
      </c>
      <c r="J731" t="s">
        <v>24</v>
      </c>
      <c r="K731">
        <v>35788</v>
      </c>
      <c r="L731" t="s">
        <v>53</v>
      </c>
      <c r="M731" t="s">
        <v>26</v>
      </c>
      <c r="N731" t="s">
        <v>41</v>
      </c>
      <c r="O731" s="2">
        <v>45198</v>
      </c>
      <c r="P731" s="2">
        <v>45198.75</v>
      </c>
      <c r="Q731" s="38">
        <f t="shared" si="11"/>
        <v>0.75</v>
      </c>
      <c r="R731" t="s">
        <v>42</v>
      </c>
      <c r="S731" t="s">
        <v>38</v>
      </c>
      <c r="T731" t="s">
        <v>43</v>
      </c>
      <c r="U731">
        <v>11</v>
      </c>
      <c r="V731">
        <v>12</v>
      </c>
      <c r="W731" s="18">
        <f>IFERROR(Table1[[#This Row],[Staff Hours Worked]]/Table1[[#This Row],[Staff Available Hours]],0)</f>
        <v>0.91666666666666663</v>
      </c>
      <c r="X731" t="s">
        <v>68</v>
      </c>
    </row>
    <row r="732" spans="1:24">
      <c r="A732" t="s">
        <v>789</v>
      </c>
      <c r="B732">
        <v>26</v>
      </c>
      <c r="C732" t="str" cm="1">
        <f t="array" ref="C732">_xlfn.IFS(B732&lt;=18,"0-18",B732&lt;=35,"19-35",B732&lt;=50,"36-50",B732&lt;=65,"51-65","True","65+")</f>
        <v>19-35</v>
      </c>
      <c r="D732" t="s">
        <v>41</v>
      </c>
      <c r="E732" s="6">
        <v>45072</v>
      </c>
      <c r="F732" s="6">
        <v>44991</v>
      </c>
      <c r="G732">
        <v>8</v>
      </c>
      <c r="H732" t="s">
        <v>34</v>
      </c>
      <c r="I732">
        <v>1</v>
      </c>
      <c r="J732" t="s">
        <v>46</v>
      </c>
      <c r="K732">
        <v>31623</v>
      </c>
      <c r="L732" t="s">
        <v>67</v>
      </c>
      <c r="M732" t="s">
        <v>26</v>
      </c>
      <c r="N732" t="s">
        <v>27</v>
      </c>
      <c r="O732" s="2">
        <v>45067</v>
      </c>
      <c r="P732" s="2">
        <v>45067.25</v>
      </c>
      <c r="Q732" s="38">
        <f t="shared" si="11"/>
        <v>0.25</v>
      </c>
      <c r="R732" t="s">
        <v>28</v>
      </c>
      <c r="S732" t="s">
        <v>29</v>
      </c>
      <c r="T732" t="s">
        <v>47</v>
      </c>
      <c r="U732">
        <v>8</v>
      </c>
      <c r="V732">
        <v>8</v>
      </c>
      <c r="W732" s="18">
        <f>IFERROR(Table1[[#This Row],[Staff Hours Worked]]/Table1[[#This Row],[Staff Available Hours]],0)</f>
        <v>1</v>
      </c>
      <c r="X732" t="s">
        <v>68</v>
      </c>
    </row>
    <row r="733" spans="1:24">
      <c r="A733" t="s">
        <v>790</v>
      </c>
      <c r="B733">
        <v>34</v>
      </c>
      <c r="C733" t="str" cm="1">
        <f t="array" ref="C733">_xlfn.IFS(B733&lt;=18,"0-18",B733&lt;=35,"19-35",B733&lt;=50,"36-50",B733&lt;=65,"51-65","True","65+")</f>
        <v>19-35</v>
      </c>
      <c r="D733" t="s">
        <v>62</v>
      </c>
      <c r="E733" s="6">
        <v>45000</v>
      </c>
      <c r="F733" s="6">
        <v>45015</v>
      </c>
      <c r="G733">
        <v>15</v>
      </c>
      <c r="H733" t="s">
        <v>34</v>
      </c>
      <c r="I733">
        <v>2</v>
      </c>
      <c r="J733" t="s">
        <v>35</v>
      </c>
      <c r="K733">
        <v>27104</v>
      </c>
      <c r="L733" t="s">
        <v>36</v>
      </c>
      <c r="M733" t="s">
        <v>26</v>
      </c>
      <c r="N733" t="s">
        <v>27</v>
      </c>
      <c r="O733" s="2">
        <v>45233</v>
      </c>
      <c r="P733" s="2">
        <v>45233.833333333336</v>
      </c>
      <c r="Q733" s="38">
        <f t="shared" si="11"/>
        <v>0.83333333333575865</v>
      </c>
      <c r="R733" t="s">
        <v>28</v>
      </c>
      <c r="S733" t="s">
        <v>29</v>
      </c>
      <c r="T733" t="s">
        <v>43</v>
      </c>
      <c r="U733">
        <v>7</v>
      </c>
      <c r="V733">
        <v>8</v>
      </c>
      <c r="W733" s="18">
        <f>IFERROR(Table1[[#This Row],[Staff Hours Worked]]/Table1[[#This Row],[Staff Available Hours]],0)</f>
        <v>0.875</v>
      </c>
      <c r="X733" t="s">
        <v>31</v>
      </c>
    </row>
    <row r="734" spans="1:24">
      <c r="A734" t="s">
        <v>791</v>
      </c>
      <c r="B734">
        <v>54</v>
      </c>
      <c r="C734" t="str" cm="1">
        <f t="array" ref="C734">_xlfn.IFS(B734&lt;=18,"0-18",B734&lt;=35,"19-35",B734&lt;=50,"36-50",B734&lt;=65,"51-65","True","65+")</f>
        <v>51-65</v>
      </c>
      <c r="D734" t="s">
        <v>33</v>
      </c>
      <c r="E734" s="6">
        <v>44988</v>
      </c>
      <c r="F734" s="6">
        <v>45263</v>
      </c>
      <c r="G734">
        <v>9</v>
      </c>
      <c r="H734" t="s">
        <v>23</v>
      </c>
      <c r="I734">
        <v>2</v>
      </c>
      <c r="J734" t="s">
        <v>71</v>
      </c>
      <c r="K734">
        <v>5256</v>
      </c>
      <c r="L734" t="s">
        <v>60</v>
      </c>
      <c r="M734" t="s">
        <v>26</v>
      </c>
      <c r="N734" t="s">
        <v>27</v>
      </c>
      <c r="O734" s="2">
        <v>44929</v>
      </c>
      <c r="P734" s="2">
        <v>44929.25</v>
      </c>
      <c r="Q734" s="38">
        <f t="shared" si="11"/>
        <v>0.25</v>
      </c>
      <c r="R734" t="s">
        <v>55</v>
      </c>
      <c r="S734" t="s">
        <v>29</v>
      </c>
      <c r="T734" t="s">
        <v>30</v>
      </c>
      <c r="U734">
        <v>8</v>
      </c>
      <c r="V734">
        <v>12</v>
      </c>
      <c r="W734" s="18">
        <f>IFERROR(Table1[[#This Row],[Staff Hours Worked]]/Table1[[#This Row],[Staff Available Hours]],0)</f>
        <v>0.66666666666666663</v>
      </c>
      <c r="X734" t="s">
        <v>68</v>
      </c>
    </row>
    <row r="735" spans="1:24">
      <c r="A735" t="s">
        <v>792</v>
      </c>
      <c r="B735">
        <v>3</v>
      </c>
      <c r="C735" t="str" cm="1">
        <f t="array" ref="C735">_xlfn.IFS(B735&lt;=18,"0-18",B735&lt;=35,"19-35",B735&lt;=50,"36-50",B735&lt;=65,"51-65","True","65+")</f>
        <v>0-18</v>
      </c>
      <c r="D735" t="s">
        <v>33</v>
      </c>
      <c r="E735" s="6">
        <v>45096</v>
      </c>
      <c r="F735" s="6">
        <v>45099</v>
      </c>
      <c r="G735">
        <v>3</v>
      </c>
      <c r="H735" t="s">
        <v>34</v>
      </c>
      <c r="I735">
        <v>2</v>
      </c>
      <c r="J735" t="s">
        <v>66</v>
      </c>
      <c r="K735">
        <v>38439</v>
      </c>
      <c r="L735" t="s">
        <v>36</v>
      </c>
      <c r="M735" t="s">
        <v>26</v>
      </c>
      <c r="N735" t="s">
        <v>41</v>
      </c>
      <c r="O735" s="2">
        <v>45092</v>
      </c>
      <c r="P735" s="2">
        <v>45093.375</v>
      </c>
      <c r="Q735" s="38">
        <f t="shared" si="11"/>
        <v>1.375</v>
      </c>
      <c r="R735" t="s">
        <v>55</v>
      </c>
      <c r="S735" t="s">
        <v>38</v>
      </c>
      <c r="T735" t="s">
        <v>30</v>
      </c>
      <c r="U735">
        <v>4</v>
      </c>
      <c r="V735">
        <v>12</v>
      </c>
      <c r="W735" s="18">
        <f>IFERROR(Table1[[#This Row],[Staff Hours Worked]]/Table1[[#This Row],[Staff Available Hours]],0)</f>
        <v>0.33333333333333331</v>
      </c>
      <c r="X735" t="s">
        <v>48</v>
      </c>
    </row>
    <row r="736" spans="1:24">
      <c r="A736" t="s">
        <v>793</v>
      </c>
      <c r="B736">
        <v>50</v>
      </c>
      <c r="C736" t="str" cm="1">
        <f t="array" ref="C736">_xlfn.IFS(B736&lt;=18,"0-18",B736&lt;=35,"19-35",B736&lt;=50,"36-50",B736&lt;=65,"51-65","True","65+")</f>
        <v>36-50</v>
      </c>
      <c r="D736" t="s">
        <v>52</v>
      </c>
      <c r="E736" s="6">
        <v>45241</v>
      </c>
      <c r="F736" s="6">
        <v>45255</v>
      </c>
      <c r="G736">
        <v>14</v>
      </c>
      <c r="H736" t="s">
        <v>40</v>
      </c>
      <c r="I736">
        <v>3</v>
      </c>
      <c r="J736" t="s">
        <v>35</v>
      </c>
      <c r="K736">
        <v>38257</v>
      </c>
      <c r="L736" t="s">
        <v>60</v>
      </c>
      <c r="M736" t="s">
        <v>54</v>
      </c>
      <c r="N736" t="s">
        <v>27</v>
      </c>
      <c r="O736" s="2">
        <v>45118</v>
      </c>
      <c r="P736" s="2">
        <v>45118.583333333336</v>
      </c>
      <c r="Q736" s="38">
        <f t="shared" si="11"/>
        <v>0.58333333333575865</v>
      </c>
      <c r="R736" t="s">
        <v>37</v>
      </c>
      <c r="S736" t="s">
        <v>29</v>
      </c>
      <c r="T736" t="s">
        <v>43</v>
      </c>
      <c r="U736">
        <v>4</v>
      </c>
      <c r="V736">
        <v>8</v>
      </c>
      <c r="W736" s="18">
        <f>IFERROR(Table1[[#This Row],[Staff Hours Worked]]/Table1[[#This Row],[Staff Available Hours]],0)</f>
        <v>0.5</v>
      </c>
      <c r="X736" t="s">
        <v>68</v>
      </c>
    </row>
    <row r="737" spans="1:24">
      <c r="A737" t="s">
        <v>794</v>
      </c>
      <c r="B737">
        <v>12</v>
      </c>
      <c r="C737" t="str" cm="1">
        <f t="array" ref="C737">_xlfn.IFS(B737&lt;=18,"0-18",B737&lt;=35,"19-35",B737&lt;=50,"36-50",B737&lt;=65,"51-65","True","65+")</f>
        <v>0-18</v>
      </c>
      <c r="D737" t="s">
        <v>62</v>
      </c>
      <c r="E737" s="6">
        <v>45222</v>
      </c>
      <c r="F737" s="6">
        <v>45229</v>
      </c>
      <c r="G737">
        <v>7</v>
      </c>
      <c r="H737" t="s">
        <v>23</v>
      </c>
      <c r="I737">
        <v>1</v>
      </c>
      <c r="J737" t="s">
        <v>24</v>
      </c>
      <c r="K737">
        <v>44657</v>
      </c>
      <c r="L737" t="s">
        <v>60</v>
      </c>
      <c r="M737" t="s">
        <v>54</v>
      </c>
      <c r="N737" t="s">
        <v>27</v>
      </c>
      <c r="O737" s="2">
        <v>45217</v>
      </c>
      <c r="P737" s="2">
        <v>45217.416666666664</v>
      </c>
      <c r="Q737" s="38">
        <f t="shared" si="11"/>
        <v>0.41666666666424135</v>
      </c>
      <c r="R737" t="s">
        <v>64</v>
      </c>
      <c r="S737" t="s">
        <v>29</v>
      </c>
      <c r="T737" t="s">
        <v>47</v>
      </c>
      <c r="U737">
        <v>7</v>
      </c>
      <c r="V737">
        <v>12</v>
      </c>
      <c r="W737" s="18">
        <f>IFERROR(Table1[[#This Row],[Staff Hours Worked]]/Table1[[#This Row],[Staff Available Hours]],0)</f>
        <v>0.58333333333333337</v>
      </c>
      <c r="X737" t="s">
        <v>31</v>
      </c>
    </row>
    <row r="738" spans="1:24">
      <c r="A738" t="s">
        <v>795</v>
      </c>
      <c r="B738">
        <v>65</v>
      </c>
      <c r="C738" t="str" cm="1">
        <f t="array" ref="C738">_xlfn.IFS(B738&lt;=18,"0-18",B738&lt;=35,"19-35",B738&lt;=50,"36-50",B738&lt;=65,"51-65","True","65+")</f>
        <v>51-65</v>
      </c>
      <c r="D738" t="s">
        <v>41</v>
      </c>
      <c r="E738" s="6">
        <v>45376</v>
      </c>
      <c r="F738" s="6">
        <v>45378</v>
      </c>
      <c r="G738">
        <v>2</v>
      </c>
      <c r="H738" t="s">
        <v>50</v>
      </c>
      <c r="I738">
        <v>4</v>
      </c>
      <c r="J738" t="s">
        <v>46</v>
      </c>
      <c r="K738">
        <v>49674</v>
      </c>
      <c r="L738" t="s">
        <v>36</v>
      </c>
      <c r="M738" t="s">
        <v>54</v>
      </c>
      <c r="N738" t="s">
        <v>27</v>
      </c>
      <c r="O738" s="2">
        <v>45374</v>
      </c>
      <c r="P738" s="2">
        <v>45375.458333333336</v>
      </c>
      <c r="Q738" s="38">
        <f t="shared" si="11"/>
        <v>1.4583333333357587</v>
      </c>
      <c r="R738" t="s">
        <v>28</v>
      </c>
      <c r="S738" t="s">
        <v>29</v>
      </c>
      <c r="T738" t="s">
        <v>43</v>
      </c>
      <c r="U738">
        <v>5</v>
      </c>
      <c r="V738">
        <v>8</v>
      </c>
      <c r="W738" s="18">
        <f>IFERROR(Table1[[#This Row],[Staff Hours Worked]]/Table1[[#This Row],[Staff Available Hours]],0)</f>
        <v>0.625</v>
      </c>
      <c r="X738" t="s">
        <v>48</v>
      </c>
    </row>
    <row r="739" spans="1:24">
      <c r="A739" t="s">
        <v>796</v>
      </c>
      <c r="B739">
        <v>54</v>
      </c>
      <c r="C739" t="str" cm="1">
        <f t="array" ref="C739">_xlfn.IFS(B739&lt;=18,"0-18",B739&lt;=35,"19-35",B739&lt;=50,"36-50",B739&lt;=65,"51-65","True","65+")</f>
        <v>51-65</v>
      </c>
      <c r="D739" t="s">
        <v>62</v>
      </c>
      <c r="E739" s="6">
        <v>45143</v>
      </c>
      <c r="F739" s="6">
        <v>45069</v>
      </c>
      <c r="G739">
        <v>15</v>
      </c>
      <c r="H739" t="s">
        <v>50</v>
      </c>
      <c r="I739">
        <v>2</v>
      </c>
      <c r="J739" t="s">
        <v>46</v>
      </c>
      <c r="K739">
        <v>23066</v>
      </c>
      <c r="L739" t="s">
        <v>36</v>
      </c>
      <c r="M739" t="s">
        <v>54</v>
      </c>
      <c r="N739" t="s">
        <v>27</v>
      </c>
      <c r="O739" s="2">
        <v>45112</v>
      </c>
      <c r="P739" s="2">
        <v>45112.875</v>
      </c>
      <c r="Q739" s="38">
        <f t="shared" si="11"/>
        <v>0.875</v>
      </c>
      <c r="R739" t="s">
        <v>37</v>
      </c>
      <c r="S739" t="s">
        <v>29</v>
      </c>
      <c r="T739" t="s">
        <v>43</v>
      </c>
      <c r="U739">
        <v>5</v>
      </c>
      <c r="V739">
        <v>12</v>
      </c>
      <c r="W739" s="18">
        <f>IFERROR(Table1[[#This Row],[Staff Hours Worked]]/Table1[[#This Row],[Staff Available Hours]],0)</f>
        <v>0.41666666666666669</v>
      </c>
      <c r="X739" t="s">
        <v>48</v>
      </c>
    </row>
    <row r="740" spans="1:24">
      <c r="A740" t="s">
        <v>797</v>
      </c>
      <c r="B740">
        <v>5</v>
      </c>
      <c r="C740" t="str" cm="1">
        <f t="array" ref="C740">_xlfn.IFS(B740&lt;=18,"0-18",B740&lt;=35,"19-35",B740&lt;=50,"36-50",B740&lt;=65,"51-65","True","65+")</f>
        <v>0-18</v>
      </c>
      <c r="D740" t="s">
        <v>33</v>
      </c>
      <c r="E740" s="6">
        <v>45406</v>
      </c>
      <c r="F740" s="6">
        <v>45410</v>
      </c>
      <c r="G740">
        <v>4</v>
      </c>
      <c r="H740" t="s">
        <v>63</v>
      </c>
      <c r="I740">
        <v>1</v>
      </c>
      <c r="J740" t="s">
        <v>66</v>
      </c>
      <c r="K740">
        <v>37746</v>
      </c>
      <c r="L740" t="s">
        <v>67</v>
      </c>
      <c r="M740" t="s">
        <v>54</v>
      </c>
      <c r="N740" t="s">
        <v>27</v>
      </c>
      <c r="O740" s="2">
        <v>45404</v>
      </c>
      <c r="P740" s="2">
        <v>45405.083333333336</v>
      </c>
      <c r="Q740" s="38">
        <f t="shared" si="11"/>
        <v>1.0833333333357587</v>
      </c>
      <c r="R740" t="s">
        <v>55</v>
      </c>
      <c r="S740" t="s">
        <v>38</v>
      </c>
      <c r="T740" t="s">
        <v>43</v>
      </c>
      <c r="U740">
        <v>11</v>
      </c>
      <c r="V740">
        <v>8</v>
      </c>
      <c r="W740" s="18">
        <f>IFERROR(Table1[[#This Row],[Staff Hours Worked]]/Table1[[#This Row],[Staff Available Hours]],0)</f>
        <v>1.375</v>
      </c>
      <c r="X740" t="s">
        <v>48</v>
      </c>
    </row>
    <row r="741" spans="1:24">
      <c r="A741" t="s">
        <v>798</v>
      </c>
      <c r="B741">
        <v>57</v>
      </c>
      <c r="C741" t="str" cm="1">
        <f t="array" ref="C741">_xlfn.IFS(B741&lt;=18,"0-18",B741&lt;=35,"19-35",B741&lt;=50,"36-50",B741&lt;=65,"51-65","True","65+")</f>
        <v>51-65</v>
      </c>
      <c r="D741" t="s">
        <v>41</v>
      </c>
      <c r="E741" s="6">
        <v>45149</v>
      </c>
      <c r="F741" s="6">
        <v>45252</v>
      </c>
      <c r="G741">
        <v>14</v>
      </c>
      <c r="H741" t="s">
        <v>63</v>
      </c>
      <c r="I741">
        <v>5</v>
      </c>
      <c r="J741" t="s">
        <v>46</v>
      </c>
      <c r="K741">
        <v>7460</v>
      </c>
      <c r="L741" t="s">
        <v>36</v>
      </c>
      <c r="M741" t="s">
        <v>26</v>
      </c>
      <c r="N741" t="s">
        <v>27</v>
      </c>
      <c r="O741" s="2">
        <v>45118</v>
      </c>
      <c r="P741" s="2">
        <v>45149.583333333336</v>
      </c>
      <c r="Q741" s="38">
        <f t="shared" si="11"/>
        <v>31.583333333335759</v>
      </c>
      <c r="R741" t="s">
        <v>55</v>
      </c>
      <c r="S741" t="s">
        <v>29</v>
      </c>
      <c r="T741" t="s">
        <v>47</v>
      </c>
      <c r="U741">
        <v>5</v>
      </c>
      <c r="V741">
        <v>8</v>
      </c>
      <c r="W741" s="18">
        <f>IFERROR(Table1[[#This Row],[Staff Hours Worked]]/Table1[[#This Row],[Staff Available Hours]],0)</f>
        <v>0.625</v>
      </c>
      <c r="X741" t="s">
        <v>48</v>
      </c>
    </row>
    <row r="742" spans="1:24">
      <c r="A742" t="s">
        <v>799</v>
      </c>
      <c r="B742">
        <v>17</v>
      </c>
      <c r="C742" t="str" cm="1">
        <f t="array" ref="C742">_xlfn.IFS(B742&lt;=18,"0-18",B742&lt;=35,"19-35",B742&lt;=50,"36-50",B742&lt;=65,"51-65","True","65+")</f>
        <v>0-18</v>
      </c>
      <c r="D742" t="s">
        <v>45</v>
      </c>
      <c r="E742" s="6">
        <v>45339</v>
      </c>
      <c r="F742" s="6">
        <v>45347</v>
      </c>
      <c r="G742">
        <v>8</v>
      </c>
      <c r="H742" t="s">
        <v>40</v>
      </c>
      <c r="I742">
        <v>2</v>
      </c>
      <c r="J742" t="s">
        <v>46</v>
      </c>
      <c r="K742">
        <v>42297</v>
      </c>
      <c r="L742" t="s">
        <v>67</v>
      </c>
      <c r="M742" t="s">
        <v>26</v>
      </c>
      <c r="N742" t="s">
        <v>27</v>
      </c>
      <c r="O742" s="2">
        <v>45628</v>
      </c>
      <c r="P742" s="2">
        <v>45335.708333333336</v>
      </c>
      <c r="Q742" s="38">
        <f t="shared" si="11"/>
        <v>292.29166666666424</v>
      </c>
      <c r="R742" t="s">
        <v>28</v>
      </c>
      <c r="S742" t="s">
        <v>29</v>
      </c>
      <c r="T742" t="s">
        <v>43</v>
      </c>
      <c r="U742">
        <v>6</v>
      </c>
      <c r="V742">
        <v>10</v>
      </c>
      <c r="W742" s="18">
        <f>IFERROR(Table1[[#This Row],[Staff Hours Worked]]/Table1[[#This Row],[Staff Available Hours]],0)</f>
        <v>0.6</v>
      </c>
      <c r="X742" t="s">
        <v>68</v>
      </c>
    </row>
    <row r="743" spans="1:24">
      <c r="A743" t="s">
        <v>800</v>
      </c>
      <c r="B743">
        <v>47</v>
      </c>
      <c r="C743" t="str" cm="1">
        <f t="array" ref="C743">_xlfn.IFS(B743&lt;=18,"0-18",B743&lt;=35,"19-35",B743&lt;=50,"36-50",B743&lt;=65,"51-65","True","65+")</f>
        <v>36-50</v>
      </c>
      <c r="D743" t="s">
        <v>52</v>
      </c>
      <c r="E743" s="6">
        <v>45087</v>
      </c>
      <c r="F743" s="6">
        <v>45220</v>
      </c>
      <c r="G743">
        <v>15</v>
      </c>
      <c r="H743" t="s">
        <v>57</v>
      </c>
      <c r="I743">
        <v>2</v>
      </c>
      <c r="J743" t="s">
        <v>35</v>
      </c>
      <c r="K743">
        <v>39743</v>
      </c>
      <c r="L743" t="s">
        <v>67</v>
      </c>
      <c r="M743" t="s">
        <v>54</v>
      </c>
      <c r="N743" t="s">
        <v>41</v>
      </c>
      <c r="O743" s="2">
        <v>44967</v>
      </c>
      <c r="P743" s="2">
        <v>44995.75</v>
      </c>
      <c r="Q743" s="38">
        <f t="shared" si="11"/>
        <v>28.75</v>
      </c>
      <c r="R743" t="s">
        <v>55</v>
      </c>
      <c r="S743" t="s">
        <v>29</v>
      </c>
      <c r="T743" t="s">
        <v>43</v>
      </c>
      <c r="U743">
        <v>5</v>
      </c>
      <c r="V743">
        <v>8</v>
      </c>
      <c r="W743" s="18">
        <f>IFERROR(Table1[[#This Row],[Staff Hours Worked]]/Table1[[#This Row],[Staff Available Hours]],0)</f>
        <v>0.625</v>
      </c>
      <c r="X743" t="s">
        <v>31</v>
      </c>
    </row>
    <row r="744" spans="1:24">
      <c r="A744" t="s">
        <v>801</v>
      </c>
      <c r="B744">
        <v>23</v>
      </c>
      <c r="C744" t="str" cm="1">
        <f t="array" ref="C744">_xlfn.IFS(B744&lt;=18,"0-18",B744&lt;=35,"19-35",B744&lt;=50,"36-50",B744&lt;=65,"51-65","True","65+")</f>
        <v>19-35</v>
      </c>
      <c r="D744" t="s">
        <v>33</v>
      </c>
      <c r="E744" s="6">
        <v>45439</v>
      </c>
      <c r="F744" s="6">
        <v>45328</v>
      </c>
      <c r="G744">
        <v>6</v>
      </c>
      <c r="H744" t="s">
        <v>50</v>
      </c>
      <c r="I744">
        <v>4</v>
      </c>
      <c r="J744" t="s">
        <v>71</v>
      </c>
      <c r="K744">
        <v>8216</v>
      </c>
      <c r="L744" t="s">
        <v>67</v>
      </c>
      <c r="M744" t="s">
        <v>54</v>
      </c>
      <c r="N744" t="s">
        <v>27</v>
      </c>
      <c r="O744" s="2">
        <v>45438</v>
      </c>
      <c r="P744" s="2">
        <v>45439.833333333336</v>
      </c>
      <c r="Q744" s="38">
        <f t="shared" si="11"/>
        <v>1.8333333333357587</v>
      </c>
      <c r="R744" t="s">
        <v>55</v>
      </c>
      <c r="S744" t="s">
        <v>29</v>
      </c>
      <c r="T744" t="s">
        <v>30</v>
      </c>
      <c r="U744">
        <v>10</v>
      </c>
      <c r="V744">
        <v>8</v>
      </c>
      <c r="W744" s="18">
        <f>IFERROR(Table1[[#This Row],[Staff Hours Worked]]/Table1[[#This Row],[Staff Available Hours]],0)</f>
        <v>1.25</v>
      </c>
      <c r="X744" t="s">
        <v>48</v>
      </c>
    </row>
    <row r="745" spans="1:24">
      <c r="A745" t="s">
        <v>802</v>
      </c>
      <c r="B745">
        <v>79</v>
      </c>
      <c r="C745" t="str" cm="1">
        <f t="array" ref="C745">_xlfn.IFS(B745&lt;=18,"0-18",B745&lt;=35,"19-35",B745&lt;=50,"36-50",B745&lt;=65,"51-65","True","65+")</f>
        <v>65+</v>
      </c>
      <c r="D745" t="s">
        <v>22</v>
      </c>
      <c r="E745" s="6">
        <v>45432</v>
      </c>
      <c r="F745" s="6">
        <v>45388</v>
      </c>
      <c r="G745">
        <v>15</v>
      </c>
      <c r="H745" t="s">
        <v>63</v>
      </c>
      <c r="I745">
        <v>3</v>
      </c>
      <c r="J745" t="s">
        <v>66</v>
      </c>
      <c r="K745">
        <v>19267</v>
      </c>
      <c r="L745" t="s">
        <v>60</v>
      </c>
      <c r="M745" t="s">
        <v>54</v>
      </c>
      <c r="N745" t="s">
        <v>27</v>
      </c>
      <c r="O745" s="2">
        <v>45429</v>
      </c>
      <c r="P745" s="2">
        <v>45430.75</v>
      </c>
      <c r="Q745" s="38">
        <f t="shared" si="11"/>
        <v>1.75</v>
      </c>
      <c r="R745" t="s">
        <v>42</v>
      </c>
      <c r="S745" t="s">
        <v>29</v>
      </c>
      <c r="T745" t="s">
        <v>43</v>
      </c>
      <c r="U745">
        <v>6</v>
      </c>
      <c r="V745">
        <v>10</v>
      </c>
      <c r="W745" s="18">
        <f>IFERROR(Table1[[#This Row],[Staff Hours Worked]]/Table1[[#This Row],[Staff Available Hours]],0)</f>
        <v>0.6</v>
      </c>
      <c r="X745" t="s">
        <v>48</v>
      </c>
    </row>
    <row r="746" spans="1:24">
      <c r="A746" t="s">
        <v>803</v>
      </c>
      <c r="B746">
        <v>85</v>
      </c>
      <c r="C746" t="str" cm="1">
        <f t="array" ref="C746">_xlfn.IFS(B746&lt;=18,"0-18",B746&lt;=35,"19-35",B746&lt;=50,"36-50",B746&lt;=65,"51-65","True","65+")</f>
        <v>65+</v>
      </c>
      <c r="D746" t="s">
        <v>22</v>
      </c>
      <c r="E746" s="6">
        <v>45375</v>
      </c>
      <c r="F746" s="6">
        <v>45376</v>
      </c>
      <c r="G746">
        <v>1</v>
      </c>
      <c r="H746" t="s">
        <v>50</v>
      </c>
      <c r="I746">
        <v>3</v>
      </c>
      <c r="J746" t="s">
        <v>35</v>
      </c>
      <c r="K746">
        <v>14581</v>
      </c>
      <c r="L746" t="s">
        <v>60</v>
      </c>
      <c r="M746" t="s">
        <v>54</v>
      </c>
      <c r="N746" t="s">
        <v>27</v>
      </c>
      <c r="O746" s="2">
        <v>45373</v>
      </c>
      <c r="P746" s="2">
        <v>45373.208333333336</v>
      </c>
      <c r="Q746" s="38">
        <f t="shared" si="11"/>
        <v>0.20833333333575865</v>
      </c>
      <c r="R746" t="s">
        <v>64</v>
      </c>
      <c r="S746" t="s">
        <v>29</v>
      </c>
      <c r="T746" t="s">
        <v>30</v>
      </c>
      <c r="U746">
        <v>6</v>
      </c>
      <c r="V746">
        <v>10</v>
      </c>
      <c r="W746" s="18">
        <f>IFERROR(Table1[[#This Row],[Staff Hours Worked]]/Table1[[#This Row],[Staff Available Hours]],0)</f>
        <v>0.6</v>
      </c>
      <c r="X746" t="s">
        <v>31</v>
      </c>
    </row>
    <row r="747" spans="1:24">
      <c r="A747" t="s">
        <v>804</v>
      </c>
      <c r="B747">
        <v>14</v>
      </c>
      <c r="C747" t="str" cm="1">
        <f t="array" ref="C747">_xlfn.IFS(B747&lt;=18,"0-18",B747&lt;=35,"19-35",B747&lt;=50,"36-50",B747&lt;=65,"51-65","True","65+")</f>
        <v>0-18</v>
      </c>
      <c r="D747" t="s">
        <v>52</v>
      </c>
      <c r="E747" s="6">
        <v>45009</v>
      </c>
      <c r="F747" s="6">
        <v>45016</v>
      </c>
      <c r="G747">
        <v>7</v>
      </c>
      <c r="H747" t="s">
        <v>40</v>
      </c>
      <c r="I747">
        <v>2</v>
      </c>
      <c r="J747" t="s">
        <v>71</v>
      </c>
      <c r="K747">
        <v>9515</v>
      </c>
      <c r="L747" t="s">
        <v>36</v>
      </c>
      <c r="M747" t="s">
        <v>54</v>
      </c>
      <c r="N747" t="s">
        <v>41</v>
      </c>
      <c r="O747" s="2">
        <v>45007</v>
      </c>
      <c r="P747" s="2">
        <v>45007.833333333336</v>
      </c>
      <c r="Q747" s="38">
        <f t="shared" si="11"/>
        <v>0.83333333333575865</v>
      </c>
      <c r="R747" t="s">
        <v>55</v>
      </c>
      <c r="S747" t="s">
        <v>29</v>
      </c>
      <c r="T747" t="s">
        <v>30</v>
      </c>
      <c r="U747">
        <v>11</v>
      </c>
      <c r="V747">
        <v>12</v>
      </c>
      <c r="W747" s="18">
        <f>IFERROR(Table1[[#This Row],[Staff Hours Worked]]/Table1[[#This Row],[Staff Available Hours]],0)</f>
        <v>0.91666666666666663</v>
      </c>
      <c r="X747" t="s">
        <v>68</v>
      </c>
    </row>
    <row r="748" spans="1:24">
      <c r="A748" t="s">
        <v>805</v>
      </c>
      <c r="B748">
        <v>66</v>
      </c>
      <c r="C748" t="str" cm="1">
        <f t="array" ref="C748">_xlfn.IFS(B748&lt;=18,"0-18",B748&lt;=35,"19-35",B748&lt;=50,"36-50",B748&lt;=65,"51-65","True","65+")</f>
        <v>65+</v>
      </c>
      <c r="D748" t="s">
        <v>45</v>
      </c>
      <c r="E748" s="6">
        <v>45201</v>
      </c>
      <c r="F748" s="6">
        <v>45232</v>
      </c>
      <c r="G748">
        <v>1</v>
      </c>
      <c r="H748" t="s">
        <v>40</v>
      </c>
      <c r="I748">
        <v>1</v>
      </c>
      <c r="J748" t="s">
        <v>35</v>
      </c>
      <c r="K748">
        <v>27076</v>
      </c>
      <c r="L748" t="s">
        <v>60</v>
      </c>
      <c r="M748" t="s">
        <v>54</v>
      </c>
      <c r="N748" t="s">
        <v>27</v>
      </c>
      <c r="O748" s="2">
        <v>45201</v>
      </c>
      <c r="P748" s="2">
        <v>45232.875</v>
      </c>
      <c r="Q748" s="38">
        <f t="shared" si="11"/>
        <v>31.875</v>
      </c>
      <c r="R748" t="s">
        <v>42</v>
      </c>
      <c r="S748" t="s">
        <v>29</v>
      </c>
      <c r="T748" t="s">
        <v>30</v>
      </c>
      <c r="U748">
        <v>5</v>
      </c>
      <c r="V748">
        <v>12</v>
      </c>
      <c r="W748" s="18">
        <f>IFERROR(Table1[[#This Row],[Staff Hours Worked]]/Table1[[#This Row],[Staff Available Hours]],0)</f>
        <v>0.41666666666666669</v>
      </c>
      <c r="X748" t="s">
        <v>48</v>
      </c>
    </row>
    <row r="749" spans="1:24">
      <c r="A749" t="s">
        <v>806</v>
      </c>
      <c r="B749">
        <v>75</v>
      </c>
      <c r="C749" t="str" cm="1">
        <f t="array" ref="C749">_xlfn.IFS(B749&lt;=18,"0-18",B749&lt;=35,"19-35",B749&lt;=50,"36-50",B749&lt;=65,"51-65","True","65+")</f>
        <v>65+</v>
      </c>
      <c r="D749" t="s">
        <v>33</v>
      </c>
      <c r="E749" s="6">
        <v>45369</v>
      </c>
      <c r="F749" s="6">
        <v>45376</v>
      </c>
      <c r="G749">
        <v>7</v>
      </c>
      <c r="H749" t="s">
        <v>57</v>
      </c>
      <c r="I749">
        <v>5</v>
      </c>
      <c r="J749" t="s">
        <v>35</v>
      </c>
      <c r="K749">
        <v>49816</v>
      </c>
      <c r="L749" t="s">
        <v>36</v>
      </c>
      <c r="M749" t="s">
        <v>54</v>
      </c>
      <c r="N749" t="s">
        <v>27</v>
      </c>
      <c r="O749" s="2">
        <v>45365</v>
      </c>
      <c r="P749" s="2">
        <v>45366.166666666664</v>
      </c>
      <c r="Q749" s="38">
        <f t="shared" si="11"/>
        <v>1.1666666666642413</v>
      </c>
      <c r="R749" t="s">
        <v>37</v>
      </c>
      <c r="S749" t="s">
        <v>38</v>
      </c>
      <c r="T749" t="s">
        <v>47</v>
      </c>
      <c r="U749">
        <v>5</v>
      </c>
      <c r="V749">
        <v>8</v>
      </c>
      <c r="W749" s="18">
        <f>IFERROR(Table1[[#This Row],[Staff Hours Worked]]/Table1[[#This Row],[Staff Available Hours]],0)</f>
        <v>0.625</v>
      </c>
      <c r="X749" t="s">
        <v>68</v>
      </c>
    </row>
    <row r="750" spans="1:24">
      <c r="A750" t="s">
        <v>807</v>
      </c>
      <c r="B750">
        <v>51</v>
      </c>
      <c r="C750" t="str" cm="1">
        <f t="array" ref="C750">_xlfn.IFS(B750&lt;=18,"0-18",B750&lt;=35,"19-35",B750&lt;=50,"36-50",B750&lt;=65,"51-65","True","65+")</f>
        <v>51-65</v>
      </c>
      <c r="D750" t="s">
        <v>62</v>
      </c>
      <c r="E750" s="6">
        <v>45257</v>
      </c>
      <c r="F750" s="6">
        <v>45089</v>
      </c>
      <c r="G750">
        <v>9</v>
      </c>
      <c r="H750" t="s">
        <v>57</v>
      </c>
      <c r="I750">
        <v>5</v>
      </c>
      <c r="J750" t="s">
        <v>46</v>
      </c>
      <c r="K750">
        <v>14776</v>
      </c>
      <c r="L750" t="s">
        <v>60</v>
      </c>
      <c r="M750" t="s">
        <v>54</v>
      </c>
      <c r="N750" t="s">
        <v>27</v>
      </c>
      <c r="O750" s="2">
        <v>45253</v>
      </c>
      <c r="P750" s="2">
        <v>45254.958333333336</v>
      </c>
      <c r="Q750" s="38">
        <f t="shared" si="11"/>
        <v>1.9583333333357587</v>
      </c>
      <c r="R750" t="s">
        <v>55</v>
      </c>
      <c r="S750" t="s">
        <v>29</v>
      </c>
      <c r="T750" t="s">
        <v>30</v>
      </c>
      <c r="U750">
        <v>11</v>
      </c>
      <c r="V750">
        <v>12</v>
      </c>
      <c r="W750" s="18">
        <f>IFERROR(Table1[[#This Row],[Staff Hours Worked]]/Table1[[#This Row],[Staff Available Hours]],0)</f>
        <v>0.91666666666666663</v>
      </c>
      <c r="X750" t="s">
        <v>68</v>
      </c>
    </row>
    <row r="751" spans="1:24">
      <c r="A751" t="s">
        <v>808</v>
      </c>
      <c r="B751">
        <v>38</v>
      </c>
      <c r="C751" t="str" cm="1">
        <f t="array" ref="C751">_xlfn.IFS(B751&lt;=18,"0-18",B751&lt;=35,"19-35",B751&lt;=50,"36-50",B751&lt;=65,"51-65","True","65+")</f>
        <v>36-50</v>
      </c>
      <c r="D751" t="s">
        <v>52</v>
      </c>
      <c r="E751" s="6">
        <v>45183</v>
      </c>
      <c r="F751" s="6">
        <v>45189</v>
      </c>
      <c r="G751">
        <v>6</v>
      </c>
      <c r="H751" t="s">
        <v>23</v>
      </c>
      <c r="I751">
        <v>1</v>
      </c>
      <c r="J751" t="s">
        <v>71</v>
      </c>
      <c r="K751">
        <v>26947</v>
      </c>
      <c r="L751" t="s">
        <v>53</v>
      </c>
      <c r="M751" t="s">
        <v>26</v>
      </c>
      <c r="N751" t="s">
        <v>41</v>
      </c>
      <c r="O751" s="2">
        <v>45178</v>
      </c>
      <c r="P751" s="2">
        <v>45178.666666666664</v>
      </c>
      <c r="Q751" s="38">
        <f t="shared" si="11"/>
        <v>0.66666666666424135</v>
      </c>
      <c r="R751" t="s">
        <v>37</v>
      </c>
      <c r="S751" t="s">
        <v>29</v>
      </c>
      <c r="T751" t="s">
        <v>43</v>
      </c>
      <c r="U751">
        <v>7</v>
      </c>
      <c r="V751">
        <v>12</v>
      </c>
      <c r="W751" s="18">
        <f>IFERROR(Table1[[#This Row],[Staff Hours Worked]]/Table1[[#This Row],[Staff Available Hours]],0)</f>
        <v>0.58333333333333337</v>
      </c>
      <c r="X751" t="s">
        <v>68</v>
      </c>
    </row>
    <row r="752" spans="1:24">
      <c r="A752" t="s">
        <v>809</v>
      </c>
      <c r="B752">
        <v>64</v>
      </c>
      <c r="C752" t="str" cm="1">
        <f t="array" ref="C752">_xlfn.IFS(B752&lt;=18,"0-18",B752&lt;=35,"19-35",B752&lt;=50,"36-50",B752&lt;=65,"51-65","True","65+")</f>
        <v>51-65</v>
      </c>
      <c r="D752" t="s">
        <v>45</v>
      </c>
      <c r="E752" s="6">
        <v>44953</v>
      </c>
      <c r="F752" s="6">
        <v>44957</v>
      </c>
      <c r="G752">
        <v>4</v>
      </c>
      <c r="H752" t="s">
        <v>40</v>
      </c>
      <c r="I752">
        <v>2</v>
      </c>
      <c r="J752" t="s">
        <v>66</v>
      </c>
      <c r="K752">
        <v>7963</v>
      </c>
      <c r="L752" t="s">
        <v>53</v>
      </c>
      <c r="M752" t="s">
        <v>54</v>
      </c>
      <c r="N752" t="s">
        <v>27</v>
      </c>
      <c r="O752" s="2">
        <v>44952</v>
      </c>
      <c r="P752" s="2">
        <v>44952.166666666664</v>
      </c>
      <c r="Q752" s="38">
        <f t="shared" si="11"/>
        <v>0.16666666666424135</v>
      </c>
      <c r="R752" t="s">
        <v>55</v>
      </c>
      <c r="S752" t="s">
        <v>29</v>
      </c>
      <c r="T752" t="s">
        <v>43</v>
      </c>
      <c r="U752">
        <v>9</v>
      </c>
      <c r="V752">
        <v>8</v>
      </c>
      <c r="W752" s="18">
        <f>IFERROR(Table1[[#This Row],[Staff Hours Worked]]/Table1[[#This Row],[Staff Available Hours]],0)</f>
        <v>1.125</v>
      </c>
      <c r="X752" t="s">
        <v>68</v>
      </c>
    </row>
    <row r="753" spans="1:24">
      <c r="A753" t="s">
        <v>810</v>
      </c>
      <c r="B753">
        <v>38</v>
      </c>
      <c r="C753" t="str" cm="1">
        <f t="array" ref="C753">_xlfn.IFS(B753&lt;=18,"0-18",B753&lt;=35,"19-35",B753&lt;=50,"36-50",B753&lt;=65,"51-65","True","65+")</f>
        <v>36-50</v>
      </c>
      <c r="D753" t="s">
        <v>62</v>
      </c>
      <c r="E753" s="6">
        <v>45020</v>
      </c>
      <c r="F753" s="6">
        <v>45234</v>
      </c>
      <c r="G753">
        <v>7</v>
      </c>
      <c r="H753" t="s">
        <v>63</v>
      </c>
      <c r="I753">
        <v>5</v>
      </c>
      <c r="J753" t="s">
        <v>66</v>
      </c>
      <c r="K753">
        <v>11786</v>
      </c>
      <c r="L753" t="s">
        <v>36</v>
      </c>
      <c r="M753" t="s">
        <v>54</v>
      </c>
      <c r="N753" t="s">
        <v>27</v>
      </c>
      <c r="O753" s="2">
        <v>45015</v>
      </c>
      <c r="P753" s="2">
        <v>45015.666666666664</v>
      </c>
      <c r="Q753" s="38">
        <f t="shared" si="11"/>
        <v>0.66666666666424135</v>
      </c>
      <c r="R753" t="s">
        <v>28</v>
      </c>
      <c r="S753" t="s">
        <v>29</v>
      </c>
      <c r="T753" t="s">
        <v>30</v>
      </c>
      <c r="U753">
        <v>11</v>
      </c>
      <c r="V753">
        <v>10</v>
      </c>
      <c r="W753" s="18">
        <f>IFERROR(Table1[[#This Row],[Staff Hours Worked]]/Table1[[#This Row],[Staff Available Hours]],0)</f>
        <v>1.1000000000000001</v>
      </c>
      <c r="X753" t="s">
        <v>48</v>
      </c>
    </row>
    <row r="754" spans="1:24">
      <c r="A754" t="s">
        <v>811</v>
      </c>
      <c r="B754">
        <v>50</v>
      </c>
      <c r="C754" t="str" cm="1">
        <f t="array" ref="C754">_xlfn.IFS(B754&lt;=18,"0-18",B754&lt;=35,"19-35",B754&lt;=50,"36-50",B754&lt;=65,"51-65","True","65+")</f>
        <v>36-50</v>
      </c>
      <c r="D754" t="s">
        <v>22</v>
      </c>
      <c r="E754" s="6">
        <v>45161</v>
      </c>
      <c r="F754" s="6">
        <v>45163</v>
      </c>
      <c r="G754">
        <v>2</v>
      </c>
      <c r="H754" t="s">
        <v>50</v>
      </c>
      <c r="I754">
        <v>3</v>
      </c>
      <c r="J754" t="s">
        <v>71</v>
      </c>
      <c r="K754">
        <v>18866</v>
      </c>
      <c r="L754" t="s">
        <v>60</v>
      </c>
      <c r="M754" t="s">
        <v>54</v>
      </c>
      <c r="N754" t="s">
        <v>27</v>
      </c>
      <c r="O754" s="2">
        <v>45156</v>
      </c>
      <c r="P754" s="2">
        <v>45156.25</v>
      </c>
      <c r="Q754" s="38">
        <f t="shared" si="11"/>
        <v>0.25</v>
      </c>
      <c r="R754" t="s">
        <v>42</v>
      </c>
      <c r="S754" t="s">
        <v>29</v>
      </c>
      <c r="T754" t="s">
        <v>30</v>
      </c>
      <c r="U754">
        <v>7</v>
      </c>
      <c r="V754">
        <v>10</v>
      </c>
      <c r="W754" s="18">
        <f>IFERROR(Table1[[#This Row],[Staff Hours Worked]]/Table1[[#This Row],[Staff Available Hours]],0)</f>
        <v>0.7</v>
      </c>
      <c r="X754" t="s">
        <v>48</v>
      </c>
    </row>
    <row r="755" spans="1:24">
      <c r="A755" t="s">
        <v>812</v>
      </c>
      <c r="B755">
        <v>82</v>
      </c>
      <c r="C755" t="str" cm="1">
        <f t="array" ref="C755">_xlfn.IFS(B755&lt;=18,"0-18",B755&lt;=35,"19-35",B755&lt;=50,"36-50",B755&lt;=65,"51-65","True","65+")</f>
        <v>65+</v>
      </c>
      <c r="D755" t="s">
        <v>22</v>
      </c>
      <c r="E755" s="6">
        <v>44948</v>
      </c>
      <c r="F755" s="6">
        <v>44954</v>
      </c>
      <c r="G755">
        <v>6</v>
      </c>
      <c r="H755" t="s">
        <v>34</v>
      </c>
      <c r="I755">
        <v>1</v>
      </c>
      <c r="J755" t="s">
        <v>46</v>
      </c>
      <c r="K755">
        <v>43968</v>
      </c>
      <c r="L755" t="s">
        <v>60</v>
      </c>
      <c r="M755" t="s">
        <v>54</v>
      </c>
      <c r="N755" t="s">
        <v>41</v>
      </c>
      <c r="O755" s="2">
        <v>44945</v>
      </c>
      <c r="P755" s="2">
        <v>44946.166666666664</v>
      </c>
      <c r="Q755" s="38">
        <f t="shared" si="11"/>
        <v>1.1666666666642413</v>
      </c>
      <c r="R755" t="s">
        <v>42</v>
      </c>
      <c r="S755" t="s">
        <v>29</v>
      </c>
      <c r="T755" t="s">
        <v>43</v>
      </c>
      <c r="U755">
        <v>6</v>
      </c>
      <c r="V755">
        <v>8</v>
      </c>
      <c r="W755" s="18">
        <f>IFERROR(Table1[[#This Row],[Staff Hours Worked]]/Table1[[#This Row],[Staff Available Hours]],0)</f>
        <v>0.75</v>
      </c>
      <c r="X755" t="s">
        <v>68</v>
      </c>
    </row>
    <row r="756" spans="1:24">
      <c r="A756" t="s">
        <v>813</v>
      </c>
      <c r="B756">
        <v>30</v>
      </c>
      <c r="C756" t="str" cm="1">
        <f t="array" ref="C756">_xlfn.IFS(B756&lt;=18,"0-18",B756&lt;=35,"19-35",B756&lt;=50,"36-50",B756&lt;=65,"51-65","True","65+")</f>
        <v>19-35</v>
      </c>
      <c r="D756" t="s">
        <v>62</v>
      </c>
      <c r="E756" s="6">
        <v>44995</v>
      </c>
      <c r="F756" s="6">
        <v>45117</v>
      </c>
      <c r="G756">
        <v>4</v>
      </c>
      <c r="H756" t="s">
        <v>57</v>
      </c>
      <c r="I756">
        <v>4</v>
      </c>
      <c r="J756" t="s">
        <v>24</v>
      </c>
      <c r="K756">
        <v>37305</v>
      </c>
      <c r="L756" t="s">
        <v>67</v>
      </c>
      <c r="M756" t="s">
        <v>26</v>
      </c>
      <c r="N756" t="s">
        <v>27</v>
      </c>
      <c r="O756" s="2">
        <v>45198</v>
      </c>
      <c r="P756" s="2">
        <v>45198.333333333336</v>
      </c>
      <c r="Q756" s="38">
        <f t="shared" si="11"/>
        <v>0.33333333333575865</v>
      </c>
      <c r="R756" t="s">
        <v>28</v>
      </c>
      <c r="S756" t="s">
        <v>29</v>
      </c>
      <c r="T756" t="s">
        <v>30</v>
      </c>
      <c r="U756">
        <v>7</v>
      </c>
      <c r="V756">
        <v>8</v>
      </c>
      <c r="W756" s="18">
        <f>IFERROR(Table1[[#This Row],[Staff Hours Worked]]/Table1[[#This Row],[Staff Available Hours]],0)</f>
        <v>0.875</v>
      </c>
      <c r="X756" t="s">
        <v>68</v>
      </c>
    </row>
    <row r="757" spans="1:24">
      <c r="A757" t="s">
        <v>814</v>
      </c>
      <c r="B757">
        <v>79</v>
      </c>
      <c r="C757" t="str" cm="1">
        <f t="array" ref="C757">_xlfn.IFS(B757&lt;=18,"0-18",B757&lt;=35,"19-35",B757&lt;=50,"36-50",B757&lt;=65,"51-65","True","65+")</f>
        <v>65+</v>
      </c>
      <c r="D757" t="s">
        <v>52</v>
      </c>
      <c r="E757" s="6">
        <v>45232</v>
      </c>
      <c r="F757" s="6">
        <v>45262</v>
      </c>
      <c r="G757">
        <v>1</v>
      </c>
      <c r="H757" t="s">
        <v>34</v>
      </c>
      <c r="I757">
        <v>2</v>
      </c>
      <c r="J757" t="s">
        <v>35</v>
      </c>
      <c r="K757">
        <v>22360</v>
      </c>
      <c r="L757" t="s">
        <v>25</v>
      </c>
      <c r="M757" t="s">
        <v>26</v>
      </c>
      <c r="N757" t="s">
        <v>27</v>
      </c>
      <c r="O757" s="2">
        <v>45140</v>
      </c>
      <c r="P757" s="2">
        <v>45171.25</v>
      </c>
      <c r="Q757" s="38">
        <f t="shared" si="11"/>
        <v>31.25</v>
      </c>
      <c r="R757" t="s">
        <v>64</v>
      </c>
      <c r="S757" t="s">
        <v>29</v>
      </c>
      <c r="T757" t="s">
        <v>47</v>
      </c>
      <c r="U757">
        <v>6</v>
      </c>
      <c r="V757">
        <v>8</v>
      </c>
      <c r="W757" s="18">
        <f>IFERROR(Table1[[#This Row],[Staff Hours Worked]]/Table1[[#This Row],[Staff Available Hours]],0)</f>
        <v>0.75</v>
      </c>
      <c r="X757" t="s">
        <v>31</v>
      </c>
    </row>
    <row r="758" spans="1:24">
      <c r="A758" t="s">
        <v>815</v>
      </c>
      <c r="B758">
        <v>51</v>
      </c>
      <c r="C758" t="str" cm="1">
        <f t="array" ref="C758">_xlfn.IFS(B758&lt;=18,"0-18",B758&lt;=35,"19-35",B758&lt;=50,"36-50",B758&lt;=65,"51-65","True","65+")</f>
        <v>51-65</v>
      </c>
      <c r="D758" t="s">
        <v>22</v>
      </c>
      <c r="E758" s="6">
        <v>45106</v>
      </c>
      <c r="F758" s="6">
        <v>45053</v>
      </c>
      <c r="G758">
        <v>6</v>
      </c>
      <c r="H758" t="s">
        <v>63</v>
      </c>
      <c r="I758">
        <v>1</v>
      </c>
      <c r="J758" t="s">
        <v>46</v>
      </c>
      <c r="K758">
        <v>45113</v>
      </c>
      <c r="L758" t="s">
        <v>36</v>
      </c>
      <c r="M758" t="s">
        <v>54</v>
      </c>
      <c r="N758" t="s">
        <v>41</v>
      </c>
      <c r="O758" s="2">
        <v>45106</v>
      </c>
      <c r="P758" s="2">
        <v>45107.666666666664</v>
      </c>
      <c r="Q758" s="38">
        <f t="shared" si="11"/>
        <v>1.6666666666642413</v>
      </c>
      <c r="R758" t="s">
        <v>42</v>
      </c>
      <c r="S758" t="s">
        <v>38</v>
      </c>
      <c r="T758" t="s">
        <v>30</v>
      </c>
      <c r="U758">
        <v>4</v>
      </c>
      <c r="V758">
        <v>8</v>
      </c>
      <c r="W758" s="18">
        <f>IFERROR(Table1[[#This Row],[Staff Hours Worked]]/Table1[[#This Row],[Staff Available Hours]],0)</f>
        <v>0.5</v>
      </c>
      <c r="X758" t="s">
        <v>31</v>
      </c>
    </row>
    <row r="759" spans="1:24">
      <c r="A759" t="s">
        <v>816</v>
      </c>
      <c r="B759">
        <v>63</v>
      </c>
      <c r="C759" t="str" cm="1">
        <f t="array" ref="C759">_xlfn.IFS(B759&lt;=18,"0-18",B759&lt;=35,"19-35",B759&lt;=50,"36-50",B759&lt;=65,"51-65","True","65+")</f>
        <v>51-65</v>
      </c>
      <c r="D759" t="s">
        <v>33</v>
      </c>
      <c r="E759" s="6">
        <v>45408</v>
      </c>
      <c r="F759" s="6">
        <v>45601</v>
      </c>
      <c r="G759">
        <v>15</v>
      </c>
      <c r="H759" t="s">
        <v>57</v>
      </c>
      <c r="I759">
        <v>5</v>
      </c>
      <c r="J759" t="s">
        <v>71</v>
      </c>
      <c r="K759">
        <v>37813</v>
      </c>
      <c r="L759" t="s">
        <v>25</v>
      </c>
      <c r="M759" t="s">
        <v>26</v>
      </c>
      <c r="N759" t="s">
        <v>41</v>
      </c>
      <c r="O759" s="2">
        <v>45406</v>
      </c>
      <c r="P759" s="2">
        <v>45407.625</v>
      </c>
      <c r="Q759" s="38">
        <f t="shared" si="11"/>
        <v>1.625</v>
      </c>
      <c r="R759" t="s">
        <v>37</v>
      </c>
      <c r="S759" t="s">
        <v>29</v>
      </c>
      <c r="T759" t="s">
        <v>47</v>
      </c>
      <c r="U759">
        <v>6</v>
      </c>
      <c r="V759">
        <v>8</v>
      </c>
      <c r="W759" s="18">
        <f>IFERROR(Table1[[#This Row],[Staff Hours Worked]]/Table1[[#This Row],[Staff Available Hours]],0)</f>
        <v>0.75</v>
      </c>
      <c r="X759" t="s">
        <v>31</v>
      </c>
    </row>
    <row r="760" spans="1:24">
      <c r="A760" t="s">
        <v>817</v>
      </c>
      <c r="B760">
        <v>52</v>
      </c>
      <c r="C760" t="str" cm="1">
        <f t="array" ref="C760">_xlfn.IFS(B760&lt;=18,"0-18",B760&lt;=35,"19-35",B760&lt;=50,"36-50",B760&lt;=65,"51-65","True","65+")</f>
        <v>51-65</v>
      </c>
      <c r="D760" t="s">
        <v>41</v>
      </c>
      <c r="E760" s="6">
        <v>45458</v>
      </c>
      <c r="F760" s="6">
        <v>45460</v>
      </c>
      <c r="G760">
        <v>2</v>
      </c>
      <c r="H760" t="s">
        <v>34</v>
      </c>
      <c r="I760">
        <v>2</v>
      </c>
      <c r="J760" t="s">
        <v>35</v>
      </c>
      <c r="K760">
        <v>6193</v>
      </c>
      <c r="L760" t="s">
        <v>25</v>
      </c>
      <c r="M760" t="s">
        <v>54</v>
      </c>
      <c r="N760" t="s">
        <v>27</v>
      </c>
      <c r="O760" s="2">
        <v>45571</v>
      </c>
      <c r="P760" s="2">
        <v>45571.166666666664</v>
      </c>
      <c r="Q760" s="38">
        <f t="shared" si="11"/>
        <v>0.16666666666424135</v>
      </c>
      <c r="R760" t="s">
        <v>42</v>
      </c>
      <c r="S760" t="s">
        <v>29</v>
      </c>
      <c r="T760" t="s">
        <v>47</v>
      </c>
      <c r="U760">
        <v>6</v>
      </c>
      <c r="V760">
        <v>8</v>
      </c>
      <c r="W760" s="18">
        <f>IFERROR(Table1[[#This Row],[Staff Hours Worked]]/Table1[[#This Row],[Staff Available Hours]],0)</f>
        <v>0.75</v>
      </c>
      <c r="X760" t="s">
        <v>48</v>
      </c>
    </row>
    <row r="761" spans="1:24">
      <c r="A761" t="s">
        <v>818</v>
      </c>
      <c r="B761">
        <v>38</v>
      </c>
      <c r="C761" t="str" cm="1">
        <f t="array" ref="C761">_xlfn.IFS(B761&lt;=18,"0-18",B761&lt;=35,"19-35",B761&lt;=50,"36-50",B761&lt;=65,"51-65","True","65+")</f>
        <v>36-50</v>
      </c>
      <c r="D761" t="s">
        <v>62</v>
      </c>
      <c r="E761" s="6">
        <v>45379</v>
      </c>
      <c r="F761" s="6">
        <v>45600</v>
      </c>
      <c r="G761">
        <v>14</v>
      </c>
      <c r="H761" t="s">
        <v>63</v>
      </c>
      <c r="I761">
        <v>3</v>
      </c>
      <c r="J761" t="s">
        <v>66</v>
      </c>
      <c r="K761">
        <v>9512</v>
      </c>
      <c r="L761" t="s">
        <v>36</v>
      </c>
      <c r="M761" t="s">
        <v>26</v>
      </c>
      <c r="N761" t="s">
        <v>41</v>
      </c>
      <c r="O761" s="2">
        <v>45374</v>
      </c>
      <c r="P761" s="2">
        <v>45374.833333333336</v>
      </c>
      <c r="Q761" s="38">
        <f t="shared" si="11"/>
        <v>0.83333333333575865</v>
      </c>
      <c r="R761" t="s">
        <v>64</v>
      </c>
      <c r="S761" t="s">
        <v>38</v>
      </c>
      <c r="T761" t="s">
        <v>47</v>
      </c>
      <c r="U761">
        <v>7</v>
      </c>
      <c r="V761">
        <v>12</v>
      </c>
      <c r="W761" s="18">
        <f>IFERROR(Table1[[#This Row],[Staff Hours Worked]]/Table1[[#This Row],[Staff Available Hours]],0)</f>
        <v>0.58333333333333337</v>
      </c>
      <c r="X761" t="s">
        <v>31</v>
      </c>
    </row>
    <row r="762" spans="1:24">
      <c r="A762" t="s">
        <v>819</v>
      </c>
      <c r="B762">
        <v>88</v>
      </c>
      <c r="C762" t="str" cm="1">
        <f t="array" ref="C762">_xlfn.IFS(B762&lt;=18,"0-18",B762&lt;=35,"19-35",B762&lt;=50,"36-50",B762&lt;=65,"51-65","True","65+")</f>
        <v>65+</v>
      </c>
      <c r="D762" t="s">
        <v>62</v>
      </c>
      <c r="E762" s="6">
        <v>45270</v>
      </c>
      <c r="F762" s="6">
        <v>45223</v>
      </c>
      <c r="G762">
        <v>12</v>
      </c>
      <c r="H762" t="s">
        <v>50</v>
      </c>
      <c r="I762">
        <v>2</v>
      </c>
      <c r="J762" t="s">
        <v>24</v>
      </c>
      <c r="K762">
        <v>27666</v>
      </c>
      <c r="L762" t="s">
        <v>60</v>
      </c>
      <c r="M762" t="s">
        <v>54</v>
      </c>
      <c r="N762" t="s">
        <v>41</v>
      </c>
      <c r="O762" s="2">
        <v>45179</v>
      </c>
      <c r="P762" s="2">
        <v>45209.791666666664</v>
      </c>
      <c r="Q762" s="38">
        <f t="shared" si="11"/>
        <v>30.791666666664241</v>
      </c>
      <c r="R762" t="s">
        <v>37</v>
      </c>
      <c r="S762" t="s">
        <v>29</v>
      </c>
      <c r="T762" t="s">
        <v>30</v>
      </c>
      <c r="U762">
        <v>9</v>
      </c>
      <c r="V762">
        <v>12</v>
      </c>
      <c r="W762" s="18">
        <f>IFERROR(Table1[[#This Row],[Staff Hours Worked]]/Table1[[#This Row],[Staff Available Hours]],0)</f>
        <v>0.75</v>
      </c>
      <c r="X762" t="s">
        <v>48</v>
      </c>
    </row>
    <row r="763" spans="1:24">
      <c r="A763" t="s">
        <v>820</v>
      </c>
      <c r="B763">
        <v>79</v>
      </c>
      <c r="C763" t="str" cm="1">
        <f t="array" ref="C763">_xlfn.IFS(B763&lt;=18,"0-18",B763&lt;=35,"19-35",B763&lt;=50,"36-50",B763&lt;=65,"51-65","True","65+")</f>
        <v>65+</v>
      </c>
      <c r="D763" t="s">
        <v>22</v>
      </c>
      <c r="E763" s="6">
        <v>45053</v>
      </c>
      <c r="F763" s="6">
        <v>45123</v>
      </c>
      <c r="G763">
        <v>11</v>
      </c>
      <c r="H763" t="s">
        <v>63</v>
      </c>
      <c r="I763">
        <v>2</v>
      </c>
      <c r="J763" t="s">
        <v>66</v>
      </c>
      <c r="K763">
        <v>21630</v>
      </c>
      <c r="L763" t="s">
        <v>36</v>
      </c>
      <c r="M763" t="s">
        <v>54</v>
      </c>
      <c r="N763" t="s">
        <v>27</v>
      </c>
      <c r="O763" s="2">
        <v>44933</v>
      </c>
      <c r="P763" s="2">
        <v>44992</v>
      </c>
      <c r="Q763" s="38">
        <f t="shared" si="11"/>
        <v>59</v>
      </c>
      <c r="R763" t="s">
        <v>37</v>
      </c>
      <c r="S763" t="s">
        <v>29</v>
      </c>
      <c r="T763" t="s">
        <v>47</v>
      </c>
      <c r="U763">
        <v>4</v>
      </c>
      <c r="V763">
        <v>12</v>
      </c>
      <c r="W763" s="18">
        <f>IFERROR(Table1[[#This Row],[Staff Hours Worked]]/Table1[[#This Row],[Staff Available Hours]],0)</f>
        <v>0.33333333333333331</v>
      </c>
      <c r="X763" t="s">
        <v>48</v>
      </c>
    </row>
    <row r="764" spans="1:24">
      <c r="A764" t="s">
        <v>821</v>
      </c>
      <c r="B764">
        <v>30</v>
      </c>
      <c r="C764" t="str" cm="1">
        <f t="array" ref="C764">_xlfn.IFS(B764&lt;=18,"0-18",B764&lt;=35,"19-35",B764&lt;=50,"36-50",B764&lt;=65,"51-65","True","65+")</f>
        <v>19-35</v>
      </c>
      <c r="D764" t="s">
        <v>52</v>
      </c>
      <c r="E764" s="6">
        <v>45373</v>
      </c>
      <c r="F764" s="6">
        <v>45379</v>
      </c>
      <c r="G764">
        <v>6</v>
      </c>
      <c r="H764" t="s">
        <v>23</v>
      </c>
      <c r="I764">
        <v>3</v>
      </c>
      <c r="J764" t="s">
        <v>71</v>
      </c>
      <c r="K764">
        <v>13983</v>
      </c>
      <c r="L764" t="s">
        <v>25</v>
      </c>
      <c r="M764" t="s">
        <v>26</v>
      </c>
      <c r="N764" t="s">
        <v>27</v>
      </c>
      <c r="O764" s="2">
        <v>45371</v>
      </c>
      <c r="P764" s="2">
        <v>45372.791666666664</v>
      </c>
      <c r="Q764" s="38">
        <f t="shared" si="11"/>
        <v>1.7916666666642413</v>
      </c>
      <c r="R764" t="s">
        <v>28</v>
      </c>
      <c r="S764" t="s">
        <v>29</v>
      </c>
      <c r="T764" t="s">
        <v>47</v>
      </c>
      <c r="U764">
        <v>8</v>
      </c>
      <c r="V764">
        <v>10</v>
      </c>
      <c r="W764" s="18">
        <f>IFERROR(Table1[[#This Row],[Staff Hours Worked]]/Table1[[#This Row],[Staff Available Hours]],0)</f>
        <v>0.8</v>
      </c>
      <c r="X764" t="s">
        <v>48</v>
      </c>
    </row>
    <row r="765" spans="1:24">
      <c r="A765" t="s">
        <v>822</v>
      </c>
      <c r="B765">
        <v>51</v>
      </c>
      <c r="C765" t="str" cm="1">
        <f t="array" ref="C765">_xlfn.IFS(B765&lt;=18,"0-18",B765&lt;=35,"19-35",B765&lt;=50,"36-50",B765&lt;=65,"51-65","True","65+")</f>
        <v>51-65</v>
      </c>
      <c r="D765" t="s">
        <v>33</v>
      </c>
      <c r="E765" s="6">
        <v>45430</v>
      </c>
      <c r="F765" s="6">
        <v>45443</v>
      </c>
      <c r="G765">
        <v>13</v>
      </c>
      <c r="H765" t="s">
        <v>57</v>
      </c>
      <c r="I765">
        <v>3</v>
      </c>
      <c r="J765" t="s">
        <v>35</v>
      </c>
      <c r="K765">
        <v>5636</v>
      </c>
      <c r="L765" t="s">
        <v>60</v>
      </c>
      <c r="M765" t="s">
        <v>26</v>
      </c>
      <c r="N765" t="s">
        <v>41</v>
      </c>
      <c r="O765" s="2">
        <v>45425</v>
      </c>
      <c r="P765" s="2">
        <v>45427</v>
      </c>
      <c r="Q765" s="38">
        <f t="shared" si="11"/>
        <v>2</v>
      </c>
      <c r="R765" t="s">
        <v>55</v>
      </c>
      <c r="S765" t="s">
        <v>29</v>
      </c>
      <c r="T765" t="s">
        <v>30</v>
      </c>
      <c r="U765">
        <v>8</v>
      </c>
      <c r="V765">
        <v>8</v>
      </c>
      <c r="W765" s="18">
        <f>IFERROR(Table1[[#This Row],[Staff Hours Worked]]/Table1[[#This Row],[Staff Available Hours]],0)</f>
        <v>1</v>
      </c>
      <c r="X765" t="s">
        <v>48</v>
      </c>
    </row>
    <row r="766" spans="1:24">
      <c r="A766" t="s">
        <v>823</v>
      </c>
      <c r="B766">
        <v>81</v>
      </c>
      <c r="C766" t="str" cm="1">
        <f t="array" ref="C766">_xlfn.IFS(B766&lt;=18,"0-18",B766&lt;=35,"19-35",B766&lt;=50,"36-50",B766&lt;=65,"51-65","True","65+")</f>
        <v>65+</v>
      </c>
      <c r="D766" t="s">
        <v>52</v>
      </c>
      <c r="E766" s="6">
        <v>45020</v>
      </c>
      <c r="F766" s="6">
        <v>45111</v>
      </c>
      <c r="G766">
        <v>3</v>
      </c>
      <c r="H766" t="s">
        <v>40</v>
      </c>
      <c r="I766">
        <v>2</v>
      </c>
      <c r="J766" t="s">
        <v>71</v>
      </c>
      <c r="K766">
        <v>8775</v>
      </c>
      <c r="L766" t="s">
        <v>53</v>
      </c>
      <c r="M766" t="s">
        <v>26</v>
      </c>
      <c r="N766" t="s">
        <v>27</v>
      </c>
      <c r="O766" s="2">
        <v>44930</v>
      </c>
      <c r="P766" s="2">
        <v>44930.5</v>
      </c>
      <c r="Q766" s="38">
        <f t="shared" si="11"/>
        <v>0.5</v>
      </c>
      <c r="R766" t="s">
        <v>28</v>
      </c>
      <c r="S766" t="s">
        <v>29</v>
      </c>
      <c r="T766" t="s">
        <v>47</v>
      </c>
      <c r="U766">
        <v>9</v>
      </c>
      <c r="V766">
        <v>8</v>
      </c>
      <c r="W766" s="18">
        <f>IFERROR(Table1[[#This Row],[Staff Hours Worked]]/Table1[[#This Row],[Staff Available Hours]],0)</f>
        <v>1.125</v>
      </c>
      <c r="X766" t="s">
        <v>31</v>
      </c>
    </row>
    <row r="767" spans="1:24">
      <c r="A767" t="s">
        <v>824</v>
      </c>
      <c r="B767">
        <v>5</v>
      </c>
      <c r="C767" t="str" cm="1">
        <f t="array" ref="C767">_xlfn.IFS(B767&lt;=18,"0-18",B767&lt;=35,"19-35",B767&lt;=50,"36-50",B767&lt;=65,"51-65","True","65+")</f>
        <v>0-18</v>
      </c>
      <c r="D767" t="s">
        <v>45</v>
      </c>
      <c r="E767" s="6">
        <v>45408</v>
      </c>
      <c r="F767" s="6">
        <v>45411</v>
      </c>
      <c r="G767">
        <v>3</v>
      </c>
      <c r="H767" t="s">
        <v>50</v>
      </c>
      <c r="I767">
        <v>3</v>
      </c>
      <c r="J767" t="s">
        <v>35</v>
      </c>
      <c r="K767">
        <v>7421</v>
      </c>
      <c r="L767" t="s">
        <v>36</v>
      </c>
      <c r="M767" t="s">
        <v>54</v>
      </c>
      <c r="N767" t="s">
        <v>41</v>
      </c>
      <c r="O767" s="2">
        <v>45405</v>
      </c>
      <c r="P767" s="2">
        <v>45405.333333333336</v>
      </c>
      <c r="Q767" s="38">
        <f t="shared" si="11"/>
        <v>0.33333333333575865</v>
      </c>
      <c r="R767" t="s">
        <v>55</v>
      </c>
      <c r="S767" t="s">
        <v>29</v>
      </c>
      <c r="T767" t="s">
        <v>30</v>
      </c>
      <c r="U767">
        <v>8</v>
      </c>
      <c r="V767">
        <v>12</v>
      </c>
      <c r="W767" s="18">
        <f>IFERROR(Table1[[#This Row],[Staff Hours Worked]]/Table1[[#This Row],[Staff Available Hours]],0)</f>
        <v>0.66666666666666663</v>
      </c>
      <c r="X767" t="s">
        <v>68</v>
      </c>
    </row>
    <row r="768" spans="1:24">
      <c r="A768" t="s">
        <v>825</v>
      </c>
      <c r="B768">
        <v>29</v>
      </c>
      <c r="C768" t="str" cm="1">
        <f t="array" ref="C768">_xlfn.IFS(B768&lt;=18,"0-18",B768&lt;=35,"19-35",B768&lt;=50,"36-50",B768&lt;=65,"51-65","True","65+")</f>
        <v>19-35</v>
      </c>
      <c r="D768" t="s">
        <v>45</v>
      </c>
      <c r="E768" s="6">
        <v>45283</v>
      </c>
      <c r="F768" s="6">
        <v>45284</v>
      </c>
      <c r="G768">
        <v>1</v>
      </c>
      <c r="H768" t="s">
        <v>34</v>
      </c>
      <c r="I768">
        <v>1</v>
      </c>
      <c r="J768" t="s">
        <v>46</v>
      </c>
      <c r="K768">
        <v>18025</v>
      </c>
      <c r="L768" t="s">
        <v>36</v>
      </c>
      <c r="M768" t="s">
        <v>54</v>
      </c>
      <c r="N768" t="s">
        <v>41</v>
      </c>
      <c r="O768" s="2">
        <v>45282</v>
      </c>
      <c r="P768" s="2">
        <v>45282.041666666664</v>
      </c>
      <c r="Q768" s="38">
        <f t="shared" si="11"/>
        <v>4.1666666664241347E-2</v>
      </c>
      <c r="R768" t="s">
        <v>28</v>
      </c>
      <c r="S768" t="s">
        <v>29</v>
      </c>
      <c r="T768" t="s">
        <v>43</v>
      </c>
      <c r="U768">
        <v>4</v>
      </c>
      <c r="V768">
        <v>10</v>
      </c>
      <c r="W768" s="18">
        <f>IFERROR(Table1[[#This Row],[Staff Hours Worked]]/Table1[[#This Row],[Staff Available Hours]],0)</f>
        <v>0.4</v>
      </c>
      <c r="X768" t="s">
        <v>68</v>
      </c>
    </row>
    <row r="769" spans="1:24">
      <c r="A769" t="s">
        <v>826</v>
      </c>
      <c r="B769">
        <v>4</v>
      </c>
      <c r="C769" t="str" cm="1">
        <f t="array" ref="C769">_xlfn.IFS(B769&lt;=18,"0-18",B769&lt;=35,"19-35",B769&lt;=50,"36-50",B769&lt;=65,"51-65","True","65+")</f>
        <v>0-18</v>
      </c>
      <c r="D769" t="s">
        <v>41</v>
      </c>
      <c r="E769" s="6">
        <v>45345</v>
      </c>
      <c r="F769" s="6">
        <v>45350</v>
      </c>
      <c r="G769">
        <v>5</v>
      </c>
      <c r="H769" t="s">
        <v>57</v>
      </c>
      <c r="I769">
        <v>3</v>
      </c>
      <c r="J769" t="s">
        <v>24</v>
      </c>
      <c r="K769">
        <v>14280</v>
      </c>
      <c r="L769" t="s">
        <v>60</v>
      </c>
      <c r="M769" t="s">
        <v>26</v>
      </c>
      <c r="N769" t="s">
        <v>41</v>
      </c>
      <c r="O769" s="2">
        <v>45343</v>
      </c>
      <c r="P769" s="2">
        <v>45344.916666666664</v>
      </c>
      <c r="Q769" s="38">
        <f t="shared" si="11"/>
        <v>1.9166666666642413</v>
      </c>
      <c r="R769" t="s">
        <v>55</v>
      </c>
      <c r="S769" t="s">
        <v>29</v>
      </c>
      <c r="T769" t="s">
        <v>47</v>
      </c>
      <c r="U769">
        <v>5</v>
      </c>
      <c r="V769">
        <v>12</v>
      </c>
      <c r="W769" s="18">
        <f>IFERROR(Table1[[#This Row],[Staff Hours Worked]]/Table1[[#This Row],[Staff Available Hours]],0)</f>
        <v>0.41666666666666669</v>
      </c>
      <c r="X769" t="s">
        <v>68</v>
      </c>
    </row>
    <row r="770" spans="1:24">
      <c r="A770" t="s">
        <v>827</v>
      </c>
      <c r="B770">
        <v>10</v>
      </c>
      <c r="C770" t="str" cm="1">
        <f t="array" ref="C770">_xlfn.IFS(B770&lt;=18,"0-18",B770&lt;=35,"19-35",B770&lt;=50,"36-50",B770&lt;=65,"51-65","True","65+")</f>
        <v>0-18</v>
      </c>
      <c r="D770" t="s">
        <v>22</v>
      </c>
      <c r="E770" s="6">
        <v>45150</v>
      </c>
      <c r="F770" s="6">
        <v>45283</v>
      </c>
      <c r="G770">
        <v>15</v>
      </c>
      <c r="H770" t="s">
        <v>40</v>
      </c>
      <c r="I770">
        <v>3</v>
      </c>
      <c r="J770" t="s">
        <v>46</v>
      </c>
      <c r="K770">
        <v>41951</v>
      </c>
      <c r="L770" t="s">
        <v>53</v>
      </c>
      <c r="M770" t="s">
        <v>54</v>
      </c>
      <c r="N770" t="s">
        <v>27</v>
      </c>
      <c r="O770" s="2">
        <v>45058</v>
      </c>
      <c r="P770" s="2">
        <v>45058.375</v>
      </c>
      <c r="Q770" s="38">
        <f t="shared" ref="Q770:Q833" si="12">IF(OR(O770="",P770=""),"",ABS(P770-O770))</f>
        <v>0.375</v>
      </c>
      <c r="R770" t="s">
        <v>42</v>
      </c>
      <c r="S770" t="s">
        <v>29</v>
      </c>
      <c r="T770" t="s">
        <v>30</v>
      </c>
      <c r="U770">
        <v>4</v>
      </c>
      <c r="V770">
        <v>8</v>
      </c>
      <c r="W770" s="18">
        <f>IFERROR(Table1[[#This Row],[Staff Hours Worked]]/Table1[[#This Row],[Staff Available Hours]],0)</f>
        <v>0.5</v>
      </c>
      <c r="X770" t="s">
        <v>31</v>
      </c>
    </row>
    <row r="771" spans="1:24">
      <c r="A771" t="s">
        <v>828</v>
      </c>
      <c r="B771">
        <v>56</v>
      </c>
      <c r="C771" t="str" cm="1">
        <f t="array" ref="C771">_xlfn.IFS(B771&lt;=18,"0-18",B771&lt;=35,"19-35",B771&lt;=50,"36-50",B771&lt;=65,"51-65","True","65+")</f>
        <v>51-65</v>
      </c>
      <c r="D771" t="s">
        <v>22</v>
      </c>
      <c r="E771" s="6">
        <v>45255</v>
      </c>
      <c r="F771" s="6">
        <v>45181</v>
      </c>
      <c r="G771">
        <v>14</v>
      </c>
      <c r="H771" t="s">
        <v>63</v>
      </c>
      <c r="I771">
        <v>2</v>
      </c>
      <c r="J771" t="s">
        <v>46</v>
      </c>
      <c r="K771">
        <v>16351</v>
      </c>
      <c r="L771" t="s">
        <v>53</v>
      </c>
      <c r="M771" t="s">
        <v>54</v>
      </c>
      <c r="N771" t="s">
        <v>41</v>
      </c>
      <c r="O771" s="2">
        <v>45254</v>
      </c>
      <c r="P771" s="2">
        <v>45255.875</v>
      </c>
      <c r="Q771" s="38">
        <f t="shared" si="12"/>
        <v>1.875</v>
      </c>
      <c r="R771" t="s">
        <v>37</v>
      </c>
      <c r="S771" t="s">
        <v>29</v>
      </c>
      <c r="T771" t="s">
        <v>43</v>
      </c>
      <c r="U771">
        <v>7</v>
      </c>
      <c r="V771">
        <v>8</v>
      </c>
      <c r="W771" s="18">
        <f>IFERROR(Table1[[#This Row],[Staff Hours Worked]]/Table1[[#This Row],[Staff Available Hours]],0)</f>
        <v>0.875</v>
      </c>
      <c r="X771" t="s">
        <v>68</v>
      </c>
    </row>
    <row r="772" spans="1:24">
      <c r="A772" t="s">
        <v>829</v>
      </c>
      <c r="B772">
        <v>17</v>
      </c>
      <c r="C772" t="str" cm="1">
        <f t="array" ref="C772">_xlfn.IFS(B772&lt;=18,"0-18",B772&lt;=35,"19-35",B772&lt;=50,"36-50",B772&lt;=65,"51-65","True","65+")</f>
        <v>0-18</v>
      </c>
      <c r="D772" t="s">
        <v>22</v>
      </c>
      <c r="E772" s="6">
        <v>45034</v>
      </c>
      <c r="F772" s="6">
        <v>45042</v>
      </c>
      <c r="G772">
        <v>8</v>
      </c>
      <c r="H772" t="s">
        <v>40</v>
      </c>
      <c r="I772">
        <v>1</v>
      </c>
      <c r="J772" t="s">
        <v>71</v>
      </c>
      <c r="K772">
        <v>43091</v>
      </c>
      <c r="L772" t="s">
        <v>60</v>
      </c>
      <c r="M772" t="s">
        <v>54</v>
      </c>
      <c r="N772" t="s">
        <v>41</v>
      </c>
      <c r="O772" s="2">
        <v>45030</v>
      </c>
      <c r="P772" s="2">
        <v>45030.041666666664</v>
      </c>
      <c r="Q772" s="38">
        <f t="shared" si="12"/>
        <v>4.1666666664241347E-2</v>
      </c>
      <c r="R772" t="s">
        <v>55</v>
      </c>
      <c r="S772" t="s">
        <v>29</v>
      </c>
      <c r="T772" t="s">
        <v>47</v>
      </c>
      <c r="U772">
        <v>11</v>
      </c>
      <c r="V772">
        <v>12</v>
      </c>
      <c r="W772" s="18">
        <f>IFERROR(Table1[[#This Row],[Staff Hours Worked]]/Table1[[#This Row],[Staff Available Hours]],0)</f>
        <v>0.91666666666666663</v>
      </c>
      <c r="X772" t="s">
        <v>31</v>
      </c>
    </row>
    <row r="773" spans="1:24">
      <c r="A773" t="s">
        <v>830</v>
      </c>
      <c r="B773">
        <v>74</v>
      </c>
      <c r="C773" t="str" cm="1">
        <f t="array" ref="C773">_xlfn.IFS(B773&lt;=18,"0-18",B773&lt;=35,"19-35",B773&lt;=50,"36-50",B773&lt;=65,"51-65","True","65+")</f>
        <v>65+</v>
      </c>
      <c r="D773" t="s">
        <v>41</v>
      </c>
      <c r="E773" s="6">
        <v>45091</v>
      </c>
      <c r="F773" s="6">
        <v>45103</v>
      </c>
      <c r="G773">
        <v>12</v>
      </c>
      <c r="H773" t="s">
        <v>57</v>
      </c>
      <c r="I773">
        <v>4</v>
      </c>
      <c r="J773" t="s">
        <v>24</v>
      </c>
      <c r="K773">
        <v>35171</v>
      </c>
      <c r="L773" t="s">
        <v>67</v>
      </c>
      <c r="M773" t="s">
        <v>54</v>
      </c>
      <c r="N773" t="s">
        <v>27</v>
      </c>
      <c r="O773" s="2">
        <v>45236</v>
      </c>
      <c r="P773" s="2">
        <v>45236.458333333336</v>
      </c>
      <c r="Q773" s="38">
        <f t="shared" si="12"/>
        <v>0.45833333333575865</v>
      </c>
      <c r="R773" t="s">
        <v>42</v>
      </c>
      <c r="S773" t="s">
        <v>29</v>
      </c>
      <c r="T773" t="s">
        <v>47</v>
      </c>
      <c r="U773">
        <v>10</v>
      </c>
      <c r="V773">
        <v>12</v>
      </c>
      <c r="W773" s="18">
        <f>IFERROR(Table1[[#This Row],[Staff Hours Worked]]/Table1[[#This Row],[Staff Available Hours]],0)</f>
        <v>0.83333333333333337</v>
      </c>
      <c r="X773" t="s">
        <v>31</v>
      </c>
    </row>
    <row r="774" spans="1:24">
      <c r="A774" t="s">
        <v>831</v>
      </c>
      <c r="B774">
        <v>17</v>
      </c>
      <c r="C774" t="str" cm="1">
        <f t="array" ref="C774">_xlfn.IFS(B774&lt;=18,"0-18",B774&lt;=35,"19-35",B774&lt;=50,"36-50",B774&lt;=65,"51-65","True","65+")</f>
        <v>0-18</v>
      </c>
      <c r="D774" t="s">
        <v>45</v>
      </c>
      <c r="E774" s="6">
        <v>45028</v>
      </c>
      <c r="F774" s="6">
        <v>45278</v>
      </c>
      <c r="G774">
        <v>14</v>
      </c>
      <c r="H774" t="s">
        <v>57</v>
      </c>
      <c r="I774">
        <v>4</v>
      </c>
      <c r="J774" t="s">
        <v>35</v>
      </c>
      <c r="K774">
        <v>8644</v>
      </c>
      <c r="L774" t="s">
        <v>36</v>
      </c>
      <c r="M774" t="s">
        <v>54</v>
      </c>
      <c r="N774" t="s">
        <v>27</v>
      </c>
      <c r="O774" s="2">
        <v>44997</v>
      </c>
      <c r="P774" s="2">
        <v>45028.333333333336</v>
      </c>
      <c r="Q774" s="38">
        <f t="shared" si="12"/>
        <v>31.333333333335759</v>
      </c>
      <c r="R774" t="s">
        <v>64</v>
      </c>
      <c r="S774" t="s">
        <v>29</v>
      </c>
      <c r="T774" t="s">
        <v>30</v>
      </c>
      <c r="U774">
        <v>6</v>
      </c>
      <c r="V774">
        <v>8</v>
      </c>
      <c r="W774" s="18">
        <f>IFERROR(Table1[[#This Row],[Staff Hours Worked]]/Table1[[#This Row],[Staff Available Hours]],0)</f>
        <v>0.75</v>
      </c>
      <c r="X774" t="s">
        <v>31</v>
      </c>
    </row>
    <row r="775" spans="1:24">
      <c r="A775" t="s">
        <v>832</v>
      </c>
      <c r="B775">
        <v>84</v>
      </c>
      <c r="C775" t="str" cm="1">
        <f t="array" ref="C775">_xlfn.IFS(B775&lt;=18,"0-18",B775&lt;=35,"19-35",B775&lt;=50,"36-50",B775&lt;=65,"51-65","True","65+")</f>
        <v>65+</v>
      </c>
      <c r="D775" t="s">
        <v>52</v>
      </c>
      <c r="E775" s="6">
        <v>45348</v>
      </c>
      <c r="F775" s="6">
        <v>45351</v>
      </c>
      <c r="G775">
        <v>3</v>
      </c>
      <c r="H775" t="s">
        <v>23</v>
      </c>
      <c r="I775">
        <v>5</v>
      </c>
      <c r="J775" t="s">
        <v>35</v>
      </c>
      <c r="K775">
        <v>21142</v>
      </c>
      <c r="L775" t="s">
        <v>36</v>
      </c>
      <c r="M775" t="s">
        <v>54</v>
      </c>
      <c r="N775" t="s">
        <v>41</v>
      </c>
      <c r="O775" s="2">
        <v>45347</v>
      </c>
      <c r="P775" s="2">
        <v>45347.958333333336</v>
      </c>
      <c r="Q775" s="38">
        <f t="shared" si="12"/>
        <v>0.95833333333575865</v>
      </c>
      <c r="R775" t="s">
        <v>28</v>
      </c>
      <c r="S775" t="s">
        <v>29</v>
      </c>
      <c r="T775" t="s">
        <v>43</v>
      </c>
      <c r="U775">
        <v>6</v>
      </c>
      <c r="V775">
        <v>12</v>
      </c>
      <c r="W775" s="18">
        <f>IFERROR(Table1[[#This Row],[Staff Hours Worked]]/Table1[[#This Row],[Staff Available Hours]],0)</f>
        <v>0.5</v>
      </c>
      <c r="X775" t="s">
        <v>68</v>
      </c>
    </row>
    <row r="776" spans="1:24">
      <c r="A776" t="s">
        <v>833</v>
      </c>
      <c r="B776">
        <v>88</v>
      </c>
      <c r="C776" t="str" cm="1">
        <f t="array" ref="C776">_xlfn.IFS(B776&lt;=18,"0-18",B776&lt;=35,"19-35",B776&lt;=50,"36-50",B776&lt;=65,"51-65","True","65+")</f>
        <v>65+</v>
      </c>
      <c r="D776" t="s">
        <v>41</v>
      </c>
      <c r="E776" s="6">
        <v>45434</v>
      </c>
      <c r="F776" s="6">
        <v>45388</v>
      </c>
      <c r="G776">
        <v>13</v>
      </c>
      <c r="H776" t="s">
        <v>23</v>
      </c>
      <c r="I776">
        <v>3</v>
      </c>
      <c r="J776" t="s">
        <v>66</v>
      </c>
      <c r="K776">
        <v>12773</v>
      </c>
      <c r="L776" t="s">
        <v>25</v>
      </c>
      <c r="M776" t="s">
        <v>54</v>
      </c>
      <c r="N776" t="s">
        <v>27</v>
      </c>
      <c r="O776" s="2">
        <v>45432</v>
      </c>
      <c r="P776" s="2">
        <v>45433.416666666664</v>
      </c>
      <c r="Q776" s="38">
        <f t="shared" si="12"/>
        <v>1.4166666666642413</v>
      </c>
      <c r="R776" t="s">
        <v>64</v>
      </c>
      <c r="S776" t="s">
        <v>29</v>
      </c>
      <c r="T776" t="s">
        <v>30</v>
      </c>
      <c r="U776">
        <v>11</v>
      </c>
      <c r="V776">
        <v>8</v>
      </c>
      <c r="W776" s="18">
        <f>IFERROR(Table1[[#This Row],[Staff Hours Worked]]/Table1[[#This Row],[Staff Available Hours]],0)</f>
        <v>1.375</v>
      </c>
      <c r="X776" t="s">
        <v>68</v>
      </c>
    </row>
    <row r="777" spans="1:24">
      <c r="A777" t="s">
        <v>834</v>
      </c>
      <c r="B777">
        <v>69</v>
      </c>
      <c r="C777" t="str" cm="1">
        <f t="array" ref="C777">_xlfn.IFS(B777&lt;=18,"0-18",B777&lt;=35,"19-35",B777&lt;=50,"36-50",B777&lt;=65,"51-65","True","65+")</f>
        <v>65+</v>
      </c>
      <c r="D777" t="s">
        <v>41</v>
      </c>
      <c r="E777" s="6">
        <v>45222</v>
      </c>
      <c r="F777" s="6">
        <v>45027</v>
      </c>
      <c r="G777">
        <v>12</v>
      </c>
      <c r="H777" t="s">
        <v>40</v>
      </c>
      <c r="I777">
        <v>3</v>
      </c>
      <c r="J777" t="s">
        <v>35</v>
      </c>
      <c r="K777">
        <v>33466</v>
      </c>
      <c r="L777" t="s">
        <v>60</v>
      </c>
      <c r="M777" t="s">
        <v>26</v>
      </c>
      <c r="N777" t="s">
        <v>41</v>
      </c>
      <c r="O777" s="2">
        <v>45217</v>
      </c>
      <c r="P777" s="2">
        <v>45218.416666666664</v>
      </c>
      <c r="Q777" s="38">
        <f t="shared" si="12"/>
        <v>1.4166666666642413</v>
      </c>
      <c r="R777" t="s">
        <v>42</v>
      </c>
      <c r="S777" t="s">
        <v>29</v>
      </c>
      <c r="T777" t="s">
        <v>47</v>
      </c>
      <c r="U777">
        <v>7</v>
      </c>
      <c r="V777">
        <v>12</v>
      </c>
      <c r="W777" s="18">
        <f>IFERROR(Table1[[#This Row],[Staff Hours Worked]]/Table1[[#This Row],[Staff Available Hours]],0)</f>
        <v>0.58333333333333337</v>
      </c>
      <c r="X777" t="s">
        <v>68</v>
      </c>
    </row>
    <row r="778" spans="1:24">
      <c r="A778" t="s">
        <v>835</v>
      </c>
      <c r="B778">
        <v>34</v>
      </c>
      <c r="C778" t="str" cm="1">
        <f t="array" ref="C778">_xlfn.IFS(B778&lt;=18,"0-18",B778&lt;=35,"19-35",B778&lt;=50,"36-50",B778&lt;=65,"51-65","True","65+")</f>
        <v>19-35</v>
      </c>
      <c r="D778" t="s">
        <v>52</v>
      </c>
      <c r="E778" s="6">
        <v>45337</v>
      </c>
      <c r="F778" s="6">
        <v>45345</v>
      </c>
      <c r="G778">
        <v>8</v>
      </c>
      <c r="H778" t="s">
        <v>63</v>
      </c>
      <c r="I778">
        <v>1</v>
      </c>
      <c r="J778" t="s">
        <v>71</v>
      </c>
      <c r="K778">
        <v>15778</v>
      </c>
      <c r="L778" t="s">
        <v>25</v>
      </c>
      <c r="M778" t="s">
        <v>54</v>
      </c>
      <c r="N778" t="s">
        <v>27</v>
      </c>
      <c r="O778" s="2">
        <v>45336</v>
      </c>
      <c r="P778" s="2">
        <v>45337.958333333336</v>
      </c>
      <c r="Q778" s="38">
        <f t="shared" si="12"/>
        <v>1.9583333333357587</v>
      </c>
      <c r="R778" t="s">
        <v>64</v>
      </c>
      <c r="S778" t="s">
        <v>29</v>
      </c>
      <c r="T778" t="s">
        <v>47</v>
      </c>
      <c r="U778">
        <v>7</v>
      </c>
      <c r="V778">
        <v>10</v>
      </c>
      <c r="W778" s="18">
        <f>IFERROR(Table1[[#This Row],[Staff Hours Worked]]/Table1[[#This Row],[Staff Available Hours]],0)</f>
        <v>0.7</v>
      </c>
      <c r="X778" t="s">
        <v>48</v>
      </c>
    </row>
    <row r="779" spans="1:24">
      <c r="A779" t="s">
        <v>836</v>
      </c>
      <c r="B779">
        <v>6</v>
      </c>
      <c r="C779" t="str" cm="1">
        <f t="array" ref="C779">_xlfn.IFS(B779&lt;=18,"0-18",B779&lt;=35,"19-35",B779&lt;=50,"36-50",B779&lt;=65,"51-65","True","65+")</f>
        <v>0-18</v>
      </c>
      <c r="D779" t="s">
        <v>22</v>
      </c>
      <c r="E779" s="6">
        <v>45109</v>
      </c>
      <c r="F779" s="6">
        <v>44972</v>
      </c>
      <c r="G779">
        <v>8</v>
      </c>
      <c r="H779" t="s">
        <v>40</v>
      </c>
      <c r="I779">
        <v>4</v>
      </c>
      <c r="J779" t="s">
        <v>46</v>
      </c>
      <c r="K779">
        <v>17501</v>
      </c>
      <c r="L779" t="s">
        <v>25</v>
      </c>
      <c r="M779" t="s">
        <v>54</v>
      </c>
      <c r="N779" t="s">
        <v>27</v>
      </c>
      <c r="O779" s="2">
        <v>45018</v>
      </c>
      <c r="P779" s="2">
        <v>45018.708333333336</v>
      </c>
      <c r="Q779" s="38">
        <f t="shared" si="12"/>
        <v>0.70833333333575865</v>
      </c>
      <c r="R779" t="s">
        <v>64</v>
      </c>
      <c r="S779" t="s">
        <v>38</v>
      </c>
      <c r="T779" t="s">
        <v>47</v>
      </c>
      <c r="U779">
        <v>10</v>
      </c>
      <c r="V779">
        <v>8</v>
      </c>
      <c r="W779" s="18">
        <f>IFERROR(Table1[[#This Row],[Staff Hours Worked]]/Table1[[#This Row],[Staff Available Hours]],0)</f>
        <v>1.25</v>
      </c>
      <c r="X779" t="s">
        <v>31</v>
      </c>
    </row>
    <row r="780" spans="1:24">
      <c r="A780" t="s">
        <v>837</v>
      </c>
      <c r="B780">
        <v>53</v>
      </c>
      <c r="C780" t="str" cm="1">
        <f t="array" ref="C780">_xlfn.IFS(B780&lt;=18,"0-18",B780&lt;=35,"19-35",B780&lt;=50,"36-50",B780&lt;=65,"51-65","True","65+")</f>
        <v>51-65</v>
      </c>
      <c r="D780" t="s">
        <v>33</v>
      </c>
      <c r="E780" s="6">
        <v>45569</v>
      </c>
      <c r="F780" s="6">
        <v>45402</v>
      </c>
      <c r="G780">
        <v>10</v>
      </c>
      <c r="H780" t="s">
        <v>57</v>
      </c>
      <c r="I780">
        <v>5</v>
      </c>
      <c r="J780" t="s">
        <v>46</v>
      </c>
      <c r="K780">
        <v>7108</v>
      </c>
      <c r="L780" t="s">
        <v>53</v>
      </c>
      <c r="M780" t="s">
        <v>54</v>
      </c>
      <c r="N780" t="s">
        <v>27</v>
      </c>
      <c r="O780" s="2">
        <v>45569</v>
      </c>
      <c r="P780" s="2">
        <v>45569.458333333336</v>
      </c>
      <c r="Q780" s="38">
        <f t="shared" si="12"/>
        <v>0.45833333333575865</v>
      </c>
      <c r="R780" t="s">
        <v>42</v>
      </c>
      <c r="S780" t="s">
        <v>29</v>
      </c>
      <c r="T780" t="s">
        <v>47</v>
      </c>
      <c r="U780">
        <v>10</v>
      </c>
      <c r="V780">
        <v>10</v>
      </c>
      <c r="W780" s="18">
        <f>IFERROR(Table1[[#This Row],[Staff Hours Worked]]/Table1[[#This Row],[Staff Available Hours]],0)</f>
        <v>1</v>
      </c>
      <c r="X780" t="s">
        <v>48</v>
      </c>
    </row>
    <row r="781" spans="1:24">
      <c r="A781" t="s">
        <v>838</v>
      </c>
      <c r="B781">
        <v>66</v>
      </c>
      <c r="C781" t="str" cm="1">
        <f t="array" ref="C781">_xlfn.IFS(B781&lt;=18,"0-18",B781&lt;=35,"19-35",B781&lt;=50,"36-50",B781&lt;=65,"51-65","True","65+")</f>
        <v>65+</v>
      </c>
      <c r="D781" t="s">
        <v>52</v>
      </c>
      <c r="E781" s="6">
        <v>44930</v>
      </c>
      <c r="F781" s="6">
        <v>44961</v>
      </c>
      <c r="G781">
        <v>1</v>
      </c>
      <c r="H781" t="s">
        <v>57</v>
      </c>
      <c r="I781">
        <v>1</v>
      </c>
      <c r="J781" t="s">
        <v>46</v>
      </c>
      <c r="K781">
        <v>34369</v>
      </c>
      <c r="L781" t="s">
        <v>36</v>
      </c>
      <c r="M781" t="s">
        <v>54</v>
      </c>
      <c r="N781" t="s">
        <v>27</v>
      </c>
      <c r="O781" s="2">
        <v>45013</v>
      </c>
      <c r="P781" s="2">
        <v>45014</v>
      </c>
      <c r="Q781" s="38">
        <f t="shared" si="12"/>
        <v>1</v>
      </c>
      <c r="R781" t="s">
        <v>37</v>
      </c>
      <c r="S781" t="s">
        <v>29</v>
      </c>
      <c r="T781" t="s">
        <v>43</v>
      </c>
      <c r="U781">
        <v>6</v>
      </c>
      <c r="V781">
        <v>12</v>
      </c>
      <c r="W781" s="18">
        <f>IFERROR(Table1[[#This Row],[Staff Hours Worked]]/Table1[[#This Row],[Staff Available Hours]],0)</f>
        <v>0.5</v>
      </c>
      <c r="X781" t="s">
        <v>31</v>
      </c>
    </row>
    <row r="782" spans="1:24">
      <c r="A782" t="s">
        <v>839</v>
      </c>
      <c r="B782">
        <v>77</v>
      </c>
      <c r="C782" t="str" cm="1">
        <f t="array" ref="C782">_xlfn.IFS(B782&lt;=18,"0-18",B782&lt;=35,"19-35",B782&lt;=50,"36-50",B782&lt;=65,"51-65","True","65+")</f>
        <v>65+</v>
      </c>
      <c r="D782" t="s">
        <v>45</v>
      </c>
      <c r="E782" s="6">
        <v>45249</v>
      </c>
      <c r="F782" s="6">
        <v>45028</v>
      </c>
      <c r="G782">
        <v>15</v>
      </c>
      <c r="H782" t="s">
        <v>34</v>
      </c>
      <c r="I782">
        <v>3</v>
      </c>
      <c r="J782" t="s">
        <v>24</v>
      </c>
      <c r="K782">
        <v>41382</v>
      </c>
      <c r="L782" t="s">
        <v>25</v>
      </c>
      <c r="M782" t="s">
        <v>54</v>
      </c>
      <c r="N782" t="s">
        <v>27</v>
      </c>
      <c r="O782" s="2">
        <v>45246</v>
      </c>
      <c r="P782" s="2">
        <v>45246.375</v>
      </c>
      <c r="Q782" s="38">
        <f t="shared" si="12"/>
        <v>0.375</v>
      </c>
      <c r="R782" t="s">
        <v>55</v>
      </c>
      <c r="S782" t="s">
        <v>29</v>
      </c>
      <c r="T782" t="s">
        <v>43</v>
      </c>
      <c r="U782">
        <v>10</v>
      </c>
      <c r="V782">
        <v>10</v>
      </c>
      <c r="W782" s="18">
        <f>IFERROR(Table1[[#This Row],[Staff Hours Worked]]/Table1[[#This Row],[Staff Available Hours]],0)</f>
        <v>1</v>
      </c>
      <c r="X782" t="s">
        <v>68</v>
      </c>
    </row>
    <row r="783" spans="1:24">
      <c r="A783" t="s">
        <v>840</v>
      </c>
      <c r="B783">
        <v>43</v>
      </c>
      <c r="C783" t="str" cm="1">
        <f t="array" ref="C783">_xlfn.IFS(B783&lt;=18,"0-18",B783&lt;=35,"19-35",B783&lt;=50,"36-50",B783&lt;=65,"51-65","True","65+")</f>
        <v>36-50</v>
      </c>
      <c r="D783" t="s">
        <v>62</v>
      </c>
      <c r="E783" s="6">
        <v>45185</v>
      </c>
      <c r="F783" s="6">
        <v>45187</v>
      </c>
      <c r="G783">
        <v>2</v>
      </c>
      <c r="H783" t="s">
        <v>23</v>
      </c>
      <c r="I783">
        <v>4</v>
      </c>
      <c r="J783" t="s">
        <v>35</v>
      </c>
      <c r="K783">
        <v>30818</v>
      </c>
      <c r="L783" t="s">
        <v>53</v>
      </c>
      <c r="M783" t="s">
        <v>26</v>
      </c>
      <c r="N783" t="s">
        <v>41</v>
      </c>
      <c r="O783" s="2">
        <v>45182</v>
      </c>
      <c r="P783" s="2">
        <v>45184</v>
      </c>
      <c r="Q783" s="38">
        <f t="shared" si="12"/>
        <v>2</v>
      </c>
      <c r="R783" t="s">
        <v>28</v>
      </c>
      <c r="S783" t="s">
        <v>38</v>
      </c>
      <c r="T783" t="s">
        <v>30</v>
      </c>
      <c r="U783">
        <v>10</v>
      </c>
      <c r="V783">
        <v>12</v>
      </c>
      <c r="W783" s="18">
        <f>IFERROR(Table1[[#This Row],[Staff Hours Worked]]/Table1[[#This Row],[Staff Available Hours]],0)</f>
        <v>0.83333333333333337</v>
      </c>
      <c r="X783" t="s">
        <v>31</v>
      </c>
    </row>
    <row r="784" spans="1:24">
      <c r="A784" t="s">
        <v>841</v>
      </c>
      <c r="B784">
        <v>75</v>
      </c>
      <c r="C784" t="str" cm="1">
        <f t="array" ref="C784">_xlfn.IFS(B784&lt;=18,"0-18",B784&lt;=35,"19-35",B784&lt;=50,"36-50",B784&lt;=65,"51-65","True","65+")</f>
        <v>65+</v>
      </c>
      <c r="D784" t="s">
        <v>62</v>
      </c>
      <c r="E784" s="6">
        <v>45258</v>
      </c>
      <c r="F784" s="6">
        <v>45259</v>
      </c>
      <c r="G784">
        <v>1</v>
      </c>
      <c r="H784" t="s">
        <v>34</v>
      </c>
      <c r="I784">
        <v>5</v>
      </c>
      <c r="J784" t="s">
        <v>71</v>
      </c>
      <c r="K784">
        <v>15251</v>
      </c>
      <c r="L784" t="s">
        <v>60</v>
      </c>
      <c r="M784" t="s">
        <v>54</v>
      </c>
      <c r="N784" t="s">
        <v>27</v>
      </c>
      <c r="O784" s="2">
        <v>45254</v>
      </c>
      <c r="P784" s="2">
        <v>45254.75</v>
      </c>
      <c r="Q784" s="38">
        <f t="shared" si="12"/>
        <v>0.75</v>
      </c>
      <c r="R784" t="s">
        <v>55</v>
      </c>
      <c r="S784" t="s">
        <v>29</v>
      </c>
      <c r="T784" t="s">
        <v>30</v>
      </c>
      <c r="U784">
        <v>10</v>
      </c>
      <c r="V784">
        <v>10</v>
      </c>
      <c r="W784" s="18">
        <f>IFERROR(Table1[[#This Row],[Staff Hours Worked]]/Table1[[#This Row],[Staff Available Hours]],0)</f>
        <v>1</v>
      </c>
      <c r="X784" t="s">
        <v>31</v>
      </c>
    </row>
    <row r="785" spans="1:24">
      <c r="A785" t="s">
        <v>842</v>
      </c>
      <c r="B785">
        <v>23</v>
      </c>
      <c r="C785" t="str" cm="1">
        <f t="array" ref="C785">_xlfn.IFS(B785&lt;=18,"0-18",B785&lt;=35,"19-35",B785&lt;=50,"36-50",B785&lt;=65,"51-65","True","65+")</f>
        <v>19-35</v>
      </c>
      <c r="D785" t="s">
        <v>41</v>
      </c>
      <c r="E785" s="6">
        <v>45045</v>
      </c>
      <c r="F785" s="6">
        <v>45021</v>
      </c>
      <c r="G785">
        <v>5</v>
      </c>
      <c r="H785" t="s">
        <v>50</v>
      </c>
      <c r="I785">
        <v>2</v>
      </c>
      <c r="J785" t="s">
        <v>24</v>
      </c>
      <c r="K785">
        <v>28341</v>
      </c>
      <c r="L785" t="s">
        <v>25</v>
      </c>
      <c r="M785" t="s">
        <v>26</v>
      </c>
      <c r="N785" t="s">
        <v>41</v>
      </c>
      <c r="O785" s="2">
        <v>45041</v>
      </c>
      <c r="P785" s="2">
        <v>45042.958333333336</v>
      </c>
      <c r="Q785" s="38">
        <f t="shared" si="12"/>
        <v>1.9583333333357587</v>
      </c>
      <c r="R785" t="s">
        <v>28</v>
      </c>
      <c r="S785" t="s">
        <v>29</v>
      </c>
      <c r="T785" t="s">
        <v>30</v>
      </c>
      <c r="U785">
        <v>11</v>
      </c>
      <c r="V785">
        <v>10</v>
      </c>
      <c r="W785" s="18">
        <f>IFERROR(Table1[[#This Row],[Staff Hours Worked]]/Table1[[#This Row],[Staff Available Hours]],0)</f>
        <v>1.1000000000000001</v>
      </c>
      <c r="X785" t="s">
        <v>48</v>
      </c>
    </row>
    <row r="786" spans="1:24">
      <c r="A786" t="s">
        <v>843</v>
      </c>
      <c r="B786">
        <v>55</v>
      </c>
      <c r="C786" t="str" cm="1">
        <f t="array" ref="C786">_xlfn.IFS(B786&lt;=18,"0-18",B786&lt;=35,"19-35",B786&lt;=50,"36-50",B786&lt;=65,"51-65","True","65+")</f>
        <v>51-65</v>
      </c>
      <c r="D786" t="s">
        <v>62</v>
      </c>
      <c r="E786" s="6">
        <v>45340</v>
      </c>
      <c r="F786" s="6">
        <v>45344</v>
      </c>
      <c r="G786">
        <v>4</v>
      </c>
      <c r="H786" t="s">
        <v>57</v>
      </c>
      <c r="I786">
        <v>4</v>
      </c>
      <c r="J786" t="s">
        <v>66</v>
      </c>
      <c r="K786">
        <v>16678</v>
      </c>
      <c r="L786" t="s">
        <v>36</v>
      </c>
      <c r="M786" t="s">
        <v>54</v>
      </c>
      <c r="N786" t="s">
        <v>27</v>
      </c>
      <c r="O786" s="2">
        <v>45339</v>
      </c>
      <c r="P786" s="2">
        <v>45339.333333333336</v>
      </c>
      <c r="Q786" s="38">
        <f t="shared" si="12"/>
        <v>0.33333333333575865</v>
      </c>
      <c r="R786" t="s">
        <v>55</v>
      </c>
      <c r="S786" t="s">
        <v>29</v>
      </c>
      <c r="T786" t="s">
        <v>47</v>
      </c>
      <c r="U786">
        <v>9</v>
      </c>
      <c r="V786">
        <v>10</v>
      </c>
      <c r="W786" s="18">
        <f>IFERROR(Table1[[#This Row],[Staff Hours Worked]]/Table1[[#This Row],[Staff Available Hours]],0)</f>
        <v>0.9</v>
      </c>
      <c r="X786" t="s">
        <v>31</v>
      </c>
    </row>
    <row r="787" spans="1:24">
      <c r="A787" t="s">
        <v>844</v>
      </c>
      <c r="B787">
        <v>80</v>
      </c>
      <c r="C787" t="str" cm="1">
        <f t="array" ref="C787">_xlfn.IFS(B787&lt;=18,"0-18",B787&lt;=35,"19-35",B787&lt;=50,"36-50",B787&lt;=65,"51-65","True","65+")</f>
        <v>65+</v>
      </c>
      <c r="D787" t="s">
        <v>33</v>
      </c>
      <c r="E787" s="6">
        <v>45571</v>
      </c>
      <c r="F787" s="6">
        <v>45467</v>
      </c>
      <c r="G787">
        <v>14</v>
      </c>
      <c r="H787" t="s">
        <v>34</v>
      </c>
      <c r="I787">
        <v>5</v>
      </c>
      <c r="J787" t="s">
        <v>71</v>
      </c>
      <c r="K787">
        <v>19367</v>
      </c>
      <c r="L787" t="s">
        <v>25</v>
      </c>
      <c r="M787" t="s">
        <v>54</v>
      </c>
      <c r="N787" t="s">
        <v>27</v>
      </c>
      <c r="O787" s="2">
        <v>45479</v>
      </c>
      <c r="P787" s="2">
        <v>45479.083333333336</v>
      </c>
      <c r="Q787" s="38">
        <f t="shared" si="12"/>
        <v>8.3333333335758653E-2</v>
      </c>
      <c r="R787" t="s">
        <v>64</v>
      </c>
      <c r="S787" t="s">
        <v>29</v>
      </c>
      <c r="T787" t="s">
        <v>30</v>
      </c>
      <c r="U787">
        <v>5</v>
      </c>
      <c r="V787">
        <v>8</v>
      </c>
      <c r="W787" s="18">
        <f>IFERROR(Table1[[#This Row],[Staff Hours Worked]]/Table1[[#This Row],[Staff Available Hours]],0)</f>
        <v>0.625</v>
      </c>
      <c r="X787" t="s">
        <v>68</v>
      </c>
    </row>
    <row r="788" spans="1:24">
      <c r="A788" t="s">
        <v>845</v>
      </c>
      <c r="B788">
        <v>75</v>
      </c>
      <c r="C788" t="str" cm="1">
        <f t="array" ref="C788">_xlfn.IFS(B788&lt;=18,"0-18",B788&lt;=35,"19-35",B788&lt;=50,"36-50",B788&lt;=65,"51-65","True","65+")</f>
        <v>65+</v>
      </c>
      <c r="D788" t="s">
        <v>22</v>
      </c>
      <c r="E788" s="6">
        <v>44958</v>
      </c>
      <c r="F788" s="6">
        <v>45047</v>
      </c>
      <c r="G788">
        <v>3</v>
      </c>
      <c r="H788" t="s">
        <v>40</v>
      </c>
      <c r="I788">
        <v>1</v>
      </c>
      <c r="J788" t="s">
        <v>71</v>
      </c>
      <c r="K788">
        <v>34672</v>
      </c>
      <c r="L788" t="s">
        <v>60</v>
      </c>
      <c r="M788" t="s">
        <v>26</v>
      </c>
      <c r="N788" t="s">
        <v>27</v>
      </c>
      <c r="O788" s="2">
        <v>44927</v>
      </c>
      <c r="P788" s="2">
        <v>44927.916666666664</v>
      </c>
      <c r="Q788" s="38">
        <f t="shared" si="12"/>
        <v>0.91666666666424135</v>
      </c>
      <c r="R788" t="s">
        <v>37</v>
      </c>
      <c r="S788" t="s">
        <v>38</v>
      </c>
      <c r="T788" t="s">
        <v>43</v>
      </c>
      <c r="U788">
        <v>10</v>
      </c>
      <c r="V788">
        <v>10</v>
      </c>
      <c r="W788" s="18">
        <f>IFERROR(Table1[[#This Row],[Staff Hours Worked]]/Table1[[#This Row],[Staff Available Hours]],0)</f>
        <v>1</v>
      </c>
      <c r="X788" t="s">
        <v>31</v>
      </c>
    </row>
    <row r="789" spans="1:24">
      <c r="A789" t="s">
        <v>846</v>
      </c>
      <c r="B789">
        <v>16</v>
      </c>
      <c r="C789" t="str" cm="1">
        <f t="array" ref="C789">_xlfn.IFS(B789&lt;=18,"0-18",B789&lt;=35,"19-35",B789&lt;=50,"36-50",B789&lt;=65,"51-65","True","65+")</f>
        <v>0-18</v>
      </c>
      <c r="D789" t="s">
        <v>45</v>
      </c>
      <c r="E789" s="6">
        <v>45400</v>
      </c>
      <c r="F789" s="6">
        <v>45409</v>
      </c>
      <c r="G789">
        <v>9</v>
      </c>
      <c r="H789" t="s">
        <v>23</v>
      </c>
      <c r="I789">
        <v>2</v>
      </c>
      <c r="J789" t="s">
        <v>71</v>
      </c>
      <c r="K789">
        <v>9332</v>
      </c>
      <c r="L789" t="s">
        <v>25</v>
      </c>
      <c r="M789" t="s">
        <v>54</v>
      </c>
      <c r="N789" t="s">
        <v>27</v>
      </c>
      <c r="O789" s="2">
        <v>45398</v>
      </c>
      <c r="P789" s="2">
        <v>45399.166666666664</v>
      </c>
      <c r="Q789" s="38">
        <f t="shared" si="12"/>
        <v>1.1666666666642413</v>
      </c>
      <c r="R789" t="s">
        <v>64</v>
      </c>
      <c r="S789" t="s">
        <v>29</v>
      </c>
      <c r="T789" t="s">
        <v>30</v>
      </c>
      <c r="U789">
        <v>5</v>
      </c>
      <c r="V789">
        <v>12</v>
      </c>
      <c r="W789" s="18">
        <f>IFERROR(Table1[[#This Row],[Staff Hours Worked]]/Table1[[#This Row],[Staff Available Hours]],0)</f>
        <v>0.41666666666666669</v>
      </c>
      <c r="X789" t="s">
        <v>31</v>
      </c>
    </row>
    <row r="790" spans="1:24">
      <c r="A790" t="s">
        <v>847</v>
      </c>
      <c r="B790">
        <v>8</v>
      </c>
      <c r="C790" t="str" cm="1">
        <f t="array" ref="C790">_xlfn.IFS(B790&lt;=18,"0-18",B790&lt;=35,"19-35",B790&lt;=50,"36-50",B790&lt;=65,"51-65","True","65+")</f>
        <v>0-18</v>
      </c>
      <c r="D790" t="s">
        <v>33</v>
      </c>
      <c r="E790" s="6">
        <v>45350</v>
      </c>
      <c r="F790" s="6">
        <v>45599</v>
      </c>
      <c r="G790">
        <v>12</v>
      </c>
      <c r="H790" t="s">
        <v>23</v>
      </c>
      <c r="I790">
        <v>5</v>
      </c>
      <c r="J790" t="s">
        <v>46</v>
      </c>
      <c r="K790">
        <v>17002</v>
      </c>
      <c r="L790" t="s">
        <v>36</v>
      </c>
      <c r="M790" t="s">
        <v>54</v>
      </c>
      <c r="N790" t="s">
        <v>27</v>
      </c>
      <c r="O790" s="2">
        <v>45349</v>
      </c>
      <c r="P790" s="2">
        <v>45349.75</v>
      </c>
      <c r="Q790" s="38">
        <f t="shared" si="12"/>
        <v>0.75</v>
      </c>
      <c r="R790" t="s">
        <v>37</v>
      </c>
      <c r="S790" t="s">
        <v>29</v>
      </c>
      <c r="T790" t="s">
        <v>30</v>
      </c>
      <c r="U790">
        <v>5</v>
      </c>
      <c r="V790">
        <v>12</v>
      </c>
      <c r="W790" s="18">
        <f>IFERROR(Table1[[#This Row],[Staff Hours Worked]]/Table1[[#This Row],[Staff Available Hours]],0)</f>
        <v>0.41666666666666669</v>
      </c>
      <c r="X790" t="s">
        <v>31</v>
      </c>
    </row>
    <row r="791" spans="1:24">
      <c r="A791" t="s">
        <v>848</v>
      </c>
      <c r="B791">
        <v>4</v>
      </c>
      <c r="C791" t="str" cm="1">
        <f t="array" ref="C791">_xlfn.IFS(B791&lt;=18,"0-18",B791&lt;=35,"19-35",B791&lt;=50,"36-50",B791&lt;=65,"51-65","True","65+")</f>
        <v>0-18</v>
      </c>
      <c r="D791" t="s">
        <v>45</v>
      </c>
      <c r="E791" s="6">
        <v>44982</v>
      </c>
      <c r="F791" s="6">
        <v>45110</v>
      </c>
      <c r="G791">
        <v>10</v>
      </c>
      <c r="H791" t="s">
        <v>63</v>
      </c>
      <c r="I791">
        <v>5</v>
      </c>
      <c r="J791" t="s">
        <v>71</v>
      </c>
      <c r="K791">
        <v>25284</v>
      </c>
      <c r="L791" t="s">
        <v>53</v>
      </c>
      <c r="M791" t="s">
        <v>54</v>
      </c>
      <c r="N791" t="s">
        <v>27</v>
      </c>
      <c r="O791" s="2">
        <v>44980</v>
      </c>
      <c r="P791" s="2">
        <v>44981.416666666664</v>
      </c>
      <c r="Q791" s="38">
        <f t="shared" si="12"/>
        <v>1.4166666666642413</v>
      </c>
      <c r="R791" t="s">
        <v>42</v>
      </c>
      <c r="S791" t="s">
        <v>29</v>
      </c>
      <c r="T791" t="s">
        <v>43</v>
      </c>
      <c r="U791">
        <v>7</v>
      </c>
      <c r="V791">
        <v>8</v>
      </c>
      <c r="W791" s="18">
        <f>IFERROR(Table1[[#This Row],[Staff Hours Worked]]/Table1[[#This Row],[Staff Available Hours]],0)</f>
        <v>0.875</v>
      </c>
      <c r="X791" t="s">
        <v>48</v>
      </c>
    </row>
    <row r="792" spans="1:24">
      <c r="A792" t="s">
        <v>849</v>
      </c>
      <c r="B792">
        <v>4</v>
      </c>
      <c r="C792" t="str" cm="1">
        <f t="array" ref="C792">_xlfn.IFS(B792&lt;=18,"0-18",B792&lt;=35,"19-35",B792&lt;=50,"36-50",B792&lt;=65,"51-65","True","65+")</f>
        <v>0-18</v>
      </c>
      <c r="D792" t="s">
        <v>45</v>
      </c>
      <c r="E792" s="6">
        <v>45267</v>
      </c>
      <c r="F792" s="6">
        <v>45128</v>
      </c>
      <c r="G792">
        <v>9</v>
      </c>
      <c r="H792" t="s">
        <v>40</v>
      </c>
      <c r="I792">
        <v>3</v>
      </c>
      <c r="J792" t="s">
        <v>35</v>
      </c>
      <c r="K792">
        <v>20700</v>
      </c>
      <c r="L792" t="s">
        <v>36</v>
      </c>
      <c r="M792" t="s">
        <v>54</v>
      </c>
      <c r="N792" t="s">
        <v>41</v>
      </c>
      <c r="O792" s="2">
        <v>45114</v>
      </c>
      <c r="P792" s="2">
        <v>45114.208333333336</v>
      </c>
      <c r="Q792" s="38">
        <f t="shared" si="12"/>
        <v>0.20833333333575865</v>
      </c>
      <c r="R792" t="s">
        <v>28</v>
      </c>
      <c r="S792" t="s">
        <v>29</v>
      </c>
      <c r="T792" t="s">
        <v>43</v>
      </c>
      <c r="U792">
        <v>10</v>
      </c>
      <c r="V792">
        <v>8</v>
      </c>
      <c r="W792" s="18">
        <f>IFERROR(Table1[[#This Row],[Staff Hours Worked]]/Table1[[#This Row],[Staff Available Hours]],0)</f>
        <v>1.25</v>
      </c>
      <c r="X792" t="s">
        <v>31</v>
      </c>
    </row>
    <row r="793" spans="1:24">
      <c r="A793" t="s">
        <v>850</v>
      </c>
      <c r="B793">
        <v>56</v>
      </c>
      <c r="C793" t="str" cm="1">
        <f t="array" ref="C793">_xlfn.IFS(B793&lt;=18,"0-18",B793&lt;=35,"19-35",B793&lt;=50,"36-50",B793&lt;=65,"51-65","True","65+")</f>
        <v>51-65</v>
      </c>
      <c r="D793" t="s">
        <v>22</v>
      </c>
      <c r="E793" s="6">
        <v>45457</v>
      </c>
      <c r="F793" s="6">
        <v>45464</v>
      </c>
      <c r="G793">
        <v>7</v>
      </c>
      <c r="H793" t="s">
        <v>63</v>
      </c>
      <c r="I793">
        <v>4</v>
      </c>
      <c r="J793" t="s">
        <v>71</v>
      </c>
      <c r="K793">
        <v>18769</v>
      </c>
      <c r="L793" t="s">
        <v>53</v>
      </c>
      <c r="M793" t="s">
        <v>54</v>
      </c>
      <c r="N793" t="s">
        <v>27</v>
      </c>
      <c r="O793" s="2">
        <v>45457</v>
      </c>
      <c r="P793" s="2">
        <v>45457.708333333336</v>
      </c>
      <c r="Q793" s="38">
        <f t="shared" si="12"/>
        <v>0.70833333333575865</v>
      </c>
      <c r="R793" t="s">
        <v>28</v>
      </c>
      <c r="S793" t="s">
        <v>29</v>
      </c>
      <c r="T793" t="s">
        <v>47</v>
      </c>
      <c r="U793">
        <v>6</v>
      </c>
      <c r="V793">
        <v>12</v>
      </c>
      <c r="W793" s="18">
        <f>IFERROR(Table1[[#This Row],[Staff Hours Worked]]/Table1[[#This Row],[Staff Available Hours]],0)</f>
        <v>0.5</v>
      </c>
      <c r="X793" t="s">
        <v>31</v>
      </c>
    </row>
    <row r="794" spans="1:24">
      <c r="A794" t="s">
        <v>851</v>
      </c>
      <c r="B794">
        <v>25</v>
      </c>
      <c r="C794" t="str" cm="1">
        <f t="array" ref="C794">_xlfn.IFS(B794&lt;=18,"0-18",B794&lt;=35,"19-35",B794&lt;=50,"36-50",B794&lt;=65,"51-65","True","65+")</f>
        <v>19-35</v>
      </c>
      <c r="D794" t="s">
        <v>41</v>
      </c>
      <c r="E794" s="6">
        <v>45444</v>
      </c>
      <c r="F794" s="6">
        <v>45505</v>
      </c>
      <c r="G794">
        <v>2</v>
      </c>
      <c r="H794" t="s">
        <v>34</v>
      </c>
      <c r="I794">
        <v>3</v>
      </c>
      <c r="J794" t="s">
        <v>46</v>
      </c>
      <c r="K794">
        <v>34318</v>
      </c>
      <c r="L794" t="s">
        <v>67</v>
      </c>
      <c r="M794" t="s">
        <v>54</v>
      </c>
      <c r="N794" t="s">
        <v>27</v>
      </c>
      <c r="O794" s="2">
        <v>45352</v>
      </c>
      <c r="P794" s="2">
        <v>45383.916666666664</v>
      </c>
      <c r="Q794" s="38">
        <f t="shared" si="12"/>
        <v>31.916666666664241</v>
      </c>
      <c r="R794" t="s">
        <v>42</v>
      </c>
      <c r="S794" t="s">
        <v>29</v>
      </c>
      <c r="T794" t="s">
        <v>43</v>
      </c>
      <c r="U794">
        <v>9</v>
      </c>
      <c r="V794">
        <v>10</v>
      </c>
      <c r="W794" s="18">
        <f>IFERROR(Table1[[#This Row],[Staff Hours Worked]]/Table1[[#This Row],[Staff Available Hours]],0)</f>
        <v>0.9</v>
      </c>
      <c r="X794" t="s">
        <v>48</v>
      </c>
    </row>
    <row r="795" spans="1:24">
      <c r="A795" t="s">
        <v>852</v>
      </c>
      <c r="B795">
        <v>67</v>
      </c>
      <c r="C795" t="str" cm="1">
        <f t="array" ref="C795">_xlfn.IFS(B795&lt;=18,"0-18",B795&lt;=35,"19-35",B795&lt;=50,"36-50",B795&lt;=65,"51-65","True","65+")</f>
        <v>65+</v>
      </c>
      <c r="D795" t="s">
        <v>62</v>
      </c>
      <c r="E795" s="6">
        <v>45437</v>
      </c>
      <c r="F795" s="6">
        <v>45479</v>
      </c>
      <c r="G795">
        <v>13</v>
      </c>
      <c r="H795" t="s">
        <v>50</v>
      </c>
      <c r="I795">
        <v>2</v>
      </c>
      <c r="J795" t="s">
        <v>71</v>
      </c>
      <c r="K795">
        <v>29323</v>
      </c>
      <c r="L795" t="s">
        <v>36</v>
      </c>
      <c r="M795" t="s">
        <v>54</v>
      </c>
      <c r="N795" t="s">
        <v>27</v>
      </c>
      <c r="O795" s="2">
        <v>45435</v>
      </c>
      <c r="P795" s="2">
        <v>45436.541666666664</v>
      </c>
      <c r="Q795" s="38">
        <f t="shared" si="12"/>
        <v>1.5416666666642413</v>
      </c>
      <c r="R795" t="s">
        <v>55</v>
      </c>
      <c r="S795" t="s">
        <v>29</v>
      </c>
      <c r="T795" t="s">
        <v>43</v>
      </c>
      <c r="U795">
        <v>6</v>
      </c>
      <c r="V795">
        <v>12</v>
      </c>
      <c r="W795" s="18">
        <f>IFERROR(Table1[[#This Row],[Staff Hours Worked]]/Table1[[#This Row],[Staff Available Hours]],0)</f>
        <v>0.5</v>
      </c>
      <c r="X795" t="s">
        <v>48</v>
      </c>
    </row>
    <row r="796" spans="1:24">
      <c r="A796" t="s">
        <v>853</v>
      </c>
      <c r="B796">
        <v>67</v>
      </c>
      <c r="C796" t="str" cm="1">
        <f t="array" ref="C796">_xlfn.IFS(B796&lt;=18,"0-18",B796&lt;=35,"19-35",B796&lt;=50,"36-50",B796&lt;=65,"51-65","True","65+")</f>
        <v>65+</v>
      </c>
      <c r="D796" t="s">
        <v>22</v>
      </c>
      <c r="E796" s="6">
        <v>45379</v>
      </c>
      <c r="F796" s="6">
        <v>45326</v>
      </c>
      <c r="G796">
        <v>5</v>
      </c>
      <c r="H796" t="s">
        <v>40</v>
      </c>
      <c r="I796">
        <v>5</v>
      </c>
      <c r="J796" t="s">
        <v>66</v>
      </c>
      <c r="K796">
        <v>32610</v>
      </c>
      <c r="L796" t="s">
        <v>36</v>
      </c>
      <c r="M796" t="s">
        <v>54</v>
      </c>
      <c r="N796" t="s">
        <v>27</v>
      </c>
      <c r="O796" s="2">
        <v>45379</v>
      </c>
      <c r="P796" s="2">
        <v>45380.708333333336</v>
      </c>
      <c r="Q796" s="38">
        <f t="shared" si="12"/>
        <v>1.7083333333357587</v>
      </c>
      <c r="R796" t="s">
        <v>42</v>
      </c>
      <c r="S796" t="s">
        <v>29</v>
      </c>
      <c r="T796" t="s">
        <v>30</v>
      </c>
      <c r="U796">
        <v>10</v>
      </c>
      <c r="V796">
        <v>8</v>
      </c>
      <c r="W796" s="18">
        <f>IFERROR(Table1[[#This Row],[Staff Hours Worked]]/Table1[[#This Row],[Staff Available Hours]],0)</f>
        <v>1.25</v>
      </c>
      <c r="X796" t="s">
        <v>48</v>
      </c>
    </row>
    <row r="797" spans="1:24">
      <c r="A797" t="s">
        <v>854</v>
      </c>
      <c r="B797">
        <v>27</v>
      </c>
      <c r="C797" t="str" cm="1">
        <f t="array" ref="C797">_xlfn.IFS(B797&lt;=18,"0-18",B797&lt;=35,"19-35",B797&lt;=50,"36-50",B797&lt;=65,"51-65","True","65+")</f>
        <v>19-35</v>
      </c>
      <c r="D797" t="s">
        <v>33</v>
      </c>
      <c r="E797" s="6">
        <v>44979</v>
      </c>
      <c r="F797" s="6">
        <v>44983</v>
      </c>
      <c r="G797">
        <v>4</v>
      </c>
      <c r="H797" t="s">
        <v>40</v>
      </c>
      <c r="I797">
        <v>3</v>
      </c>
      <c r="J797" t="s">
        <v>66</v>
      </c>
      <c r="K797">
        <v>11963</v>
      </c>
      <c r="L797" t="s">
        <v>60</v>
      </c>
      <c r="M797" t="s">
        <v>26</v>
      </c>
      <c r="N797" t="s">
        <v>41</v>
      </c>
      <c r="O797" s="2">
        <v>44975</v>
      </c>
      <c r="P797" s="2">
        <v>44975.208333333336</v>
      </c>
      <c r="Q797" s="38">
        <f t="shared" si="12"/>
        <v>0.20833333333575865</v>
      </c>
      <c r="R797" t="s">
        <v>42</v>
      </c>
      <c r="S797" t="s">
        <v>29</v>
      </c>
      <c r="T797" t="s">
        <v>43</v>
      </c>
      <c r="U797">
        <v>6</v>
      </c>
      <c r="V797">
        <v>8</v>
      </c>
      <c r="W797" s="18">
        <f>IFERROR(Table1[[#This Row],[Staff Hours Worked]]/Table1[[#This Row],[Staff Available Hours]],0)</f>
        <v>0.75</v>
      </c>
      <c r="X797" t="s">
        <v>48</v>
      </c>
    </row>
    <row r="798" spans="1:24">
      <c r="A798" t="s">
        <v>855</v>
      </c>
      <c r="B798">
        <v>32</v>
      </c>
      <c r="C798" t="str" cm="1">
        <f t="array" ref="C798">_xlfn.IFS(B798&lt;=18,"0-18",B798&lt;=35,"19-35",B798&lt;=50,"36-50",B798&lt;=65,"51-65","True","65+")</f>
        <v>19-35</v>
      </c>
      <c r="D798" t="s">
        <v>41</v>
      </c>
      <c r="E798" s="6">
        <v>45135</v>
      </c>
      <c r="F798" s="6">
        <v>44965</v>
      </c>
      <c r="G798">
        <v>5</v>
      </c>
      <c r="H798" t="s">
        <v>40</v>
      </c>
      <c r="I798">
        <v>4</v>
      </c>
      <c r="J798" t="s">
        <v>46</v>
      </c>
      <c r="K798">
        <v>12838</v>
      </c>
      <c r="L798" t="s">
        <v>25</v>
      </c>
      <c r="M798" t="s">
        <v>26</v>
      </c>
      <c r="N798" t="s">
        <v>27</v>
      </c>
      <c r="O798" s="2">
        <v>45130</v>
      </c>
      <c r="P798" s="2">
        <v>45131.333333333336</v>
      </c>
      <c r="Q798" s="38">
        <f t="shared" si="12"/>
        <v>1.3333333333357587</v>
      </c>
      <c r="R798" t="s">
        <v>37</v>
      </c>
      <c r="S798" t="s">
        <v>29</v>
      </c>
      <c r="T798" t="s">
        <v>47</v>
      </c>
      <c r="U798">
        <v>10</v>
      </c>
      <c r="V798">
        <v>12</v>
      </c>
      <c r="W798" s="18">
        <f>IFERROR(Table1[[#This Row],[Staff Hours Worked]]/Table1[[#This Row],[Staff Available Hours]],0)</f>
        <v>0.83333333333333337</v>
      </c>
      <c r="X798" t="s">
        <v>68</v>
      </c>
    </row>
    <row r="799" spans="1:24">
      <c r="A799" t="s">
        <v>856</v>
      </c>
      <c r="B799">
        <v>50</v>
      </c>
      <c r="C799" t="str" cm="1">
        <f t="array" ref="C799">_xlfn.IFS(B799&lt;=18,"0-18",B799&lt;=35,"19-35",B799&lt;=50,"36-50",B799&lt;=65,"51-65","True","65+")</f>
        <v>36-50</v>
      </c>
      <c r="D799" t="s">
        <v>33</v>
      </c>
      <c r="E799" s="6">
        <v>44936</v>
      </c>
      <c r="F799" s="6">
        <v>44995</v>
      </c>
      <c r="G799">
        <v>2</v>
      </c>
      <c r="H799" t="s">
        <v>63</v>
      </c>
      <c r="I799">
        <v>2</v>
      </c>
      <c r="J799" t="s">
        <v>35</v>
      </c>
      <c r="K799">
        <v>17243</v>
      </c>
      <c r="L799" t="s">
        <v>53</v>
      </c>
      <c r="M799" t="s">
        <v>26</v>
      </c>
      <c r="N799" t="s">
        <v>27</v>
      </c>
      <c r="O799" s="2">
        <v>45199</v>
      </c>
      <c r="P799" s="2">
        <v>44936.25</v>
      </c>
      <c r="Q799" s="38">
        <f t="shared" si="12"/>
        <v>262.75</v>
      </c>
      <c r="R799" t="s">
        <v>42</v>
      </c>
      <c r="S799" t="s">
        <v>29</v>
      </c>
      <c r="T799" t="s">
        <v>30</v>
      </c>
      <c r="U799">
        <v>9</v>
      </c>
      <c r="V799">
        <v>10</v>
      </c>
      <c r="W799" s="18">
        <f>IFERROR(Table1[[#This Row],[Staff Hours Worked]]/Table1[[#This Row],[Staff Available Hours]],0)</f>
        <v>0.9</v>
      </c>
      <c r="X799" t="s">
        <v>68</v>
      </c>
    </row>
    <row r="800" spans="1:24">
      <c r="A800" t="s">
        <v>857</v>
      </c>
      <c r="B800">
        <v>61</v>
      </c>
      <c r="C800" t="str" cm="1">
        <f t="array" ref="C800">_xlfn.IFS(B800&lt;=18,"0-18",B800&lt;=35,"19-35",B800&lt;=50,"36-50",B800&lt;=65,"51-65","True","65+")</f>
        <v>51-65</v>
      </c>
      <c r="D800" t="s">
        <v>41</v>
      </c>
      <c r="E800" s="6">
        <v>45061</v>
      </c>
      <c r="F800" s="6">
        <v>45062</v>
      </c>
      <c r="G800">
        <v>1</v>
      </c>
      <c r="H800" t="s">
        <v>34</v>
      </c>
      <c r="I800">
        <v>1</v>
      </c>
      <c r="J800" t="s">
        <v>35</v>
      </c>
      <c r="K800">
        <v>32939</v>
      </c>
      <c r="L800" t="s">
        <v>53</v>
      </c>
      <c r="M800" t="s">
        <v>54</v>
      </c>
      <c r="N800" t="s">
        <v>41</v>
      </c>
      <c r="O800" s="2">
        <v>45061</v>
      </c>
      <c r="P800" s="2">
        <v>45062.375</v>
      </c>
      <c r="Q800" s="38">
        <f t="shared" si="12"/>
        <v>1.375</v>
      </c>
      <c r="R800" t="s">
        <v>28</v>
      </c>
      <c r="S800" t="s">
        <v>29</v>
      </c>
      <c r="T800" t="s">
        <v>47</v>
      </c>
      <c r="U800">
        <v>4</v>
      </c>
      <c r="V800">
        <v>10</v>
      </c>
      <c r="W800" s="18">
        <f>IFERROR(Table1[[#This Row],[Staff Hours Worked]]/Table1[[#This Row],[Staff Available Hours]],0)</f>
        <v>0.4</v>
      </c>
      <c r="X800" t="s">
        <v>31</v>
      </c>
    </row>
    <row r="801" spans="1:24">
      <c r="A801" t="s">
        <v>858</v>
      </c>
      <c r="B801">
        <v>51</v>
      </c>
      <c r="C801" t="str" cm="1">
        <f t="array" ref="C801">_xlfn.IFS(B801&lt;=18,"0-18",B801&lt;=35,"19-35",B801&lt;=50,"36-50",B801&lt;=65,"51-65","True","65+")</f>
        <v>51-65</v>
      </c>
      <c r="D801" t="s">
        <v>33</v>
      </c>
      <c r="E801" s="6">
        <v>45221</v>
      </c>
      <c r="F801" s="6">
        <v>45225</v>
      </c>
      <c r="G801">
        <v>4</v>
      </c>
      <c r="H801" t="s">
        <v>40</v>
      </c>
      <c r="I801">
        <v>3</v>
      </c>
      <c r="J801" t="s">
        <v>24</v>
      </c>
      <c r="K801">
        <v>6845</v>
      </c>
      <c r="L801" t="s">
        <v>60</v>
      </c>
      <c r="M801" t="s">
        <v>26</v>
      </c>
      <c r="N801" t="s">
        <v>27</v>
      </c>
      <c r="O801" s="2">
        <v>45219</v>
      </c>
      <c r="P801" s="2">
        <v>45220</v>
      </c>
      <c r="Q801" s="38">
        <f t="shared" si="12"/>
        <v>1</v>
      </c>
      <c r="R801" t="s">
        <v>64</v>
      </c>
      <c r="S801" t="s">
        <v>29</v>
      </c>
      <c r="T801" t="s">
        <v>43</v>
      </c>
      <c r="U801">
        <v>9</v>
      </c>
      <c r="V801">
        <v>8</v>
      </c>
      <c r="W801" s="18">
        <f>IFERROR(Table1[[#This Row],[Staff Hours Worked]]/Table1[[#This Row],[Staff Available Hours]],0)</f>
        <v>1.125</v>
      </c>
      <c r="X801" t="s">
        <v>68</v>
      </c>
    </row>
    <row r="802" spans="1:24">
      <c r="A802" t="s">
        <v>859</v>
      </c>
      <c r="B802">
        <v>19</v>
      </c>
      <c r="C802" t="str" cm="1">
        <f t="array" ref="C802">_xlfn.IFS(B802&lt;=18,"0-18",B802&lt;=35,"19-35",B802&lt;=50,"36-50",B802&lt;=65,"51-65","True","65+")</f>
        <v>19-35</v>
      </c>
      <c r="D802" t="s">
        <v>22</v>
      </c>
      <c r="E802" s="6">
        <v>45375</v>
      </c>
      <c r="F802" s="6">
        <v>45382</v>
      </c>
      <c r="G802">
        <v>7</v>
      </c>
      <c r="H802" t="s">
        <v>40</v>
      </c>
      <c r="I802">
        <v>2</v>
      </c>
      <c r="J802" t="s">
        <v>46</v>
      </c>
      <c r="K802">
        <v>21766</v>
      </c>
      <c r="L802" t="s">
        <v>60</v>
      </c>
      <c r="M802" t="s">
        <v>26</v>
      </c>
      <c r="N802" t="s">
        <v>27</v>
      </c>
      <c r="O802" s="2">
        <v>45372</v>
      </c>
      <c r="P802" s="2">
        <v>45372.166666666664</v>
      </c>
      <c r="Q802" s="38">
        <f t="shared" si="12"/>
        <v>0.16666666666424135</v>
      </c>
      <c r="R802" t="s">
        <v>37</v>
      </c>
      <c r="S802" t="s">
        <v>29</v>
      </c>
      <c r="T802" t="s">
        <v>47</v>
      </c>
      <c r="U802">
        <v>11</v>
      </c>
      <c r="V802">
        <v>12</v>
      </c>
      <c r="W802" s="18">
        <f>IFERROR(Table1[[#This Row],[Staff Hours Worked]]/Table1[[#This Row],[Staff Available Hours]],0)</f>
        <v>0.91666666666666663</v>
      </c>
      <c r="X802" t="s">
        <v>31</v>
      </c>
    </row>
    <row r="803" spans="1:24">
      <c r="A803" t="s">
        <v>860</v>
      </c>
      <c r="B803">
        <v>21</v>
      </c>
      <c r="C803" t="str" cm="1">
        <f t="array" ref="C803">_xlfn.IFS(B803&lt;=18,"0-18",B803&lt;=35,"19-35",B803&lt;=50,"36-50",B803&lt;=65,"51-65","True","65+")</f>
        <v>19-35</v>
      </c>
      <c r="D803" t="s">
        <v>41</v>
      </c>
      <c r="E803" s="6">
        <v>45601</v>
      </c>
      <c r="F803" s="6">
        <v>45434</v>
      </c>
      <c r="G803">
        <v>11</v>
      </c>
      <c r="H803" t="s">
        <v>23</v>
      </c>
      <c r="I803">
        <v>1</v>
      </c>
      <c r="J803" t="s">
        <v>71</v>
      </c>
      <c r="K803">
        <v>41880</v>
      </c>
      <c r="L803" t="s">
        <v>25</v>
      </c>
      <c r="M803" t="s">
        <v>26</v>
      </c>
      <c r="N803" t="s">
        <v>27</v>
      </c>
      <c r="O803" s="2">
        <v>45448</v>
      </c>
      <c r="P803" s="2">
        <v>45478.333333333336</v>
      </c>
      <c r="Q803" s="38">
        <f t="shared" si="12"/>
        <v>30.333333333335759</v>
      </c>
      <c r="R803" t="s">
        <v>37</v>
      </c>
      <c r="S803" t="s">
        <v>29</v>
      </c>
      <c r="T803" t="s">
        <v>47</v>
      </c>
      <c r="U803">
        <v>4</v>
      </c>
      <c r="V803">
        <v>12</v>
      </c>
      <c r="W803" s="18">
        <f>IFERROR(Table1[[#This Row],[Staff Hours Worked]]/Table1[[#This Row],[Staff Available Hours]],0)</f>
        <v>0.33333333333333331</v>
      </c>
      <c r="X803" t="s">
        <v>68</v>
      </c>
    </row>
    <row r="804" spans="1:24">
      <c r="A804" t="s">
        <v>861</v>
      </c>
      <c r="B804">
        <v>5</v>
      </c>
      <c r="C804" t="str" cm="1">
        <f t="array" ref="C804">_xlfn.IFS(B804&lt;=18,"0-18",B804&lt;=35,"19-35",B804&lt;=50,"36-50",B804&lt;=65,"51-65","True","65+")</f>
        <v>0-18</v>
      </c>
      <c r="D804" t="s">
        <v>41</v>
      </c>
      <c r="E804" s="6">
        <v>45051</v>
      </c>
      <c r="F804" s="6">
        <v>45064</v>
      </c>
      <c r="G804">
        <v>13</v>
      </c>
      <c r="H804" t="s">
        <v>50</v>
      </c>
      <c r="I804">
        <v>3</v>
      </c>
      <c r="J804" t="s">
        <v>46</v>
      </c>
      <c r="K804">
        <v>17780</v>
      </c>
      <c r="L804" t="s">
        <v>25</v>
      </c>
      <c r="M804" t="s">
        <v>54</v>
      </c>
      <c r="N804" t="s">
        <v>27</v>
      </c>
      <c r="O804" s="2">
        <v>44931</v>
      </c>
      <c r="P804" s="2">
        <v>44962.541666666664</v>
      </c>
      <c r="Q804" s="38">
        <f t="shared" si="12"/>
        <v>31.541666666664241</v>
      </c>
      <c r="R804" t="s">
        <v>55</v>
      </c>
      <c r="S804" t="s">
        <v>29</v>
      </c>
      <c r="T804" t="s">
        <v>43</v>
      </c>
      <c r="U804">
        <v>8</v>
      </c>
      <c r="V804">
        <v>8</v>
      </c>
      <c r="W804" s="18">
        <f>IFERROR(Table1[[#This Row],[Staff Hours Worked]]/Table1[[#This Row],[Staff Available Hours]],0)</f>
        <v>1</v>
      </c>
      <c r="X804" t="s">
        <v>48</v>
      </c>
    </row>
    <row r="805" spans="1:24">
      <c r="A805" t="s">
        <v>862</v>
      </c>
      <c r="B805">
        <v>82</v>
      </c>
      <c r="C805" t="str" cm="1">
        <f t="array" ref="C805">_xlfn.IFS(B805&lt;=18,"0-18",B805&lt;=35,"19-35",B805&lt;=50,"36-50",B805&lt;=65,"51-65","True","65+")</f>
        <v>65+</v>
      </c>
      <c r="D805" t="s">
        <v>45</v>
      </c>
      <c r="E805" s="6">
        <v>44956</v>
      </c>
      <c r="F805" s="6">
        <v>45171</v>
      </c>
      <c r="G805">
        <v>10</v>
      </c>
      <c r="H805" t="s">
        <v>23</v>
      </c>
      <c r="I805">
        <v>2</v>
      </c>
      <c r="J805" t="s">
        <v>24</v>
      </c>
      <c r="K805">
        <v>47856</v>
      </c>
      <c r="L805" t="s">
        <v>36</v>
      </c>
      <c r="M805" t="s">
        <v>54</v>
      </c>
      <c r="N805" t="s">
        <v>41</v>
      </c>
      <c r="O805" s="2">
        <v>44952</v>
      </c>
      <c r="P805" s="2">
        <v>44952.458333333336</v>
      </c>
      <c r="Q805" s="38">
        <f t="shared" si="12"/>
        <v>0.45833333333575865</v>
      </c>
      <c r="R805" t="s">
        <v>64</v>
      </c>
      <c r="S805" t="s">
        <v>29</v>
      </c>
      <c r="T805" t="s">
        <v>43</v>
      </c>
      <c r="U805">
        <v>4</v>
      </c>
      <c r="V805">
        <v>12</v>
      </c>
      <c r="W805" s="18">
        <f>IFERROR(Table1[[#This Row],[Staff Hours Worked]]/Table1[[#This Row],[Staff Available Hours]],0)</f>
        <v>0.33333333333333331</v>
      </c>
      <c r="X805" t="s">
        <v>48</v>
      </c>
    </row>
    <row r="806" spans="1:24">
      <c r="A806" t="s">
        <v>863</v>
      </c>
      <c r="B806">
        <v>42</v>
      </c>
      <c r="C806" t="str" cm="1">
        <f t="array" ref="C806">_xlfn.IFS(B806&lt;=18,"0-18",B806&lt;=35,"19-35",B806&lt;=50,"36-50",B806&lt;=65,"51-65","True","65+")</f>
        <v>36-50</v>
      </c>
      <c r="D806" t="s">
        <v>45</v>
      </c>
      <c r="E806" s="6">
        <v>44994</v>
      </c>
      <c r="F806" s="6">
        <v>45239</v>
      </c>
      <c r="G806">
        <v>8</v>
      </c>
      <c r="H806" t="s">
        <v>23</v>
      </c>
      <c r="I806">
        <v>2</v>
      </c>
      <c r="J806" t="s">
        <v>46</v>
      </c>
      <c r="K806">
        <v>6509</v>
      </c>
      <c r="L806" t="s">
        <v>67</v>
      </c>
      <c r="M806" t="s">
        <v>26</v>
      </c>
      <c r="N806" t="s">
        <v>27</v>
      </c>
      <c r="O806" s="2">
        <v>44994</v>
      </c>
      <c r="P806" s="2">
        <v>45025</v>
      </c>
      <c r="Q806" s="38">
        <f t="shared" si="12"/>
        <v>31</v>
      </c>
      <c r="R806" t="s">
        <v>37</v>
      </c>
      <c r="S806" t="s">
        <v>29</v>
      </c>
      <c r="T806" t="s">
        <v>30</v>
      </c>
      <c r="U806">
        <v>5</v>
      </c>
      <c r="V806">
        <v>8</v>
      </c>
      <c r="W806" s="18">
        <f>IFERROR(Table1[[#This Row],[Staff Hours Worked]]/Table1[[#This Row],[Staff Available Hours]],0)</f>
        <v>0.625</v>
      </c>
      <c r="X806" t="s">
        <v>68</v>
      </c>
    </row>
    <row r="807" spans="1:24">
      <c r="A807" t="s">
        <v>864</v>
      </c>
      <c r="B807">
        <v>61</v>
      </c>
      <c r="C807" t="str" cm="1">
        <f t="array" ref="C807">_xlfn.IFS(B807&lt;=18,"0-18",B807&lt;=35,"19-35",B807&lt;=50,"36-50",B807&lt;=65,"51-65","True","65+")</f>
        <v>51-65</v>
      </c>
      <c r="D807" t="s">
        <v>52</v>
      </c>
      <c r="E807" s="6">
        <v>45266</v>
      </c>
      <c r="F807" s="6">
        <v>45091</v>
      </c>
      <c r="G807">
        <v>2</v>
      </c>
      <c r="H807" t="s">
        <v>50</v>
      </c>
      <c r="I807">
        <v>3</v>
      </c>
      <c r="J807" t="s">
        <v>46</v>
      </c>
      <c r="K807">
        <v>28957</v>
      </c>
      <c r="L807" t="s">
        <v>25</v>
      </c>
      <c r="M807" t="s">
        <v>54</v>
      </c>
      <c r="N807" t="s">
        <v>27</v>
      </c>
      <c r="O807" s="2">
        <v>45266</v>
      </c>
      <c r="P807" s="2">
        <v>45266.458333333336</v>
      </c>
      <c r="Q807" s="38">
        <f t="shared" si="12"/>
        <v>0.45833333333575865</v>
      </c>
      <c r="R807" t="s">
        <v>42</v>
      </c>
      <c r="S807" t="s">
        <v>29</v>
      </c>
      <c r="T807" t="s">
        <v>30</v>
      </c>
      <c r="U807">
        <v>11</v>
      </c>
      <c r="V807">
        <v>10</v>
      </c>
      <c r="W807" s="18">
        <f>IFERROR(Table1[[#This Row],[Staff Hours Worked]]/Table1[[#This Row],[Staff Available Hours]],0)</f>
        <v>1.1000000000000001</v>
      </c>
      <c r="X807" t="s">
        <v>68</v>
      </c>
    </row>
    <row r="808" spans="1:24">
      <c r="A808" t="s">
        <v>865</v>
      </c>
      <c r="B808">
        <v>22</v>
      </c>
      <c r="C808" t="str" cm="1">
        <f t="array" ref="C808">_xlfn.IFS(B808&lt;=18,"0-18",B808&lt;=35,"19-35",B808&lt;=50,"36-50",B808&lt;=65,"51-65","True","65+")</f>
        <v>19-35</v>
      </c>
      <c r="D808" t="s">
        <v>33</v>
      </c>
      <c r="E808" s="6">
        <v>45245</v>
      </c>
      <c r="F808" s="6">
        <v>45247</v>
      </c>
      <c r="G808">
        <v>2</v>
      </c>
      <c r="H808" t="s">
        <v>34</v>
      </c>
      <c r="I808">
        <v>2</v>
      </c>
      <c r="J808" t="s">
        <v>24</v>
      </c>
      <c r="K808">
        <v>39346</v>
      </c>
      <c r="L808" t="s">
        <v>60</v>
      </c>
      <c r="M808" t="s">
        <v>54</v>
      </c>
      <c r="N808" t="s">
        <v>27</v>
      </c>
      <c r="O808" s="2">
        <v>45244</v>
      </c>
      <c r="P808" s="2">
        <v>45244.708333333336</v>
      </c>
      <c r="Q808" s="38">
        <f t="shared" si="12"/>
        <v>0.70833333333575865</v>
      </c>
      <c r="R808" t="s">
        <v>37</v>
      </c>
      <c r="S808" t="s">
        <v>29</v>
      </c>
      <c r="T808" t="s">
        <v>30</v>
      </c>
      <c r="U808">
        <v>5</v>
      </c>
      <c r="V808">
        <v>10</v>
      </c>
      <c r="W808" s="18">
        <f>IFERROR(Table1[[#This Row],[Staff Hours Worked]]/Table1[[#This Row],[Staff Available Hours]],0)</f>
        <v>0.5</v>
      </c>
      <c r="X808" t="s">
        <v>31</v>
      </c>
    </row>
    <row r="809" spans="1:24">
      <c r="A809" t="s">
        <v>866</v>
      </c>
      <c r="B809">
        <v>21</v>
      </c>
      <c r="C809" t="str" cm="1">
        <f t="array" ref="C809">_xlfn.IFS(B809&lt;=18,"0-18",B809&lt;=35,"19-35",B809&lt;=50,"36-50",B809&lt;=65,"51-65","True","65+")</f>
        <v>19-35</v>
      </c>
      <c r="D809" t="s">
        <v>45</v>
      </c>
      <c r="E809" s="6">
        <v>44941</v>
      </c>
      <c r="F809" s="6">
        <v>44955</v>
      </c>
      <c r="G809">
        <v>14</v>
      </c>
      <c r="H809" t="s">
        <v>23</v>
      </c>
      <c r="I809">
        <v>5</v>
      </c>
      <c r="J809" t="s">
        <v>35</v>
      </c>
      <c r="K809">
        <v>22263</v>
      </c>
      <c r="L809" t="s">
        <v>25</v>
      </c>
      <c r="M809" t="s">
        <v>26</v>
      </c>
      <c r="N809" t="s">
        <v>27</v>
      </c>
      <c r="O809" s="2">
        <v>45231</v>
      </c>
      <c r="P809" s="2">
        <v>45231.291666666664</v>
      </c>
      <c r="Q809" s="38">
        <f t="shared" si="12"/>
        <v>0.29166666666424135</v>
      </c>
      <c r="R809" t="s">
        <v>37</v>
      </c>
      <c r="S809" t="s">
        <v>38</v>
      </c>
      <c r="T809" t="s">
        <v>43</v>
      </c>
      <c r="U809">
        <v>11</v>
      </c>
      <c r="V809">
        <v>12</v>
      </c>
      <c r="W809" s="18">
        <f>IFERROR(Table1[[#This Row],[Staff Hours Worked]]/Table1[[#This Row],[Staff Available Hours]],0)</f>
        <v>0.91666666666666663</v>
      </c>
      <c r="X809" t="s">
        <v>31</v>
      </c>
    </row>
    <row r="810" spans="1:24">
      <c r="A810" t="s">
        <v>867</v>
      </c>
      <c r="B810">
        <v>70</v>
      </c>
      <c r="C810" t="str" cm="1">
        <f t="array" ref="C810">_xlfn.IFS(B810&lt;=18,"0-18",B810&lt;=35,"19-35",B810&lt;=50,"36-50",B810&lt;=65,"51-65","True","65+")</f>
        <v>65+</v>
      </c>
      <c r="D810" t="s">
        <v>52</v>
      </c>
      <c r="E810" s="6">
        <v>45344</v>
      </c>
      <c r="F810" s="6">
        <v>45507</v>
      </c>
      <c r="G810">
        <v>15</v>
      </c>
      <c r="H810" t="s">
        <v>34</v>
      </c>
      <c r="I810">
        <v>3</v>
      </c>
      <c r="J810" t="s">
        <v>71</v>
      </c>
      <c r="K810">
        <v>31148</v>
      </c>
      <c r="L810" t="s">
        <v>53</v>
      </c>
      <c r="M810" t="s">
        <v>26</v>
      </c>
      <c r="N810" t="s">
        <v>41</v>
      </c>
      <c r="O810" s="2">
        <v>45339</v>
      </c>
      <c r="P810" s="2">
        <v>45340.541666666664</v>
      </c>
      <c r="Q810" s="38">
        <f t="shared" si="12"/>
        <v>1.5416666666642413</v>
      </c>
      <c r="R810" t="s">
        <v>37</v>
      </c>
      <c r="S810" t="s">
        <v>29</v>
      </c>
      <c r="T810" t="s">
        <v>47</v>
      </c>
      <c r="U810">
        <v>9</v>
      </c>
      <c r="V810">
        <v>10</v>
      </c>
      <c r="W810" s="18">
        <f>IFERROR(Table1[[#This Row],[Staff Hours Worked]]/Table1[[#This Row],[Staff Available Hours]],0)</f>
        <v>0.9</v>
      </c>
      <c r="X810" t="s">
        <v>31</v>
      </c>
    </row>
    <row r="811" spans="1:24">
      <c r="A811" t="s">
        <v>868</v>
      </c>
      <c r="B811">
        <v>1</v>
      </c>
      <c r="C811" t="str" cm="1">
        <f t="array" ref="C811">_xlfn.IFS(B811&lt;=18,"0-18",B811&lt;=35,"19-35",B811&lt;=50,"36-50",B811&lt;=65,"51-65","True","65+")</f>
        <v>0-18</v>
      </c>
      <c r="D811" t="s">
        <v>45</v>
      </c>
      <c r="E811" s="6">
        <v>45081</v>
      </c>
      <c r="F811" s="6">
        <v>45030</v>
      </c>
      <c r="G811">
        <v>8</v>
      </c>
      <c r="H811" t="s">
        <v>23</v>
      </c>
      <c r="I811">
        <v>2</v>
      </c>
      <c r="J811" t="s">
        <v>24</v>
      </c>
      <c r="K811">
        <v>36533</v>
      </c>
      <c r="L811" t="s">
        <v>67</v>
      </c>
      <c r="M811" t="s">
        <v>26</v>
      </c>
      <c r="N811" t="s">
        <v>41</v>
      </c>
      <c r="O811" s="2">
        <v>44930</v>
      </c>
      <c r="P811" s="2">
        <v>44961.833333333336</v>
      </c>
      <c r="Q811" s="38">
        <f t="shared" si="12"/>
        <v>31.833333333335759</v>
      </c>
      <c r="R811" t="s">
        <v>55</v>
      </c>
      <c r="S811" t="s">
        <v>38</v>
      </c>
      <c r="T811" t="s">
        <v>47</v>
      </c>
      <c r="U811">
        <v>5</v>
      </c>
      <c r="V811">
        <v>10</v>
      </c>
      <c r="W811" s="18">
        <f>IFERROR(Table1[[#This Row],[Staff Hours Worked]]/Table1[[#This Row],[Staff Available Hours]],0)</f>
        <v>0.5</v>
      </c>
      <c r="X811" t="s">
        <v>48</v>
      </c>
    </row>
    <row r="812" spans="1:24">
      <c r="A812" t="s">
        <v>869</v>
      </c>
      <c r="B812">
        <v>5</v>
      </c>
      <c r="C812" t="str" cm="1">
        <f t="array" ref="C812">_xlfn.IFS(B812&lt;=18,"0-18",B812&lt;=35,"19-35",B812&lt;=50,"36-50",B812&lt;=65,"51-65","True","65+")</f>
        <v>0-18</v>
      </c>
      <c r="D812" t="s">
        <v>33</v>
      </c>
      <c r="E812" s="6">
        <v>45157</v>
      </c>
      <c r="F812" s="6">
        <v>45167</v>
      </c>
      <c r="G812">
        <v>10</v>
      </c>
      <c r="H812" t="s">
        <v>57</v>
      </c>
      <c r="I812">
        <v>1</v>
      </c>
      <c r="J812" t="s">
        <v>66</v>
      </c>
      <c r="K812">
        <v>47608</v>
      </c>
      <c r="L812" t="s">
        <v>36</v>
      </c>
      <c r="M812" t="s">
        <v>26</v>
      </c>
      <c r="N812" t="s">
        <v>27</v>
      </c>
      <c r="O812" s="2">
        <v>45153</v>
      </c>
      <c r="P812" s="2">
        <v>45154.958333333336</v>
      </c>
      <c r="Q812" s="38">
        <f t="shared" si="12"/>
        <v>1.9583333333357587</v>
      </c>
      <c r="R812" t="s">
        <v>37</v>
      </c>
      <c r="S812" t="s">
        <v>29</v>
      </c>
      <c r="T812" t="s">
        <v>30</v>
      </c>
      <c r="U812">
        <v>5</v>
      </c>
      <c r="V812">
        <v>8</v>
      </c>
      <c r="W812" s="18">
        <f>IFERROR(Table1[[#This Row],[Staff Hours Worked]]/Table1[[#This Row],[Staff Available Hours]],0)</f>
        <v>0.625</v>
      </c>
      <c r="X812" t="s">
        <v>48</v>
      </c>
    </row>
    <row r="813" spans="1:24">
      <c r="A813" t="s">
        <v>870</v>
      </c>
      <c r="B813">
        <v>12</v>
      </c>
      <c r="C813" t="str" cm="1">
        <f t="array" ref="C813">_xlfn.IFS(B813&lt;=18,"0-18",B813&lt;=35,"19-35",B813&lt;=50,"36-50",B813&lt;=65,"51-65","True","65+")</f>
        <v>0-18</v>
      </c>
      <c r="D813" t="s">
        <v>41</v>
      </c>
      <c r="E813" s="6">
        <v>45043</v>
      </c>
      <c r="F813" s="6">
        <v>45082</v>
      </c>
      <c r="G813">
        <v>9</v>
      </c>
      <c r="H813" t="s">
        <v>50</v>
      </c>
      <c r="I813">
        <v>1</v>
      </c>
      <c r="J813" t="s">
        <v>35</v>
      </c>
      <c r="K813">
        <v>17931</v>
      </c>
      <c r="L813" t="s">
        <v>53</v>
      </c>
      <c r="M813" t="s">
        <v>54</v>
      </c>
      <c r="N813" t="s">
        <v>27</v>
      </c>
      <c r="O813" s="2">
        <v>45042</v>
      </c>
      <c r="P813" s="2">
        <v>45042.333333333336</v>
      </c>
      <c r="Q813" s="38">
        <f t="shared" si="12"/>
        <v>0.33333333333575865</v>
      </c>
      <c r="R813" t="s">
        <v>37</v>
      </c>
      <c r="S813" t="s">
        <v>29</v>
      </c>
      <c r="T813" t="s">
        <v>30</v>
      </c>
      <c r="U813">
        <v>8</v>
      </c>
      <c r="V813">
        <v>8</v>
      </c>
      <c r="W813" s="18">
        <f>IFERROR(Table1[[#This Row],[Staff Hours Worked]]/Table1[[#This Row],[Staff Available Hours]],0)</f>
        <v>1</v>
      </c>
      <c r="X813" t="s">
        <v>48</v>
      </c>
    </row>
    <row r="814" spans="1:24">
      <c r="A814" t="s">
        <v>871</v>
      </c>
      <c r="B814">
        <v>46</v>
      </c>
      <c r="C814" t="str" cm="1">
        <f t="array" ref="C814">_xlfn.IFS(B814&lt;=18,"0-18",B814&lt;=35,"19-35",B814&lt;=50,"36-50",B814&lt;=65,"51-65","True","65+")</f>
        <v>36-50</v>
      </c>
      <c r="D814" t="s">
        <v>62</v>
      </c>
      <c r="E814" s="6">
        <v>45399</v>
      </c>
      <c r="F814" s="6">
        <v>45400</v>
      </c>
      <c r="G814">
        <v>1</v>
      </c>
      <c r="H814" t="s">
        <v>23</v>
      </c>
      <c r="I814">
        <v>5</v>
      </c>
      <c r="J814" t="s">
        <v>66</v>
      </c>
      <c r="K814">
        <v>6359</v>
      </c>
      <c r="L814" t="s">
        <v>53</v>
      </c>
      <c r="M814" t="s">
        <v>54</v>
      </c>
      <c r="N814" t="s">
        <v>27</v>
      </c>
      <c r="O814" s="2">
        <v>45396</v>
      </c>
      <c r="P814" s="2">
        <v>45396.625</v>
      </c>
      <c r="Q814" s="38">
        <f t="shared" si="12"/>
        <v>0.625</v>
      </c>
      <c r="R814" t="s">
        <v>55</v>
      </c>
      <c r="S814" t="s">
        <v>29</v>
      </c>
      <c r="T814" t="s">
        <v>43</v>
      </c>
      <c r="U814">
        <v>5</v>
      </c>
      <c r="V814">
        <v>12</v>
      </c>
      <c r="W814" s="18">
        <f>IFERROR(Table1[[#This Row],[Staff Hours Worked]]/Table1[[#This Row],[Staff Available Hours]],0)</f>
        <v>0.41666666666666669</v>
      </c>
      <c r="X814" t="s">
        <v>48</v>
      </c>
    </row>
    <row r="815" spans="1:24">
      <c r="A815" t="s">
        <v>872</v>
      </c>
      <c r="B815">
        <v>34</v>
      </c>
      <c r="C815" t="str" cm="1">
        <f t="array" ref="C815">_xlfn.IFS(B815&lt;=18,"0-18",B815&lt;=35,"19-35",B815&lt;=50,"36-50",B815&lt;=65,"51-65","True","65+")</f>
        <v>19-35</v>
      </c>
      <c r="D815" t="s">
        <v>33</v>
      </c>
      <c r="E815" s="6">
        <v>44931</v>
      </c>
      <c r="F815" s="6">
        <v>45265</v>
      </c>
      <c r="G815">
        <v>11</v>
      </c>
      <c r="H815" t="s">
        <v>57</v>
      </c>
      <c r="I815">
        <v>3</v>
      </c>
      <c r="J815" t="s">
        <v>35</v>
      </c>
      <c r="K815">
        <v>29532</v>
      </c>
      <c r="L815" t="s">
        <v>67</v>
      </c>
      <c r="M815" t="s">
        <v>54</v>
      </c>
      <c r="N815" t="s">
        <v>41</v>
      </c>
      <c r="O815" s="2">
        <v>45046</v>
      </c>
      <c r="P815" s="2">
        <v>44962</v>
      </c>
      <c r="Q815" s="38">
        <f t="shared" si="12"/>
        <v>84</v>
      </c>
      <c r="R815" t="s">
        <v>64</v>
      </c>
      <c r="S815" t="s">
        <v>29</v>
      </c>
      <c r="T815" t="s">
        <v>47</v>
      </c>
      <c r="U815">
        <v>7</v>
      </c>
      <c r="V815">
        <v>8</v>
      </c>
      <c r="W815" s="18">
        <f>IFERROR(Table1[[#This Row],[Staff Hours Worked]]/Table1[[#This Row],[Staff Available Hours]],0)</f>
        <v>0.875</v>
      </c>
      <c r="X815" t="s">
        <v>31</v>
      </c>
    </row>
    <row r="816" spans="1:24">
      <c r="A816" t="s">
        <v>873</v>
      </c>
      <c r="B816">
        <v>49</v>
      </c>
      <c r="C816" t="str" cm="1">
        <f t="array" ref="C816">_xlfn.IFS(B816&lt;=18,"0-18",B816&lt;=35,"19-35",B816&lt;=50,"36-50",B816&lt;=65,"51-65","True","65+")</f>
        <v>36-50</v>
      </c>
      <c r="D816" t="s">
        <v>22</v>
      </c>
      <c r="E816" s="6">
        <v>45113</v>
      </c>
      <c r="F816" s="6">
        <v>45093</v>
      </c>
      <c r="G816">
        <v>9</v>
      </c>
      <c r="H816" t="s">
        <v>63</v>
      </c>
      <c r="I816">
        <v>2</v>
      </c>
      <c r="J816" t="s">
        <v>71</v>
      </c>
      <c r="K816">
        <v>25344</v>
      </c>
      <c r="L816" t="s">
        <v>36</v>
      </c>
      <c r="M816" t="s">
        <v>54</v>
      </c>
      <c r="N816" t="s">
        <v>27</v>
      </c>
      <c r="O816" s="2">
        <v>45052</v>
      </c>
      <c r="P816" s="2">
        <v>45083.375</v>
      </c>
      <c r="Q816" s="38">
        <f t="shared" si="12"/>
        <v>31.375</v>
      </c>
      <c r="R816" t="s">
        <v>28</v>
      </c>
      <c r="S816" t="s">
        <v>29</v>
      </c>
      <c r="T816" t="s">
        <v>30</v>
      </c>
      <c r="U816">
        <v>7</v>
      </c>
      <c r="V816">
        <v>12</v>
      </c>
      <c r="W816" s="18">
        <f>IFERROR(Table1[[#This Row],[Staff Hours Worked]]/Table1[[#This Row],[Staff Available Hours]],0)</f>
        <v>0.58333333333333337</v>
      </c>
      <c r="X816" t="s">
        <v>48</v>
      </c>
    </row>
    <row r="817" spans="1:24">
      <c r="A817" t="s">
        <v>874</v>
      </c>
      <c r="B817">
        <v>78</v>
      </c>
      <c r="C817" t="str" cm="1">
        <f t="array" ref="C817">_xlfn.IFS(B817&lt;=18,"0-18",B817&lt;=35,"19-35",B817&lt;=50,"36-50",B817&lt;=65,"51-65","True","65+")</f>
        <v>65+</v>
      </c>
      <c r="D817" t="s">
        <v>45</v>
      </c>
      <c r="E817" s="6">
        <v>45437</v>
      </c>
      <c r="F817" s="6">
        <v>45388</v>
      </c>
      <c r="G817">
        <v>10</v>
      </c>
      <c r="H817" t="s">
        <v>57</v>
      </c>
      <c r="I817">
        <v>2</v>
      </c>
      <c r="J817" t="s">
        <v>71</v>
      </c>
      <c r="K817">
        <v>9242</v>
      </c>
      <c r="L817" t="s">
        <v>60</v>
      </c>
      <c r="M817" t="s">
        <v>54</v>
      </c>
      <c r="N817" t="s">
        <v>27</v>
      </c>
      <c r="O817" s="2">
        <v>45435</v>
      </c>
      <c r="P817" s="2">
        <v>45435.041666666664</v>
      </c>
      <c r="Q817" s="38">
        <f t="shared" si="12"/>
        <v>4.1666666664241347E-2</v>
      </c>
      <c r="R817" t="s">
        <v>55</v>
      </c>
      <c r="S817" t="s">
        <v>29</v>
      </c>
      <c r="T817" t="s">
        <v>43</v>
      </c>
      <c r="U817">
        <v>7</v>
      </c>
      <c r="V817">
        <v>12</v>
      </c>
      <c r="W817" s="18">
        <f>IFERROR(Table1[[#This Row],[Staff Hours Worked]]/Table1[[#This Row],[Staff Available Hours]],0)</f>
        <v>0.58333333333333337</v>
      </c>
      <c r="X817" t="s">
        <v>48</v>
      </c>
    </row>
    <row r="818" spans="1:24">
      <c r="A818" t="s">
        <v>875</v>
      </c>
      <c r="B818">
        <v>45</v>
      </c>
      <c r="C818" t="str" cm="1">
        <f t="array" ref="C818">_xlfn.IFS(B818&lt;=18,"0-18",B818&lt;=35,"19-35",B818&lt;=50,"36-50",B818&lt;=65,"51-65","True","65+")</f>
        <v>36-50</v>
      </c>
      <c r="D818" t="s">
        <v>45</v>
      </c>
      <c r="E818" s="6">
        <v>45225</v>
      </c>
      <c r="F818" s="6">
        <v>45229</v>
      </c>
      <c r="G818">
        <v>4</v>
      </c>
      <c r="H818" t="s">
        <v>40</v>
      </c>
      <c r="I818">
        <v>1</v>
      </c>
      <c r="J818" t="s">
        <v>46</v>
      </c>
      <c r="K818">
        <v>25601</v>
      </c>
      <c r="L818" t="s">
        <v>36</v>
      </c>
      <c r="M818" t="s">
        <v>54</v>
      </c>
      <c r="N818" t="s">
        <v>27</v>
      </c>
      <c r="O818" s="2">
        <v>45225</v>
      </c>
      <c r="P818" s="2">
        <v>45225.125</v>
      </c>
      <c r="Q818" s="38">
        <f t="shared" si="12"/>
        <v>0.125</v>
      </c>
      <c r="R818" t="s">
        <v>55</v>
      </c>
      <c r="S818" t="s">
        <v>29</v>
      </c>
      <c r="T818" t="s">
        <v>30</v>
      </c>
      <c r="U818">
        <v>4</v>
      </c>
      <c r="V818">
        <v>8</v>
      </c>
      <c r="W818" s="18">
        <f>IFERROR(Table1[[#This Row],[Staff Hours Worked]]/Table1[[#This Row],[Staff Available Hours]],0)</f>
        <v>0.5</v>
      </c>
      <c r="X818" t="s">
        <v>48</v>
      </c>
    </row>
    <row r="819" spans="1:24">
      <c r="A819" t="s">
        <v>876</v>
      </c>
      <c r="B819">
        <v>27</v>
      </c>
      <c r="C819" t="str" cm="1">
        <f t="array" ref="C819">_xlfn.IFS(B819&lt;=18,"0-18",B819&lt;=35,"19-35",B819&lt;=50,"36-50",B819&lt;=65,"51-65","True","65+")</f>
        <v>19-35</v>
      </c>
      <c r="D819" t="s">
        <v>41</v>
      </c>
      <c r="E819" s="6">
        <v>45418</v>
      </c>
      <c r="F819" s="6">
        <v>45460</v>
      </c>
      <c r="G819">
        <v>12</v>
      </c>
      <c r="H819" t="s">
        <v>23</v>
      </c>
      <c r="I819">
        <v>5</v>
      </c>
      <c r="J819" t="s">
        <v>66</v>
      </c>
      <c r="K819">
        <v>24116</v>
      </c>
      <c r="L819" t="s">
        <v>25</v>
      </c>
      <c r="M819" t="s">
        <v>54</v>
      </c>
      <c r="N819" t="s">
        <v>41</v>
      </c>
      <c r="O819" s="2">
        <v>45388</v>
      </c>
      <c r="P819" s="2">
        <v>45388.041666666664</v>
      </c>
      <c r="Q819" s="38">
        <f t="shared" si="12"/>
        <v>4.1666666664241347E-2</v>
      </c>
      <c r="R819" t="s">
        <v>37</v>
      </c>
      <c r="S819" t="s">
        <v>29</v>
      </c>
      <c r="T819" t="s">
        <v>43</v>
      </c>
      <c r="U819">
        <v>9</v>
      </c>
      <c r="V819">
        <v>10</v>
      </c>
      <c r="W819" s="18">
        <f>IFERROR(Table1[[#This Row],[Staff Hours Worked]]/Table1[[#This Row],[Staff Available Hours]],0)</f>
        <v>0.9</v>
      </c>
      <c r="X819" t="s">
        <v>48</v>
      </c>
    </row>
    <row r="820" spans="1:24">
      <c r="A820" t="s">
        <v>877</v>
      </c>
      <c r="B820">
        <v>73</v>
      </c>
      <c r="C820" t="str" cm="1">
        <f t="array" ref="C820">_xlfn.IFS(B820&lt;=18,"0-18",B820&lt;=35,"19-35",B820&lt;=50,"36-50",B820&lt;=65,"51-65","True","65+")</f>
        <v>65+</v>
      </c>
      <c r="D820" t="s">
        <v>22</v>
      </c>
      <c r="E820" s="6">
        <v>45117</v>
      </c>
      <c r="F820" s="6">
        <v>45209</v>
      </c>
      <c r="G820">
        <v>3</v>
      </c>
      <c r="H820" t="s">
        <v>57</v>
      </c>
      <c r="I820">
        <v>1</v>
      </c>
      <c r="J820" t="s">
        <v>35</v>
      </c>
      <c r="K820">
        <v>40477</v>
      </c>
      <c r="L820" t="s">
        <v>53</v>
      </c>
      <c r="M820" t="s">
        <v>26</v>
      </c>
      <c r="N820" t="s">
        <v>27</v>
      </c>
      <c r="O820" s="2">
        <v>45087</v>
      </c>
      <c r="P820" s="2">
        <v>45087.666666666664</v>
      </c>
      <c r="Q820" s="38">
        <f t="shared" si="12"/>
        <v>0.66666666666424135</v>
      </c>
      <c r="R820" t="s">
        <v>37</v>
      </c>
      <c r="S820" t="s">
        <v>29</v>
      </c>
      <c r="T820" t="s">
        <v>47</v>
      </c>
      <c r="U820">
        <v>9</v>
      </c>
      <c r="V820">
        <v>10</v>
      </c>
      <c r="W820" s="18">
        <f>IFERROR(Table1[[#This Row],[Staff Hours Worked]]/Table1[[#This Row],[Staff Available Hours]],0)</f>
        <v>0.9</v>
      </c>
      <c r="X820" t="s">
        <v>68</v>
      </c>
    </row>
    <row r="821" spans="1:24">
      <c r="A821" t="s">
        <v>878</v>
      </c>
      <c r="B821">
        <v>26</v>
      </c>
      <c r="C821" t="str" cm="1">
        <f t="array" ref="C821">_xlfn.IFS(B821&lt;=18,"0-18",B821&lt;=35,"19-35",B821&lt;=50,"36-50",B821&lt;=65,"51-65","True","65+")</f>
        <v>19-35</v>
      </c>
      <c r="D821" t="s">
        <v>41</v>
      </c>
      <c r="E821" s="6">
        <v>45294</v>
      </c>
      <c r="F821" s="6">
        <v>45446</v>
      </c>
      <c r="G821">
        <v>5</v>
      </c>
      <c r="H821" t="s">
        <v>34</v>
      </c>
      <c r="I821">
        <v>1</v>
      </c>
      <c r="J821" t="s">
        <v>71</v>
      </c>
      <c r="K821">
        <v>35782</v>
      </c>
      <c r="L821" t="s">
        <v>25</v>
      </c>
      <c r="M821" t="s">
        <v>26</v>
      </c>
      <c r="N821" t="s">
        <v>27</v>
      </c>
      <c r="O821" s="2">
        <v>45347</v>
      </c>
      <c r="P821" s="2">
        <v>45347.125</v>
      </c>
      <c r="Q821" s="38">
        <f t="shared" si="12"/>
        <v>0.125</v>
      </c>
      <c r="R821" t="s">
        <v>28</v>
      </c>
      <c r="S821" t="s">
        <v>29</v>
      </c>
      <c r="T821" t="s">
        <v>43</v>
      </c>
      <c r="U821">
        <v>6</v>
      </c>
      <c r="V821">
        <v>10</v>
      </c>
      <c r="W821" s="18">
        <f>IFERROR(Table1[[#This Row],[Staff Hours Worked]]/Table1[[#This Row],[Staff Available Hours]],0)</f>
        <v>0.6</v>
      </c>
      <c r="X821" t="s">
        <v>31</v>
      </c>
    </row>
    <row r="822" spans="1:24">
      <c r="A822" t="s">
        <v>879</v>
      </c>
      <c r="B822">
        <v>47</v>
      </c>
      <c r="C822" t="str" cm="1">
        <f t="array" ref="C822">_xlfn.IFS(B822&lt;=18,"0-18",B822&lt;=35,"19-35",B822&lt;=50,"36-50",B822&lt;=65,"51-65","True","65+")</f>
        <v>36-50</v>
      </c>
      <c r="D822" t="s">
        <v>22</v>
      </c>
      <c r="E822" s="6">
        <v>45540</v>
      </c>
      <c r="F822" s="6">
        <v>45428</v>
      </c>
      <c r="G822">
        <v>7</v>
      </c>
      <c r="H822" t="s">
        <v>63</v>
      </c>
      <c r="I822">
        <v>5</v>
      </c>
      <c r="J822" t="s">
        <v>24</v>
      </c>
      <c r="K822">
        <v>23880</v>
      </c>
      <c r="L822" t="s">
        <v>60</v>
      </c>
      <c r="M822" t="s">
        <v>26</v>
      </c>
      <c r="N822" t="s">
        <v>27</v>
      </c>
      <c r="O822" s="2">
        <v>45540</v>
      </c>
      <c r="P822" s="2">
        <v>45570.291666666664</v>
      </c>
      <c r="Q822" s="38">
        <f t="shared" si="12"/>
        <v>30.291666666664241</v>
      </c>
      <c r="R822" t="s">
        <v>37</v>
      </c>
      <c r="S822" t="s">
        <v>29</v>
      </c>
      <c r="T822" t="s">
        <v>30</v>
      </c>
      <c r="U822">
        <v>8</v>
      </c>
      <c r="V822">
        <v>10</v>
      </c>
      <c r="W822" s="18">
        <f>IFERROR(Table1[[#This Row],[Staff Hours Worked]]/Table1[[#This Row],[Staff Available Hours]],0)</f>
        <v>0.8</v>
      </c>
      <c r="X822" t="s">
        <v>31</v>
      </c>
    </row>
    <row r="823" spans="1:24">
      <c r="A823" t="s">
        <v>880</v>
      </c>
      <c r="B823">
        <v>86</v>
      </c>
      <c r="C823" t="str" cm="1">
        <f t="array" ref="C823">_xlfn.IFS(B823&lt;=18,"0-18",B823&lt;=35,"19-35",B823&lt;=50,"36-50",B823&lt;=65,"51-65","True","65+")</f>
        <v>65+</v>
      </c>
      <c r="D823" t="s">
        <v>62</v>
      </c>
      <c r="E823" s="6">
        <v>45410</v>
      </c>
      <c r="F823" s="6">
        <v>45411</v>
      </c>
      <c r="G823">
        <v>1</v>
      </c>
      <c r="H823" t="s">
        <v>23</v>
      </c>
      <c r="I823">
        <v>3</v>
      </c>
      <c r="J823" t="s">
        <v>71</v>
      </c>
      <c r="K823">
        <v>8499</v>
      </c>
      <c r="L823" t="s">
        <v>25</v>
      </c>
      <c r="M823" t="s">
        <v>26</v>
      </c>
      <c r="N823" t="s">
        <v>27</v>
      </c>
      <c r="O823" s="2">
        <v>45405</v>
      </c>
      <c r="P823" s="2">
        <v>45406</v>
      </c>
      <c r="Q823" s="38">
        <f t="shared" si="12"/>
        <v>1</v>
      </c>
      <c r="R823" t="s">
        <v>42</v>
      </c>
      <c r="S823" t="s">
        <v>29</v>
      </c>
      <c r="T823" t="s">
        <v>30</v>
      </c>
      <c r="U823">
        <v>7</v>
      </c>
      <c r="V823">
        <v>12</v>
      </c>
      <c r="W823" s="18">
        <f>IFERROR(Table1[[#This Row],[Staff Hours Worked]]/Table1[[#This Row],[Staff Available Hours]],0)</f>
        <v>0.58333333333333337</v>
      </c>
      <c r="X823" t="s">
        <v>48</v>
      </c>
    </row>
    <row r="824" spans="1:24">
      <c r="A824" t="s">
        <v>881</v>
      </c>
      <c r="B824">
        <v>56</v>
      </c>
      <c r="C824" t="str" cm="1">
        <f t="array" ref="C824">_xlfn.IFS(B824&lt;=18,"0-18",B824&lt;=35,"19-35",B824&lt;=50,"36-50",B824&lt;=65,"51-65","True","65+")</f>
        <v>51-65</v>
      </c>
      <c r="D824" t="s">
        <v>45</v>
      </c>
      <c r="E824" s="6">
        <v>45116</v>
      </c>
      <c r="F824" s="6">
        <v>45186</v>
      </c>
      <c r="G824">
        <v>10</v>
      </c>
      <c r="H824" t="s">
        <v>40</v>
      </c>
      <c r="I824">
        <v>2</v>
      </c>
      <c r="J824" t="s">
        <v>24</v>
      </c>
      <c r="K824">
        <v>36587</v>
      </c>
      <c r="L824" t="s">
        <v>36</v>
      </c>
      <c r="M824" t="s">
        <v>54</v>
      </c>
      <c r="N824" t="s">
        <v>27</v>
      </c>
      <c r="O824" s="2">
        <v>45025</v>
      </c>
      <c r="P824" s="2">
        <v>45055.041666666664</v>
      </c>
      <c r="Q824" s="38">
        <f t="shared" si="12"/>
        <v>30.041666666664241</v>
      </c>
      <c r="R824" t="s">
        <v>37</v>
      </c>
      <c r="S824" t="s">
        <v>29</v>
      </c>
      <c r="T824" t="s">
        <v>47</v>
      </c>
      <c r="U824">
        <v>7</v>
      </c>
      <c r="V824">
        <v>10</v>
      </c>
      <c r="W824" s="18">
        <f>IFERROR(Table1[[#This Row],[Staff Hours Worked]]/Table1[[#This Row],[Staff Available Hours]],0)</f>
        <v>0.7</v>
      </c>
      <c r="X824" t="s">
        <v>68</v>
      </c>
    </row>
    <row r="825" spans="1:24">
      <c r="A825" t="s">
        <v>882</v>
      </c>
      <c r="B825">
        <v>63</v>
      </c>
      <c r="C825" t="str" cm="1">
        <f t="array" ref="C825">_xlfn.IFS(B825&lt;=18,"0-18",B825&lt;=35,"19-35",B825&lt;=50,"36-50",B825&lt;=65,"51-65","True","65+")</f>
        <v>51-65</v>
      </c>
      <c r="D825" t="s">
        <v>45</v>
      </c>
      <c r="E825" s="6">
        <v>45630</v>
      </c>
      <c r="F825" s="6">
        <v>45400</v>
      </c>
      <c r="G825">
        <v>6</v>
      </c>
      <c r="H825" t="s">
        <v>57</v>
      </c>
      <c r="I825">
        <v>3</v>
      </c>
      <c r="J825" t="s">
        <v>35</v>
      </c>
      <c r="K825">
        <v>49458</v>
      </c>
      <c r="L825" t="s">
        <v>25</v>
      </c>
      <c r="M825" t="s">
        <v>26</v>
      </c>
      <c r="N825" t="s">
        <v>27</v>
      </c>
      <c r="O825" s="2">
        <v>45600</v>
      </c>
      <c r="P825" s="2">
        <v>45600.416666666664</v>
      </c>
      <c r="Q825" s="38">
        <f t="shared" si="12"/>
        <v>0.41666666666424135</v>
      </c>
      <c r="R825" t="s">
        <v>37</v>
      </c>
      <c r="S825" t="s">
        <v>29</v>
      </c>
      <c r="T825" t="s">
        <v>47</v>
      </c>
      <c r="U825">
        <v>5</v>
      </c>
      <c r="V825">
        <v>12</v>
      </c>
      <c r="W825" s="18">
        <f>IFERROR(Table1[[#This Row],[Staff Hours Worked]]/Table1[[#This Row],[Staff Available Hours]],0)</f>
        <v>0.41666666666666669</v>
      </c>
      <c r="X825" t="s">
        <v>31</v>
      </c>
    </row>
    <row r="826" spans="1:24">
      <c r="A826" t="s">
        <v>883</v>
      </c>
      <c r="B826">
        <v>48</v>
      </c>
      <c r="C826" t="str" cm="1">
        <f t="array" ref="C826">_xlfn.IFS(B826&lt;=18,"0-18",B826&lt;=35,"19-35",B826&lt;=50,"36-50",B826&lt;=65,"51-65","True","65+")</f>
        <v>36-50</v>
      </c>
      <c r="D826" t="s">
        <v>62</v>
      </c>
      <c r="E826" s="6">
        <v>45075</v>
      </c>
      <c r="F826" s="6">
        <v>44963</v>
      </c>
      <c r="G826">
        <v>4</v>
      </c>
      <c r="H826" t="s">
        <v>63</v>
      </c>
      <c r="I826">
        <v>4</v>
      </c>
      <c r="J826" t="s">
        <v>71</v>
      </c>
      <c r="K826">
        <v>31020</v>
      </c>
      <c r="L826" t="s">
        <v>60</v>
      </c>
      <c r="M826" t="s">
        <v>54</v>
      </c>
      <c r="N826" t="s">
        <v>27</v>
      </c>
      <c r="O826" s="2">
        <v>45070</v>
      </c>
      <c r="P826" s="2">
        <v>45070.5</v>
      </c>
      <c r="Q826" s="38">
        <f t="shared" si="12"/>
        <v>0.5</v>
      </c>
      <c r="R826" t="s">
        <v>42</v>
      </c>
      <c r="S826" t="s">
        <v>29</v>
      </c>
      <c r="T826" t="s">
        <v>30</v>
      </c>
      <c r="U826">
        <v>7</v>
      </c>
      <c r="V826">
        <v>8</v>
      </c>
      <c r="W826" s="18">
        <f>IFERROR(Table1[[#This Row],[Staff Hours Worked]]/Table1[[#This Row],[Staff Available Hours]],0)</f>
        <v>0.875</v>
      </c>
      <c r="X826" t="s">
        <v>31</v>
      </c>
    </row>
    <row r="827" spans="1:24">
      <c r="A827" t="s">
        <v>884</v>
      </c>
      <c r="B827">
        <v>61</v>
      </c>
      <c r="C827" t="str" cm="1">
        <f t="array" ref="C827">_xlfn.IFS(B827&lt;=18,"0-18",B827&lt;=35,"19-35",B827&lt;=50,"36-50",B827&lt;=65,"51-65","True","65+")</f>
        <v>51-65</v>
      </c>
      <c r="D827" t="s">
        <v>52</v>
      </c>
      <c r="E827" s="6">
        <v>45319</v>
      </c>
      <c r="F827" s="6">
        <v>45475</v>
      </c>
      <c r="G827">
        <v>10</v>
      </c>
      <c r="H827" t="s">
        <v>23</v>
      </c>
      <c r="I827">
        <v>4</v>
      </c>
      <c r="J827" t="s">
        <v>71</v>
      </c>
      <c r="K827">
        <v>13080</v>
      </c>
      <c r="L827" t="s">
        <v>60</v>
      </c>
      <c r="M827" t="s">
        <v>26</v>
      </c>
      <c r="N827" t="s">
        <v>41</v>
      </c>
      <c r="O827" s="2">
        <v>45315</v>
      </c>
      <c r="P827" s="2">
        <v>45315.125</v>
      </c>
      <c r="Q827" s="38">
        <f t="shared" si="12"/>
        <v>0.125</v>
      </c>
      <c r="R827" t="s">
        <v>28</v>
      </c>
      <c r="S827" t="s">
        <v>29</v>
      </c>
      <c r="T827" t="s">
        <v>30</v>
      </c>
      <c r="U827">
        <v>5</v>
      </c>
      <c r="V827">
        <v>8</v>
      </c>
      <c r="W827" s="18">
        <f>IFERROR(Table1[[#This Row],[Staff Hours Worked]]/Table1[[#This Row],[Staff Available Hours]],0)</f>
        <v>0.625</v>
      </c>
      <c r="X827" t="s">
        <v>48</v>
      </c>
    </row>
    <row r="828" spans="1:24">
      <c r="A828" t="s">
        <v>885</v>
      </c>
      <c r="B828">
        <v>81</v>
      </c>
      <c r="C828" t="str" cm="1">
        <f t="array" ref="C828">_xlfn.IFS(B828&lt;=18,"0-18",B828&lt;=35,"19-35",B828&lt;=50,"36-50",B828&lt;=65,"51-65","True","65+")</f>
        <v>65+</v>
      </c>
      <c r="D828" t="s">
        <v>41</v>
      </c>
      <c r="E828" s="6">
        <v>45122</v>
      </c>
      <c r="F828" s="6">
        <v>45129</v>
      </c>
      <c r="G828">
        <v>7</v>
      </c>
      <c r="H828" t="s">
        <v>63</v>
      </c>
      <c r="I828">
        <v>4</v>
      </c>
      <c r="J828" t="s">
        <v>35</v>
      </c>
      <c r="K828">
        <v>28207</v>
      </c>
      <c r="L828" t="s">
        <v>60</v>
      </c>
      <c r="M828" t="s">
        <v>26</v>
      </c>
      <c r="N828" t="s">
        <v>27</v>
      </c>
      <c r="O828" s="2">
        <v>45206</v>
      </c>
      <c r="P828" s="2">
        <v>45237.5</v>
      </c>
      <c r="Q828" s="38">
        <f t="shared" si="12"/>
        <v>31.5</v>
      </c>
      <c r="R828" t="s">
        <v>42</v>
      </c>
      <c r="S828" t="s">
        <v>29</v>
      </c>
      <c r="T828" t="s">
        <v>30</v>
      </c>
      <c r="U828">
        <v>5</v>
      </c>
      <c r="V828">
        <v>12</v>
      </c>
      <c r="W828" s="18">
        <f>IFERROR(Table1[[#This Row],[Staff Hours Worked]]/Table1[[#This Row],[Staff Available Hours]],0)</f>
        <v>0.41666666666666669</v>
      </c>
      <c r="X828" t="s">
        <v>48</v>
      </c>
    </row>
    <row r="829" spans="1:24">
      <c r="A829" t="s">
        <v>886</v>
      </c>
      <c r="B829">
        <v>26</v>
      </c>
      <c r="C829" t="str" cm="1">
        <f t="array" ref="C829">_xlfn.IFS(B829&lt;=18,"0-18",B829&lt;=35,"19-35",B829&lt;=50,"36-50",B829&lt;=65,"51-65","True","65+")</f>
        <v>19-35</v>
      </c>
      <c r="D829" t="s">
        <v>62</v>
      </c>
      <c r="E829" s="6">
        <v>45388</v>
      </c>
      <c r="F829" s="6">
        <v>45479</v>
      </c>
      <c r="G829">
        <v>3</v>
      </c>
      <c r="H829" t="s">
        <v>40</v>
      </c>
      <c r="I829">
        <v>5</v>
      </c>
      <c r="J829" t="s">
        <v>71</v>
      </c>
      <c r="K829">
        <v>38957</v>
      </c>
      <c r="L829" t="s">
        <v>36</v>
      </c>
      <c r="M829" t="s">
        <v>26</v>
      </c>
      <c r="N829" t="s">
        <v>41</v>
      </c>
      <c r="O829" s="2">
        <v>45357</v>
      </c>
      <c r="P829" s="2">
        <v>45388.916666666664</v>
      </c>
      <c r="Q829" s="38">
        <f t="shared" si="12"/>
        <v>31.916666666664241</v>
      </c>
      <c r="R829" t="s">
        <v>55</v>
      </c>
      <c r="S829" t="s">
        <v>29</v>
      </c>
      <c r="T829" t="s">
        <v>47</v>
      </c>
      <c r="U829">
        <v>6</v>
      </c>
      <c r="V829">
        <v>10</v>
      </c>
      <c r="W829" s="18">
        <f>IFERROR(Table1[[#This Row],[Staff Hours Worked]]/Table1[[#This Row],[Staff Available Hours]],0)</f>
        <v>0.6</v>
      </c>
      <c r="X829" t="s">
        <v>31</v>
      </c>
    </row>
    <row r="830" spans="1:24">
      <c r="A830" t="s">
        <v>887</v>
      </c>
      <c r="B830">
        <v>36</v>
      </c>
      <c r="C830" t="str" cm="1">
        <f t="array" ref="C830">_xlfn.IFS(B830&lt;=18,"0-18",B830&lt;=35,"19-35",B830&lt;=50,"36-50",B830&lt;=65,"51-65","True","65+")</f>
        <v>36-50</v>
      </c>
      <c r="D830" t="s">
        <v>41</v>
      </c>
      <c r="E830" s="6">
        <v>45066</v>
      </c>
      <c r="F830" s="6">
        <v>45077</v>
      </c>
      <c r="G830">
        <v>11</v>
      </c>
      <c r="H830" t="s">
        <v>57</v>
      </c>
      <c r="I830">
        <v>1</v>
      </c>
      <c r="J830" t="s">
        <v>24</v>
      </c>
      <c r="K830">
        <v>18908</v>
      </c>
      <c r="L830" t="s">
        <v>60</v>
      </c>
      <c r="M830" t="s">
        <v>54</v>
      </c>
      <c r="N830" t="s">
        <v>27</v>
      </c>
      <c r="O830" s="2">
        <v>45063</v>
      </c>
      <c r="P830" s="2">
        <v>45065</v>
      </c>
      <c r="Q830" s="38">
        <f t="shared" si="12"/>
        <v>2</v>
      </c>
      <c r="R830" t="s">
        <v>42</v>
      </c>
      <c r="S830" t="s">
        <v>29</v>
      </c>
      <c r="T830" t="s">
        <v>30</v>
      </c>
      <c r="U830">
        <v>4</v>
      </c>
      <c r="V830">
        <v>12</v>
      </c>
      <c r="W830" s="18">
        <f>IFERROR(Table1[[#This Row],[Staff Hours Worked]]/Table1[[#This Row],[Staff Available Hours]],0)</f>
        <v>0.33333333333333331</v>
      </c>
      <c r="X830" t="s">
        <v>31</v>
      </c>
    </row>
    <row r="831" spans="1:24">
      <c r="A831" t="s">
        <v>888</v>
      </c>
      <c r="B831">
        <v>1</v>
      </c>
      <c r="C831" t="str" cm="1">
        <f t="array" ref="C831">_xlfn.IFS(B831&lt;=18,"0-18",B831&lt;=35,"19-35",B831&lt;=50,"36-50",B831&lt;=65,"51-65","True","65+")</f>
        <v>0-18</v>
      </c>
      <c r="D831" t="s">
        <v>33</v>
      </c>
      <c r="E831" s="6">
        <v>44998</v>
      </c>
      <c r="F831" s="6">
        <v>45009</v>
      </c>
      <c r="G831">
        <v>11</v>
      </c>
      <c r="H831" t="s">
        <v>63</v>
      </c>
      <c r="I831">
        <v>3</v>
      </c>
      <c r="J831" t="s">
        <v>71</v>
      </c>
      <c r="K831">
        <v>35652</v>
      </c>
      <c r="L831" t="s">
        <v>53</v>
      </c>
      <c r="M831" t="s">
        <v>54</v>
      </c>
      <c r="N831" t="s">
        <v>27</v>
      </c>
      <c r="O831" s="2">
        <v>45263</v>
      </c>
      <c r="P831" s="2">
        <v>44998.75</v>
      </c>
      <c r="Q831" s="38">
        <f t="shared" si="12"/>
        <v>264.25</v>
      </c>
      <c r="R831" t="s">
        <v>64</v>
      </c>
      <c r="S831" t="s">
        <v>29</v>
      </c>
      <c r="T831" t="s">
        <v>47</v>
      </c>
      <c r="U831">
        <v>5</v>
      </c>
      <c r="V831">
        <v>10</v>
      </c>
      <c r="W831" s="18">
        <f>IFERROR(Table1[[#This Row],[Staff Hours Worked]]/Table1[[#This Row],[Staff Available Hours]],0)</f>
        <v>0.5</v>
      </c>
      <c r="X831" t="s">
        <v>68</v>
      </c>
    </row>
    <row r="832" spans="1:24">
      <c r="A832" t="s">
        <v>889</v>
      </c>
      <c r="B832">
        <v>8</v>
      </c>
      <c r="C832" t="str" cm="1">
        <f t="array" ref="C832">_xlfn.IFS(B832&lt;=18,"0-18",B832&lt;=35,"19-35",B832&lt;=50,"36-50",B832&lt;=65,"51-65","True","65+")</f>
        <v>0-18</v>
      </c>
      <c r="D832" t="s">
        <v>45</v>
      </c>
      <c r="E832" s="6">
        <v>45209</v>
      </c>
      <c r="F832" s="6">
        <v>45270</v>
      </c>
      <c r="G832">
        <v>2</v>
      </c>
      <c r="H832" t="s">
        <v>63</v>
      </c>
      <c r="I832">
        <v>2</v>
      </c>
      <c r="J832" t="s">
        <v>66</v>
      </c>
      <c r="K832">
        <v>35344</v>
      </c>
      <c r="L832" t="s">
        <v>60</v>
      </c>
      <c r="M832" t="s">
        <v>54</v>
      </c>
      <c r="N832" t="s">
        <v>27</v>
      </c>
      <c r="O832" s="2">
        <v>45087</v>
      </c>
      <c r="P832" s="2">
        <v>45117.125</v>
      </c>
      <c r="Q832" s="38">
        <f t="shared" si="12"/>
        <v>30.125</v>
      </c>
      <c r="R832" t="s">
        <v>55</v>
      </c>
      <c r="S832" t="s">
        <v>29</v>
      </c>
      <c r="T832" t="s">
        <v>30</v>
      </c>
      <c r="U832">
        <v>5</v>
      </c>
      <c r="V832">
        <v>10</v>
      </c>
      <c r="W832" s="18">
        <f>IFERROR(Table1[[#This Row],[Staff Hours Worked]]/Table1[[#This Row],[Staff Available Hours]],0)</f>
        <v>0.5</v>
      </c>
      <c r="X832" t="s">
        <v>31</v>
      </c>
    </row>
    <row r="833" spans="1:24">
      <c r="A833" t="s">
        <v>890</v>
      </c>
      <c r="B833">
        <v>52</v>
      </c>
      <c r="C833" t="str" cm="1">
        <f t="array" ref="C833">_xlfn.IFS(B833&lt;=18,"0-18",B833&lt;=35,"19-35",B833&lt;=50,"36-50",B833&lt;=65,"51-65","True","65+")</f>
        <v>51-65</v>
      </c>
      <c r="D833" t="s">
        <v>41</v>
      </c>
      <c r="E833" s="6">
        <v>45351</v>
      </c>
      <c r="F833" s="6">
        <v>45538</v>
      </c>
      <c r="G833">
        <v>9</v>
      </c>
      <c r="H833" t="s">
        <v>50</v>
      </c>
      <c r="I833">
        <v>4</v>
      </c>
      <c r="J833" t="s">
        <v>46</v>
      </c>
      <c r="K833">
        <v>30034</v>
      </c>
      <c r="L833" t="s">
        <v>25</v>
      </c>
      <c r="M833" t="s">
        <v>54</v>
      </c>
      <c r="N833" t="s">
        <v>27</v>
      </c>
      <c r="O833" s="2">
        <v>45349</v>
      </c>
      <c r="P833" s="2">
        <v>45349.625</v>
      </c>
      <c r="Q833" s="38">
        <f t="shared" si="12"/>
        <v>0.625</v>
      </c>
      <c r="R833" t="s">
        <v>37</v>
      </c>
      <c r="S833" t="s">
        <v>29</v>
      </c>
      <c r="T833" t="s">
        <v>43</v>
      </c>
      <c r="U833">
        <v>9</v>
      </c>
      <c r="V833">
        <v>12</v>
      </c>
      <c r="W833" s="18">
        <f>IFERROR(Table1[[#This Row],[Staff Hours Worked]]/Table1[[#This Row],[Staff Available Hours]],0)</f>
        <v>0.75</v>
      </c>
      <c r="X833" t="s">
        <v>31</v>
      </c>
    </row>
    <row r="834" spans="1:24">
      <c r="A834" t="s">
        <v>891</v>
      </c>
      <c r="B834">
        <v>79</v>
      </c>
      <c r="C834" t="str" cm="1">
        <f t="array" ref="C834">_xlfn.IFS(B834&lt;=18,"0-18",B834&lt;=35,"19-35",B834&lt;=50,"36-50",B834&lt;=65,"51-65","True","65+")</f>
        <v>65+</v>
      </c>
      <c r="D834" t="s">
        <v>22</v>
      </c>
      <c r="E834" s="6">
        <v>45275</v>
      </c>
      <c r="F834" s="6">
        <v>45281</v>
      </c>
      <c r="G834">
        <v>6</v>
      </c>
      <c r="H834" t="s">
        <v>63</v>
      </c>
      <c r="I834">
        <v>3</v>
      </c>
      <c r="J834" t="s">
        <v>24</v>
      </c>
      <c r="K834">
        <v>30788</v>
      </c>
      <c r="L834" t="s">
        <v>25</v>
      </c>
      <c r="M834" t="s">
        <v>54</v>
      </c>
      <c r="N834" t="s">
        <v>41</v>
      </c>
      <c r="O834" s="2">
        <v>45273</v>
      </c>
      <c r="P834" s="2">
        <v>45273.875</v>
      </c>
      <c r="Q834" s="38">
        <f t="shared" ref="Q834:Q897" si="13">IF(OR(O834="",P834=""),"",ABS(P834-O834))</f>
        <v>0.875</v>
      </c>
      <c r="R834" t="s">
        <v>55</v>
      </c>
      <c r="S834" t="s">
        <v>29</v>
      </c>
      <c r="T834" t="s">
        <v>43</v>
      </c>
      <c r="U834">
        <v>6</v>
      </c>
      <c r="V834">
        <v>12</v>
      </c>
      <c r="W834" s="18">
        <f>IFERROR(Table1[[#This Row],[Staff Hours Worked]]/Table1[[#This Row],[Staff Available Hours]],0)</f>
        <v>0.5</v>
      </c>
      <c r="X834" t="s">
        <v>48</v>
      </c>
    </row>
    <row r="835" spans="1:24">
      <c r="A835" t="s">
        <v>892</v>
      </c>
      <c r="B835">
        <v>47</v>
      </c>
      <c r="C835" t="str" cm="1">
        <f t="array" ref="C835">_xlfn.IFS(B835&lt;=18,"0-18",B835&lt;=35,"19-35",B835&lt;=50,"36-50",B835&lt;=65,"51-65","True","65+")</f>
        <v>36-50</v>
      </c>
      <c r="D835" t="s">
        <v>41</v>
      </c>
      <c r="E835" s="6">
        <v>45357</v>
      </c>
      <c r="F835" s="6">
        <v>45418</v>
      </c>
      <c r="G835">
        <v>2</v>
      </c>
      <c r="H835" t="s">
        <v>50</v>
      </c>
      <c r="I835">
        <v>4</v>
      </c>
      <c r="J835" t="s">
        <v>66</v>
      </c>
      <c r="K835">
        <v>17751</v>
      </c>
      <c r="L835" t="s">
        <v>25</v>
      </c>
      <c r="M835" t="s">
        <v>54</v>
      </c>
      <c r="N835" t="s">
        <v>27</v>
      </c>
      <c r="O835" s="2">
        <v>45443</v>
      </c>
      <c r="P835" s="2">
        <v>45443.666666666664</v>
      </c>
      <c r="Q835" s="38">
        <f t="shared" si="13"/>
        <v>0.66666666666424135</v>
      </c>
      <c r="R835" t="s">
        <v>28</v>
      </c>
      <c r="S835" t="s">
        <v>29</v>
      </c>
      <c r="T835" t="s">
        <v>30</v>
      </c>
      <c r="U835">
        <v>5</v>
      </c>
      <c r="V835">
        <v>10</v>
      </c>
      <c r="W835" s="18">
        <f>IFERROR(Table1[[#This Row],[Staff Hours Worked]]/Table1[[#This Row],[Staff Available Hours]],0)</f>
        <v>0.5</v>
      </c>
      <c r="X835" t="s">
        <v>31</v>
      </c>
    </row>
    <row r="836" spans="1:24">
      <c r="A836" t="s">
        <v>893</v>
      </c>
      <c r="B836">
        <v>56</v>
      </c>
      <c r="C836" t="str" cm="1">
        <f t="array" ref="C836">_xlfn.IFS(B836&lt;=18,"0-18",B836&lt;=35,"19-35",B836&lt;=50,"36-50",B836&lt;=65,"51-65","True","65+")</f>
        <v>51-65</v>
      </c>
      <c r="D836" t="s">
        <v>33</v>
      </c>
      <c r="E836" s="6">
        <v>44936</v>
      </c>
      <c r="F836" s="6">
        <v>45209</v>
      </c>
      <c r="G836">
        <v>9</v>
      </c>
      <c r="H836" t="s">
        <v>57</v>
      </c>
      <c r="I836">
        <v>4</v>
      </c>
      <c r="J836" t="s">
        <v>35</v>
      </c>
      <c r="K836">
        <v>38793</v>
      </c>
      <c r="L836" t="s">
        <v>36</v>
      </c>
      <c r="M836" t="s">
        <v>54</v>
      </c>
      <c r="N836" t="s">
        <v>27</v>
      </c>
      <c r="O836" s="2">
        <v>45197</v>
      </c>
      <c r="P836" s="2">
        <v>45198.125</v>
      </c>
      <c r="Q836" s="38">
        <f t="shared" si="13"/>
        <v>1.125</v>
      </c>
      <c r="R836" t="s">
        <v>28</v>
      </c>
      <c r="S836" t="s">
        <v>29</v>
      </c>
      <c r="T836" t="s">
        <v>43</v>
      </c>
      <c r="U836">
        <v>8</v>
      </c>
      <c r="V836">
        <v>12</v>
      </c>
      <c r="W836" s="18">
        <f>IFERROR(Table1[[#This Row],[Staff Hours Worked]]/Table1[[#This Row],[Staff Available Hours]],0)</f>
        <v>0.66666666666666663</v>
      </c>
      <c r="X836" t="s">
        <v>48</v>
      </c>
    </row>
    <row r="837" spans="1:24">
      <c r="A837" t="s">
        <v>894</v>
      </c>
      <c r="B837">
        <v>86</v>
      </c>
      <c r="C837" t="str" cm="1">
        <f t="array" ref="C837">_xlfn.IFS(B837&lt;=18,"0-18",B837&lt;=35,"19-35",B837&lt;=50,"36-50",B837&lt;=65,"51-65","True","65+")</f>
        <v>65+</v>
      </c>
      <c r="D837" t="s">
        <v>45</v>
      </c>
      <c r="E837" s="6">
        <v>44986</v>
      </c>
      <c r="F837" s="6">
        <v>45261</v>
      </c>
      <c r="G837">
        <v>9</v>
      </c>
      <c r="H837" t="s">
        <v>23</v>
      </c>
      <c r="I837">
        <v>2</v>
      </c>
      <c r="J837" t="s">
        <v>24</v>
      </c>
      <c r="K837">
        <v>37839</v>
      </c>
      <c r="L837" t="s">
        <v>25</v>
      </c>
      <c r="M837" t="s">
        <v>54</v>
      </c>
      <c r="N837" t="s">
        <v>41</v>
      </c>
      <c r="O837" s="2">
        <v>44925</v>
      </c>
      <c r="P837" s="2">
        <v>44926.958333333336</v>
      </c>
      <c r="Q837" s="38">
        <f t="shared" si="13"/>
        <v>1.9583333333357587</v>
      </c>
      <c r="R837" t="s">
        <v>42</v>
      </c>
      <c r="S837" t="s">
        <v>29</v>
      </c>
      <c r="T837" t="s">
        <v>47</v>
      </c>
      <c r="U837">
        <v>4</v>
      </c>
      <c r="V837">
        <v>10</v>
      </c>
      <c r="W837" s="18">
        <f>IFERROR(Table1[[#This Row],[Staff Hours Worked]]/Table1[[#This Row],[Staff Available Hours]],0)</f>
        <v>0.4</v>
      </c>
      <c r="X837" t="s">
        <v>31</v>
      </c>
    </row>
    <row r="838" spans="1:24">
      <c r="A838" t="s">
        <v>895</v>
      </c>
      <c r="B838">
        <v>14</v>
      </c>
      <c r="C838" t="str" cm="1">
        <f t="array" ref="C838">_xlfn.IFS(B838&lt;=18,"0-18",B838&lt;=35,"19-35",B838&lt;=50,"36-50",B838&lt;=65,"51-65","True","65+")</f>
        <v>0-18</v>
      </c>
      <c r="D838" t="s">
        <v>62</v>
      </c>
      <c r="E838" s="6">
        <v>45216</v>
      </c>
      <c r="F838" s="6">
        <v>45225</v>
      </c>
      <c r="G838">
        <v>9</v>
      </c>
      <c r="H838" t="s">
        <v>23</v>
      </c>
      <c r="I838">
        <v>5</v>
      </c>
      <c r="J838" t="s">
        <v>46</v>
      </c>
      <c r="K838">
        <v>43314</v>
      </c>
      <c r="L838" t="s">
        <v>36</v>
      </c>
      <c r="M838" t="s">
        <v>26</v>
      </c>
      <c r="N838" t="s">
        <v>27</v>
      </c>
      <c r="O838" s="2">
        <v>45270</v>
      </c>
      <c r="P838" s="2">
        <v>45270.875</v>
      </c>
      <c r="Q838" s="38">
        <f t="shared" si="13"/>
        <v>0.875</v>
      </c>
      <c r="R838" t="s">
        <v>55</v>
      </c>
      <c r="S838" t="s">
        <v>29</v>
      </c>
      <c r="T838" t="s">
        <v>43</v>
      </c>
      <c r="U838">
        <v>11</v>
      </c>
      <c r="V838">
        <v>12</v>
      </c>
      <c r="W838" s="18">
        <f>IFERROR(Table1[[#This Row],[Staff Hours Worked]]/Table1[[#This Row],[Staff Available Hours]],0)</f>
        <v>0.91666666666666663</v>
      </c>
      <c r="X838" t="s">
        <v>31</v>
      </c>
    </row>
    <row r="839" spans="1:24">
      <c r="A839" t="s">
        <v>896</v>
      </c>
      <c r="B839">
        <v>28</v>
      </c>
      <c r="C839" t="str" cm="1">
        <f t="array" ref="C839">_xlfn.IFS(B839&lt;=18,"0-18",B839&lt;=35,"19-35",B839&lt;=50,"36-50",B839&lt;=65,"51-65","True","65+")</f>
        <v>19-35</v>
      </c>
      <c r="D839" t="s">
        <v>33</v>
      </c>
      <c r="E839" s="6">
        <v>44968</v>
      </c>
      <c r="F839" s="6">
        <v>45245</v>
      </c>
      <c r="G839">
        <v>13</v>
      </c>
      <c r="H839" t="s">
        <v>57</v>
      </c>
      <c r="I839">
        <v>1</v>
      </c>
      <c r="J839" t="s">
        <v>46</v>
      </c>
      <c r="K839">
        <v>40453</v>
      </c>
      <c r="L839" t="s">
        <v>36</v>
      </c>
      <c r="M839" t="s">
        <v>54</v>
      </c>
      <c r="N839" t="s">
        <v>41</v>
      </c>
      <c r="O839" s="2">
        <v>45230</v>
      </c>
      <c r="P839" s="2">
        <v>45230.75</v>
      </c>
      <c r="Q839" s="38">
        <f t="shared" si="13"/>
        <v>0.75</v>
      </c>
      <c r="R839" t="s">
        <v>37</v>
      </c>
      <c r="S839" t="s">
        <v>38</v>
      </c>
      <c r="T839" t="s">
        <v>43</v>
      </c>
      <c r="U839">
        <v>8</v>
      </c>
      <c r="V839">
        <v>8</v>
      </c>
      <c r="W839" s="18">
        <f>IFERROR(Table1[[#This Row],[Staff Hours Worked]]/Table1[[#This Row],[Staff Available Hours]],0)</f>
        <v>1</v>
      </c>
      <c r="X839" t="s">
        <v>31</v>
      </c>
    </row>
    <row r="840" spans="1:24">
      <c r="A840" t="s">
        <v>897</v>
      </c>
      <c r="B840">
        <v>87</v>
      </c>
      <c r="C840" t="str" cm="1">
        <f t="array" ref="C840">_xlfn.IFS(B840&lt;=18,"0-18",B840&lt;=35,"19-35",B840&lt;=50,"36-50",B840&lt;=65,"51-65","True","65+")</f>
        <v>65+</v>
      </c>
      <c r="D840" t="s">
        <v>45</v>
      </c>
      <c r="E840" s="6">
        <v>45428</v>
      </c>
      <c r="F840" s="6">
        <v>45437</v>
      </c>
      <c r="G840">
        <v>9</v>
      </c>
      <c r="H840" t="s">
        <v>57</v>
      </c>
      <c r="I840">
        <v>5</v>
      </c>
      <c r="J840" t="s">
        <v>35</v>
      </c>
      <c r="K840">
        <v>14385</v>
      </c>
      <c r="L840" t="s">
        <v>60</v>
      </c>
      <c r="M840" t="s">
        <v>26</v>
      </c>
      <c r="N840" t="s">
        <v>27</v>
      </c>
      <c r="O840" s="2">
        <v>45426</v>
      </c>
      <c r="P840" s="2">
        <v>45426.208333333336</v>
      </c>
      <c r="Q840" s="38">
        <f t="shared" si="13"/>
        <v>0.20833333333575865</v>
      </c>
      <c r="R840" t="s">
        <v>28</v>
      </c>
      <c r="S840" t="s">
        <v>29</v>
      </c>
      <c r="T840" t="s">
        <v>47</v>
      </c>
      <c r="U840">
        <v>7</v>
      </c>
      <c r="V840">
        <v>10</v>
      </c>
      <c r="W840" s="18">
        <f>IFERROR(Table1[[#This Row],[Staff Hours Worked]]/Table1[[#This Row],[Staff Available Hours]],0)</f>
        <v>0.7</v>
      </c>
      <c r="X840" t="s">
        <v>68</v>
      </c>
    </row>
    <row r="841" spans="1:24">
      <c r="A841" t="s">
        <v>898</v>
      </c>
      <c r="B841">
        <v>78</v>
      </c>
      <c r="C841" t="str" cm="1">
        <f t="array" ref="C841">_xlfn.IFS(B841&lt;=18,"0-18",B841&lt;=35,"19-35",B841&lt;=50,"36-50",B841&lt;=65,"51-65","True","65+")</f>
        <v>65+</v>
      </c>
      <c r="D841" t="s">
        <v>41</v>
      </c>
      <c r="E841" s="6">
        <v>44963</v>
      </c>
      <c r="F841" s="6">
        <v>45236</v>
      </c>
      <c r="G841">
        <v>9</v>
      </c>
      <c r="H841" t="s">
        <v>34</v>
      </c>
      <c r="I841">
        <v>3</v>
      </c>
      <c r="J841" t="s">
        <v>35</v>
      </c>
      <c r="K841">
        <v>23232</v>
      </c>
      <c r="L841" t="s">
        <v>53</v>
      </c>
      <c r="M841" t="s">
        <v>26</v>
      </c>
      <c r="N841" t="s">
        <v>27</v>
      </c>
      <c r="O841" s="2">
        <v>45077</v>
      </c>
      <c r="P841" s="2">
        <v>44932.541666666664</v>
      </c>
      <c r="Q841" s="38">
        <f t="shared" si="13"/>
        <v>144.45833333333576</v>
      </c>
      <c r="R841" t="s">
        <v>37</v>
      </c>
      <c r="S841" t="s">
        <v>29</v>
      </c>
      <c r="T841" t="s">
        <v>43</v>
      </c>
      <c r="U841">
        <v>4</v>
      </c>
      <c r="V841">
        <v>8</v>
      </c>
      <c r="W841" s="18">
        <f>IFERROR(Table1[[#This Row],[Staff Hours Worked]]/Table1[[#This Row],[Staff Available Hours]],0)</f>
        <v>0.5</v>
      </c>
      <c r="X841" t="s">
        <v>48</v>
      </c>
    </row>
    <row r="842" spans="1:24">
      <c r="A842" t="s">
        <v>899</v>
      </c>
      <c r="B842">
        <v>88</v>
      </c>
      <c r="C842" t="str" cm="1">
        <f t="array" ref="C842">_xlfn.IFS(B842&lt;=18,"0-18",B842&lt;=35,"19-35",B842&lt;=50,"36-50",B842&lt;=65,"51-65","True","65+")</f>
        <v>65+</v>
      </c>
      <c r="D842" t="s">
        <v>52</v>
      </c>
      <c r="E842" s="6">
        <v>45326</v>
      </c>
      <c r="F842" s="6">
        <v>45355</v>
      </c>
      <c r="G842">
        <v>1</v>
      </c>
      <c r="H842" t="s">
        <v>57</v>
      </c>
      <c r="I842">
        <v>5</v>
      </c>
      <c r="J842" t="s">
        <v>24</v>
      </c>
      <c r="K842">
        <v>48344</v>
      </c>
      <c r="L842" t="s">
        <v>60</v>
      </c>
      <c r="M842" t="s">
        <v>54</v>
      </c>
      <c r="N842" t="s">
        <v>41</v>
      </c>
      <c r="O842" s="2">
        <v>45382</v>
      </c>
      <c r="P842" s="2">
        <v>45295</v>
      </c>
      <c r="Q842" s="38">
        <f t="shared" si="13"/>
        <v>87</v>
      </c>
      <c r="R842" t="s">
        <v>64</v>
      </c>
      <c r="S842" t="s">
        <v>29</v>
      </c>
      <c r="T842" t="s">
        <v>43</v>
      </c>
      <c r="U842">
        <v>7</v>
      </c>
      <c r="V842">
        <v>12</v>
      </c>
      <c r="W842" s="18">
        <f>IFERROR(Table1[[#This Row],[Staff Hours Worked]]/Table1[[#This Row],[Staff Available Hours]],0)</f>
        <v>0.58333333333333337</v>
      </c>
      <c r="X842" t="s">
        <v>68</v>
      </c>
    </row>
    <row r="843" spans="1:24">
      <c r="A843" t="s">
        <v>900</v>
      </c>
      <c r="B843">
        <v>2</v>
      </c>
      <c r="C843" t="str" cm="1">
        <f t="array" ref="C843">_xlfn.IFS(B843&lt;=18,"0-18",B843&lt;=35,"19-35",B843&lt;=50,"36-50",B843&lt;=65,"51-65","True","65+")</f>
        <v>0-18</v>
      </c>
      <c r="D843" t="s">
        <v>52</v>
      </c>
      <c r="E843" s="6">
        <v>45570</v>
      </c>
      <c r="F843" s="6">
        <v>45429</v>
      </c>
      <c r="G843">
        <v>7</v>
      </c>
      <c r="H843" t="s">
        <v>63</v>
      </c>
      <c r="I843">
        <v>3</v>
      </c>
      <c r="J843" t="s">
        <v>71</v>
      </c>
      <c r="K843">
        <v>39790</v>
      </c>
      <c r="L843" t="s">
        <v>60</v>
      </c>
      <c r="M843" t="s">
        <v>26</v>
      </c>
      <c r="N843" t="s">
        <v>27</v>
      </c>
      <c r="O843" s="2">
        <v>45448</v>
      </c>
      <c r="P843" s="2">
        <v>45448.333333333336</v>
      </c>
      <c r="Q843" s="38">
        <f t="shared" si="13"/>
        <v>0.33333333333575865</v>
      </c>
      <c r="R843" t="s">
        <v>28</v>
      </c>
      <c r="S843" t="s">
        <v>29</v>
      </c>
      <c r="T843" t="s">
        <v>30</v>
      </c>
      <c r="U843">
        <v>9</v>
      </c>
      <c r="V843">
        <v>8</v>
      </c>
      <c r="W843" s="18">
        <f>IFERROR(Table1[[#This Row],[Staff Hours Worked]]/Table1[[#This Row],[Staff Available Hours]],0)</f>
        <v>1.125</v>
      </c>
      <c r="X843" t="s">
        <v>31</v>
      </c>
    </row>
    <row r="844" spans="1:24">
      <c r="A844" t="s">
        <v>901</v>
      </c>
      <c r="B844">
        <v>26</v>
      </c>
      <c r="C844" t="str" cm="1">
        <f t="array" ref="C844">_xlfn.IFS(B844&lt;=18,"0-18",B844&lt;=35,"19-35",B844&lt;=50,"36-50",B844&lt;=65,"51-65","True","65+")</f>
        <v>19-35</v>
      </c>
      <c r="D844" t="s">
        <v>22</v>
      </c>
      <c r="E844" s="6">
        <v>45280</v>
      </c>
      <c r="F844" s="6">
        <v>45352</v>
      </c>
      <c r="G844">
        <v>14</v>
      </c>
      <c r="H844" t="s">
        <v>23</v>
      </c>
      <c r="I844">
        <v>3</v>
      </c>
      <c r="J844" t="s">
        <v>35</v>
      </c>
      <c r="K844">
        <v>20831</v>
      </c>
      <c r="L844" t="s">
        <v>36</v>
      </c>
      <c r="M844" t="s">
        <v>54</v>
      </c>
      <c r="N844" t="s">
        <v>41</v>
      </c>
      <c r="O844" s="2">
        <v>45277</v>
      </c>
      <c r="P844" s="2">
        <v>45278.375</v>
      </c>
      <c r="Q844" s="38">
        <f t="shared" si="13"/>
        <v>1.375</v>
      </c>
      <c r="R844" t="s">
        <v>42</v>
      </c>
      <c r="S844" t="s">
        <v>29</v>
      </c>
      <c r="T844" t="s">
        <v>47</v>
      </c>
      <c r="U844">
        <v>10</v>
      </c>
      <c r="V844">
        <v>12</v>
      </c>
      <c r="W844" s="18">
        <f>IFERROR(Table1[[#This Row],[Staff Hours Worked]]/Table1[[#This Row],[Staff Available Hours]],0)</f>
        <v>0.83333333333333337</v>
      </c>
      <c r="X844" t="s">
        <v>68</v>
      </c>
    </row>
    <row r="845" spans="1:24">
      <c r="A845" t="s">
        <v>902</v>
      </c>
      <c r="B845">
        <v>14</v>
      </c>
      <c r="C845" t="str" cm="1">
        <f t="array" ref="C845">_xlfn.IFS(B845&lt;=18,"0-18",B845&lt;=35,"19-35",B845&lt;=50,"36-50",B845&lt;=65,"51-65","True","65+")</f>
        <v>0-18</v>
      </c>
      <c r="D845" t="s">
        <v>45</v>
      </c>
      <c r="E845" s="6">
        <v>45119</v>
      </c>
      <c r="F845" s="6">
        <v>45275</v>
      </c>
      <c r="G845">
        <v>8</v>
      </c>
      <c r="H845" t="s">
        <v>40</v>
      </c>
      <c r="I845">
        <v>1</v>
      </c>
      <c r="J845" t="s">
        <v>71</v>
      </c>
      <c r="K845">
        <v>25125</v>
      </c>
      <c r="L845" t="s">
        <v>36</v>
      </c>
      <c r="M845" t="s">
        <v>54</v>
      </c>
      <c r="N845" t="s">
        <v>41</v>
      </c>
      <c r="O845" s="2">
        <v>45028</v>
      </c>
      <c r="P845" s="2">
        <v>45058.833333333336</v>
      </c>
      <c r="Q845" s="38">
        <f t="shared" si="13"/>
        <v>30.833333333335759</v>
      </c>
      <c r="R845" t="s">
        <v>64</v>
      </c>
      <c r="S845" t="s">
        <v>29</v>
      </c>
      <c r="T845" t="s">
        <v>47</v>
      </c>
      <c r="U845">
        <v>10</v>
      </c>
      <c r="V845">
        <v>10</v>
      </c>
      <c r="W845" s="18">
        <f>IFERROR(Table1[[#This Row],[Staff Hours Worked]]/Table1[[#This Row],[Staff Available Hours]],0)</f>
        <v>1</v>
      </c>
      <c r="X845" t="s">
        <v>48</v>
      </c>
    </row>
    <row r="846" spans="1:24">
      <c r="A846" t="s">
        <v>903</v>
      </c>
      <c r="B846">
        <v>59</v>
      </c>
      <c r="C846" t="str" cm="1">
        <f t="array" ref="C846">_xlfn.IFS(B846&lt;=18,"0-18",B846&lt;=35,"19-35",B846&lt;=50,"36-50",B846&lt;=65,"51-65","True","65+")</f>
        <v>51-65</v>
      </c>
      <c r="D846" t="s">
        <v>52</v>
      </c>
      <c r="E846" s="6">
        <v>45313</v>
      </c>
      <c r="F846" s="6">
        <v>45314</v>
      </c>
      <c r="G846">
        <v>1</v>
      </c>
      <c r="H846" t="s">
        <v>23</v>
      </c>
      <c r="I846">
        <v>2</v>
      </c>
      <c r="J846" t="s">
        <v>66</v>
      </c>
      <c r="K846">
        <v>22682</v>
      </c>
      <c r="L846" t="s">
        <v>25</v>
      </c>
      <c r="M846" t="s">
        <v>54</v>
      </c>
      <c r="N846" t="s">
        <v>41</v>
      </c>
      <c r="O846" s="2">
        <v>45313</v>
      </c>
      <c r="P846" s="2">
        <v>45313.166666666664</v>
      </c>
      <c r="Q846" s="38">
        <f t="shared" si="13"/>
        <v>0.16666666666424135</v>
      </c>
      <c r="R846" t="s">
        <v>55</v>
      </c>
      <c r="S846" t="s">
        <v>29</v>
      </c>
      <c r="T846" t="s">
        <v>30</v>
      </c>
      <c r="U846">
        <v>10</v>
      </c>
      <c r="V846">
        <v>12</v>
      </c>
      <c r="W846" s="18">
        <f>IFERROR(Table1[[#This Row],[Staff Hours Worked]]/Table1[[#This Row],[Staff Available Hours]],0)</f>
        <v>0.83333333333333337</v>
      </c>
      <c r="X846" t="s">
        <v>31</v>
      </c>
    </row>
    <row r="847" spans="1:24">
      <c r="A847" t="s">
        <v>904</v>
      </c>
      <c r="B847">
        <v>56</v>
      </c>
      <c r="C847" t="str" cm="1">
        <f t="array" ref="C847">_xlfn.IFS(B847&lt;=18,"0-18",B847&lt;=35,"19-35",B847&lt;=50,"36-50",B847&lt;=65,"51-65","True","65+")</f>
        <v>51-65</v>
      </c>
      <c r="D847" t="s">
        <v>62</v>
      </c>
      <c r="E847" s="6">
        <v>45600</v>
      </c>
      <c r="F847" s="6">
        <v>45404</v>
      </c>
      <c r="G847">
        <v>11</v>
      </c>
      <c r="H847" t="s">
        <v>50</v>
      </c>
      <c r="I847">
        <v>1</v>
      </c>
      <c r="J847" t="s">
        <v>46</v>
      </c>
      <c r="K847">
        <v>41870</v>
      </c>
      <c r="L847" t="s">
        <v>25</v>
      </c>
      <c r="M847" t="s">
        <v>54</v>
      </c>
      <c r="N847" t="s">
        <v>27</v>
      </c>
      <c r="O847" s="2">
        <v>45447</v>
      </c>
      <c r="P847" s="2">
        <v>45447.5</v>
      </c>
      <c r="Q847" s="38">
        <f t="shared" si="13"/>
        <v>0.5</v>
      </c>
      <c r="R847" t="s">
        <v>37</v>
      </c>
      <c r="S847" t="s">
        <v>29</v>
      </c>
      <c r="T847" t="s">
        <v>30</v>
      </c>
      <c r="U847">
        <v>5</v>
      </c>
      <c r="V847">
        <v>12</v>
      </c>
      <c r="W847" s="18">
        <f>IFERROR(Table1[[#This Row],[Staff Hours Worked]]/Table1[[#This Row],[Staff Available Hours]],0)</f>
        <v>0.41666666666666669</v>
      </c>
      <c r="X847" t="s">
        <v>68</v>
      </c>
    </row>
    <row r="848" spans="1:24">
      <c r="A848" t="s">
        <v>905</v>
      </c>
      <c r="B848">
        <v>7</v>
      </c>
      <c r="C848" t="str" cm="1">
        <f t="array" ref="C848">_xlfn.IFS(B848&lt;=18,"0-18",B848&lt;=35,"19-35",B848&lt;=50,"36-50",B848&lt;=65,"51-65","True","65+")</f>
        <v>0-18</v>
      </c>
      <c r="D848" t="s">
        <v>45</v>
      </c>
      <c r="E848" s="6">
        <v>45256</v>
      </c>
      <c r="F848" s="6">
        <v>44997</v>
      </c>
      <c r="G848">
        <v>7</v>
      </c>
      <c r="H848" t="s">
        <v>23</v>
      </c>
      <c r="I848">
        <v>5</v>
      </c>
      <c r="J848" t="s">
        <v>71</v>
      </c>
      <c r="K848">
        <v>22288</v>
      </c>
      <c r="L848" t="s">
        <v>60</v>
      </c>
      <c r="M848" t="s">
        <v>54</v>
      </c>
      <c r="N848" t="s">
        <v>27</v>
      </c>
      <c r="O848" s="2">
        <v>45253</v>
      </c>
      <c r="P848" s="2">
        <v>45253.625</v>
      </c>
      <c r="Q848" s="38">
        <f t="shared" si="13"/>
        <v>0.625</v>
      </c>
      <c r="R848" t="s">
        <v>28</v>
      </c>
      <c r="S848" t="s">
        <v>29</v>
      </c>
      <c r="T848" t="s">
        <v>43</v>
      </c>
      <c r="U848">
        <v>6</v>
      </c>
      <c r="V848">
        <v>10</v>
      </c>
      <c r="W848" s="18">
        <f>IFERROR(Table1[[#This Row],[Staff Hours Worked]]/Table1[[#This Row],[Staff Available Hours]],0)</f>
        <v>0.6</v>
      </c>
      <c r="X848" t="s">
        <v>68</v>
      </c>
    </row>
    <row r="849" spans="1:24">
      <c r="A849" t="s">
        <v>906</v>
      </c>
      <c r="B849">
        <v>3</v>
      </c>
      <c r="C849" t="str" cm="1">
        <f t="array" ref="C849">_xlfn.IFS(B849&lt;=18,"0-18",B849&lt;=35,"19-35",B849&lt;=50,"36-50",B849&lt;=65,"51-65","True","65+")</f>
        <v>0-18</v>
      </c>
      <c r="D849" t="s">
        <v>62</v>
      </c>
      <c r="E849" s="6">
        <v>45120</v>
      </c>
      <c r="F849" s="6">
        <v>45126</v>
      </c>
      <c r="G849">
        <v>6</v>
      </c>
      <c r="H849" t="s">
        <v>34</v>
      </c>
      <c r="I849">
        <v>3</v>
      </c>
      <c r="J849" t="s">
        <v>46</v>
      </c>
      <c r="K849">
        <v>40794</v>
      </c>
      <c r="L849" t="s">
        <v>67</v>
      </c>
      <c r="M849" t="s">
        <v>54</v>
      </c>
      <c r="N849" t="s">
        <v>27</v>
      </c>
      <c r="O849" s="2">
        <v>45237</v>
      </c>
      <c r="P849" s="2">
        <v>45267.416666666664</v>
      </c>
      <c r="Q849" s="38">
        <f t="shared" si="13"/>
        <v>30.416666666664241</v>
      </c>
      <c r="R849" t="s">
        <v>64</v>
      </c>
      <c r="S849" t="s">
        <v>29</v>
      </c>
      <c r="T849" t="s">
        <v>43</v>
      </c>
      <c r="U849">
        <v>8</v>
      </c>
      <c r="V849">
        <v>12</v>
      </c>
      <c r="W849" s="18">
        <f>IFERROR(Table1[[#This Row],[Staff Hours Worked]]/Table1[[#This Row],[Staff Available Hours]],0)</f>
        <v>0.66666666666666663</v>
      </c>
      <c r="X849" t="s">
        <v>48</v>
      </c>
    </row>
    <row r="850" spans="1:24">
      <c r="A850" t="s">
        <v>907</v>
      </c>
      <c r="B850">
        <v>23</v>
      </c>
      <c r="C850" t="str" cm="1">
        <f t="array" ref="C850">_xlfn.IFS(B850&lt;=18,"0-18",B850&lt;=35,"19-35",B850&lt;=50,"36-50",B850&lt;=65,"51-65","True","65+")</f>
        <v>19-35</v>
      </c>
      <c r="D850" t="s">
        <v>62</v>
      </c>
      <c r="E850" s="6">
        <v>44966</v>
      </c>
      <c r="F850" s="6">
        <v>45116</v>
      </c>
      <c r="G850">
        <v>5</v>
      </c>
      <c r="H850" t="s">
        <v>57</v>
      </c>
      <c r="I850">
        <v>4</v>
      </c>
      <c r="J850" t="s">
        <v>71</v>
      </c>
      <c r="K850">
        <v>44477</v>
      </c>
      <c r="L850" t="s">
        <v>67</v>
      </c>
      <c r="M850" t="s">
        <v>54</v>
      </c>
      <c r="N850" t="s">
        <v>41</v>
      </c>
      <c r="O850" s="2">
        <v>44935</v>
      </c>
      <c r="P850" s="2">
        <v>44935.125</v>
      </c>
      <c r="Q850" s="38">
        <f t="shared" si="13"/>
        <v>0.125</v>
      </c>
      <c r="R850" t="s">
        <v>64</v>
      </c>
      <c r="S850" t="s">
        <v>29</v>
      </c>
      <c r="T850" t="s">
        <v>43</v>
      </c>
      <c r="U850">
        <v>7</v>
      </c>
      <c r="V850">
        <v>10</v>
      </c>
      <c r="W850" s="18">
        <f>IFERROR(Table1[[#This Row],[Staff Hours Worked]]/Table1[[#This Row],[Staff Available Hours]],0)</f>
        <v>0.7</v>
      </c>
      <c r="X850" t="s">
        <v>68</v>
      </c>
    </row>
    <row r="851" spans="1:24">
      <c r="A851" t="s">
        <v>908</v>
      </c>
      <c r="B851">
        <v>18</v>
      </c>
      <c r="C851" t="str" cm="1">
        <f t="array" ref="C851">_xlfn.IFS(B851&lt;=18,"0-18",B851&lt;=35,"19-35",B851&lt;=50,"36-50",B851&lt;=65,"51-65","True","65+")</f>
        <v>0-18</v>
      </c>
      <c r="D851" t="s">
        <v>52</v>
      </c>
      <c r="E851" s="6">
        <v>45319</v>
      </c>
      <c r="F851" s="6">
        <v>45537</v>
      </c>
      <c r="G851">
        <v>12</v>
      </c>
      <c r="H851" t="s">
        <v>57</v>
      </c>
      <c r="I851">
        <v>4</v>
      </c>
      <c r="J851" t="s">
        <v>66</v>
      </c>
      <c r="K851">
        <v>29405</v>
      </c>
      <c r="L851" t="s">
        <v>25</v>
      </c>
      <c r="M851" t="s">
        <v>54</v>
      </c>
      <c r="N851" t="s">
        <v>41</v>
      </c>
      <c r="O851" s="2">
        <v>45317</v>
      </c>
      <c r="P851" s="2">
        <v>45318.083333333336</v>
      </c>
      <c r="Q851" s="38">
        <f t="shared" si="13"/>
        <v>1.0833333333357587</v>
      </c>
      <c r="R851" t="s">
        <v>28</v>
      </c>
      <c r="S851" t="s">
        <v>38</v>
      </c>
      <c r="T851" t="s">
        <v>30</v>
      </c>
      <c r="U851">
        <v>5</v>
      </c>
      <c r="V851">
        <v>12</v>
      </c>
      <c r="W851" s="18">
        <f>IFERROR(Table1[[#This Row],[Staff Hours Worked]]/Table1[[#This Row],[Staff Available Hours]],0)</f>
        <v>0.41666666666666669</v>
      </c>
      <c r="X851" t="s">
        <v>48</v>
      </c>
    </row>
    <row r="852" spans="1:24">
      <c r="A852" t="s">
        <v>909</v>
      </c>
      <c r="B852">
        <v>38</v>
      </c>
      <c r="C852" t="str" cm="1">
        <f t="array" ref="C852">_xlfn.IFS(B852&lt;=18,"0-18",B852&lt;=35,"19-35",B852&lt;=50,"36-50",B852&lt;=65,"51-65","True","65+")</f>
        <v>36-50</v>
      </c>
      <c r="D852" t="s">
        <v>45</v>
      </c>
      <c r="E852" s="6">
        <v>45166</v>
      </c>
      <c r="F852" s="6">
        <v>45167</v>
      </c>
      <c r="G852">
        <v>1</v>
      </c>
      <c r="H852" t="s">
        <v>23</v>
      </c>
      <c r="I852">
        <v>3</v>
      </c>
      <c r="J852" t="s">
        <v>35</v>
      </c>
      <c r="K852">
        <v>43737</v>
      </c>
      <c r="L852" t="s">
        <v>67</v>
      </c>
      <c r="M852" t="s">
        <v>54</v>
      </c>
      <c r="N852" t="s">
        <v>27</v>
      </c>
      <c r="O852" s="2">
        <v>45164</v>
      </c>
      <c r="P852" s="2">
        <v>45164.208333333336</v>
      </c>
      <c r="Q852" s="38">
        <f t="shared" si="13"/>
        <v>0.20833333333575865</v>
      </c>
      <c r="R852" t="s">
        <v>55</v>
      </c>
      <c r="S852" t="s">
        <v>29</v>
      </c>
      <c r="T852" t="s">
        <v>47</v>
      </c>
      <c r="U852">
        <v>10</v>
      </c>
      <c r="V852">
        <v>10</v>
      </c>
      <c r="W852" s="18">
        <f>IFERROR(Table1[[#This Row],[Staff Hours Worked]]/Table1[[#This Row],[Staff Available Hours]],0)</f>
        <v>1</v>
      </c>
      <c r="X852" t="s">
        <v>31</v>
      </c>
    </row>
    <row r="853" spans="1:24">
      <c r="A853" t="s">
        <v>910</v>
      </c>
      <c r="B853">
        <v>15</v>
      </c>
      <c r="C853" t="str" cm="1">
        <f t="array" ref="C853">_xlfn.IFS(B853&lt;=18,"0-18",B853&lt;=35,"19-35",B853&lt;=50,"36-50",B853&lt;=65,"51-65","True","65+")</f>
        <v>0-18</v>
      </c>
      <c r="D853" t="s">
        <v>41</v>
      </c>
      <c r="E853" s="6">
        <v>45347</v>
      </c>
      <c r="F853" s="6">
        <v>45325</v>
      </c>
      <c r="G853">
        <v>6</v>
      </c>
      <c r="H853" t="s">
        <v>40</v>
      </c>
      <c r="I853">
        <v>1</v>
      </c>
      <c r="J853" t="s">
        <v>66</v>
      </c>
      <c r="K853">
        <v>7620</v>
      </c>
      <c r="L853" t="s">
        <v>25</v>
      </c>
      <c r="M853" t="s">
        <v>54</v>
      </c>
      <c r="N853" t="s">
        <v>27</v>
      </c>
      <c r="O853" s="2">
        <v>45344</v>
      </c>
      <c r="P853" s="2">
        <v>45345.25</v>
      </c>
      <c r="Q853" s="38">
        <f t="shared" si="13"/>
        <v>1.25</v>
      </c>
      <c r="R853" t="s">
        <v>55</v>
      </c>
      <c r="S853" t="s">
        <v>29</v>
      </c>
      <c r="T853" t="s">
        <v>43</v>
      </c>
      <c r="U853">
        <v>8</v>
      </c>
      <c r="V853">
        <v>8</v>
      </c>
      <c r="W853" s="18">
        <f>IFERROR(Table1[[#This Row],[Staff Hours Worked]]/Table1[[#This Row],[Staff Available Hours]],0)</f>
        <v>1</v>
      </c>
      <c r="X853" t="s">
        <v>31</v>
      </c>
    </row>
    <row r="854" spans="1:24">
      <c r="A854" t="s">
        <v>911</v>
      </c>
      <c r="B854">
        <v>64</v>
      </c>
      <c r="C854" t="str" cm="1">
        <f t="array" ref="C854">_xlfn.IFS(B854&lt;=18,"0-18",B854&lt;=35,"19-35",B854&lt;=50,"36-50",B854&lt;=65,"51-65","True","65+")</f>
        <v>51-65</v>
      </c>
      <c r="D854" t="s">
        <v>33</v>
      </c>
      <c r="E854" s="6">
        <v>44971</v>
      </c>
      <c r="F854" s="6">
        <v>44984</v>
      </c>
      <c r="G854">
        <v>13</v>
      </c>
      <c r="H854" t="s">
        <v>40</v>
      </c>
      <c r="I854">
        <v>2</v>
      </c>
      <c r="J854" t="s">
        <v>35</v>
      </c>
      <c r="K854">
        <v>40414</v>
      </c>
      <c r="L854" t="s">
        <v>36</v>
      </c>
      <c r="M854" t="s">
        <v>54</v>
      </c>
      <c r="N854" t="s">
        <v>27</v>
      </c>
      <c r="O854" s="2">
        <v>44971</v>
      </c>
      <c r="P854" s="2">
        <v>44971.791666666664</v>
      </c>
      <c r="Q854" s="38">
        <f t="shared" si="13"/>
        <v>0.79166666666424135</v>
      </c>
      <c r="R854" t="s">
        <v>42</v>
      </c>
      <c r="S854" t="s">
        <v>29</v>
      </c>
      <c r="T854" t="s">
        <v>30</v>
      </c>
      <c r="U854">
        <v>8</v>
      </c>
      <c r="V854">
        <v>12</v>
      </c>
      <c r="W854" s="18">
        <f>IFERROR(Table1[[#This Row],[Staff Hours Worked]]/Table1[[#This Row],[Staff Available Hours]],0)</f>
        <v>0.66666666666666663</v>
      </c>
      <c r="X854" t="s">
        <v>68</v>
      </c>
    </row>
    <row r="855" spans="1:24">
      <c r="A855" t="s">
        <v>912</v>
      </c>
      <c r="B855">
        <v>89</v>
      </c>
      <c r="C855" t="str" cm="1">
        <f t="array" ref="C855">_xlfn.IFS(B855&lt;=18,"0-18",B855&lt;=35,"19-35",B855&lt;=50,"36-50",B855&lt;=65,"51-65","True","65+")</f>
        <v>65+</v>
      </c>
      <c r="D855" t="s">
        <v>52</v>
      </c>
      <c r="E855" s="6">
        <v>45252</v>
      </c>
      <c r="F855" s="6">
        <v>45254</v>
      </c>
      <c r="G855">
        <v>2</v>
      </c>
      <c r="H855" t="s">
        <v>34</v>
      </c>
      <c r="I855">
        <v>1</v>
      </c>
      <c r="J855" t="s">
        <v>35</v>
      </c>
      <c r="K855">
        <v>42633</v>
      </c>
      <c r="L855" t="s">
        <v>60</v>
      </c>
      <c r="M855" t="s">
        <v>54</v>
      </c>
      <c r="N855" t="s">
        <v>41</v>
      </c>
      <c r="O855" s="2">
        <v>45248</v>
      </c>
      <c r="P855" s="2">
        <v>45248.833333333336</v>
      </c>
      <c r="Q855" s="38">
        <f t="shared" si="13"/>
        <v>0.83333333333575865</v>
      </c>
      <c r="R855" t="s">
        <v>55</v>
      </c>
      <c r="S855" t="s">
        <v>29</v>
      </c>
      <c r="T855" t="s">
        <v>47</v>
      </c>
      <c r="U855">
        <v>9</v>
      </c>
      <c r="V855">
        <v>12</v>
      </c>
      <c r="W855" s="18">
        <f>IFERROR(Table1[[#This Row],[Staff Hours Worked]]/Table1[[#This Row],[Staff Available Hours]],0)</f>
        <v>0.75</v>
      </c>
      <c r="X855" t="s">
        <v>31</v>
      </c>
    </row>
    <row r="856" spans="1:24">
      <c r="A856" t="s">
        <v>913</v>
      </c>
      <c r="B856">
        <v>28</v>
      </c>
      <c r="C856" t="str" cm="1">
        <f t="array" ref="C856">_xlfn.IFS(B856&lt;=18,"0-18",B856&lt;=35,"19-35",B856&lt;=50,"36-50",B856&lt;=65,"51-65","True","65+")</f>
        <v>19-35</v>
      </c>
      <c r="D856" t="s">
        <v>52</v>
      </c>
      <c r="E856" s="6">
        <v>45411</v>
      </c>
      <c r="F856" s="6">
        <v>45417</v>
      </c>
      <c r="G856">
        <v>6</v>
      </c>
      <c r="H856" t="s">
        <v>50</v>
      </c>
      <c r="I856">
        <v>3</v>
      </c>
      <c r="J856" t="s">
        <v>46</v>
      </c>
      <c r="K856">
        <v>40057</v>
      </c>
      <c r="L856" t="s">
        <v>53</v>
      </c>
      <c r="M856" t="s">
        <v>54</v>
      </c>
      <c r="N856" t="s">
        <v>27</v>
      </c>
      <c r="O856" s="2">
        <v>45410</v>
      </c>
      <c r="P856" s="2">
        <v>45410.875</v>
      </c>
      <c r="Q856" s="38">
        <f t="shared" si="13"/>
        <v>0.875</v>
      </c>
      <c r="R856" t="s">
        <v>42</v>
      </c>
      <c r="S856" t="s">
        <v>29</v>
      </c>
      <c r="T856" t="s">
        <v>30</v>
      </c>
      <c r="U856">
        <v>9</v>
      </c>
      <c r="V856">
        <v>12</v>
      </c>
      <c r="W856" s="18">
        <f>IFERROR(Table1[[#This Row],[Staff Hours Worked]]/Table1[[#This Row],[Staff Available Hours]],0)</f>
        <v>0.75</v>
      </c>
      <c r="X856" t="s">
        <v>31</v>
      </c>
    </row>
    <row r="857" spans="1:24">
      <c r="A857" t="s">
        <v>914</v>
      </c>
      <c r="B857">
        <v>74</v>
      </c>
      <c r="C857" t="str" cm="1">
        <f t="array" ref="C857">_xlfn.IFS(B857&lt;=18,"0-18",B857&lt;=35,"19-35",B857&lt;=50,"36-50",B857&lt;=65,"51-65","True","65+")</f>
        <v>65+</v>
      </c>
      <c r="D857" t="s">
        <v>41</v>
      </c>
      <c r="E857" s="6">
        <v>45317</v>
      </c>
      <c r="F857" s="6">
        <v>45321</v>
      </c>
      <c r="G857">
        <v>4</v>
      </c>
      <c r="H857" t="s">
        <v>23</v>
      </c>
      <c r="I857">
        <v>3</v>
      </c>
      <c r="J857" t="s">
        <v>66</v>
      </c>
      <c r="K857">
        <v>45138</v>
      </c>
      <c r="L857" t="s">
        <v>60</v>
      </c>
      <c r="M857" t="s">
        <v>54</v>
      </c>
      <c r="N857" t="s">
        <v>27</v>
      </c>
      <c r="O857" s="2">
        <v>45312</v>
      </c>
      <c r="P857" s="2">
        <v>45312.25</v>
      </c>
      <c r="Q857" s="38">
        <f t="shared" si="13"/>
        <v>0.25</v>
      </c>
      <c r="R857" t="s">
        <v>64</v>
      </c>
      <c r="S857" t="s">
        <v>29</v>
      </c>
      <c r="T857" t="s">
        <v>43</v>
      </c>
      <c r="U857">
        <v>10</v>
      </c>
      <c r="V857">
        <v>10</v>
      </c>
      <c r="W857" s="18">
        <f>IFERROR(Table1[[#This Row],[Staff Hours Worked]]/Table1[[#This Row],[Staff Available Hours]],0)</f>
        <v>1</v>
      </c>
      <c r="X857" t="s">
        <v>68</v>
      </c>
    </row>
    <row r="858" spans="1:24">
      <c r="A858" t="s">
        <v>915</v>
      </c>
      <c r="B858">
        <v>39</v>
      </c>
      <c r="C858" t="str" cm="1">
        <f t="array" ref="C858">_xlfn.IFS(B858&lt;=18,"0-18",B858&lt;=35,"19-35",B858&lt;=50,"36-50",B858&lt;=65,"51-65","True","65+")</f>
        <v>36-50</v>
      </c>
      <c r="D858" t="s">
        <v>45</v>
      </c>
      <c r="E858" s="6">
        <v>45322</v>
      </c>
      <c r="F858" s="6">
        <v>45628</v>
      </c>
      <c r="G858">
        <v>12</v>
      </c>
      <c r="H858" t="s">
        <v>57</v>
      </c>
      <c r="I858">
        <v>2</v>
      </c>
      <c r="J858" t="s">
        <v>71</v>
      </c>
      <c r="K858">
        <v>18854</v>
      </c>
      <c r="L858" t="s">
        <v>25</v>
      </c>
      <c r="M858" t="s">
        <v>54</v>
      </c>
      <c r="N858" t="s">
        <v>27</v>
      </c>
      <c r="O858" s="2">
        <v>45321</v>
      </c>
      <c r="P858" s="2">
        <v>45322.5</v>
      </c>
      <c r="Q858" s="38">
        <f t="shared" si="13"/>
        <v>1.5</v>
      </c>
      <c r="R858" t="s">
        <v>28</v>
      </c>
      <c r="S858" t="s">
        <v>29</v>
      </c>
      <c r="T858" t="s">
        <v>30</v>
      </c>
      <c r="U858">
        <v>7</v>
      </c>
      <c r="V858">
        <v>12</v>
      </c>
      <c r="W858" s="18">
        <f>IFERROR(Table1[[#This Row],[Staff Hours Worked]]/Table1[[#This Row],[Staff Available Hours]],0)</f>
        <v>0.58333333333333337</v>
      </c>
      <c r="X858" t="s">
        <v>31</v>
      </c>
    </row>
    <row r="859" spans="1:24">
      <c r="A859" t="s">
        <v>916</v>
      </c>
      <c r="B859">
        <v>57</v>
      </c>
      <c r="C859" t="str" cm="1">
        <f t="array" ref="C859">_xlfn.IFS(B859&lt;=18,"0-18",B859&lt;=35,"19-35",B859&lt;=50,"36-50",B859&lt;=65,"51-65","True","65+")</f>
        <v>51-65</v>
      </c>
      <c r="D859" t="s">
        <v>45</v>
      </c>
      <c r="E859" s="6">
        <v>45052</v>
      </c>
      <c r="F859" s="6">
        <v>45093</v>
      </c>
      <c r="G859">
        <v>11</v>
      </c>
      <c r="H859" t="s">
        <v>23</v>
      </c>
      <c r="I859">
        <v>5</v>
      </c>
      <c r="J859" t="s">
        <v>66</v>
      </c>
      <c r="K859">
        <v>14677</v>
      </c>
      <c r="L859" t="s">
        <v>25</v>
      </c>
      <c r="M859" t="s">
        <v>26</v>
      </c>
      <c r="N859" t="s">
        <v>27</v>
      </c>
      <c r="O859" s="2">
        <v>45052</v>
      </c>
      <c r="P859" s="2">
        <v>45083.25</v>
      </c>
      <c r="Q859" s="38">
        <f t="shared" si="13"/>
        <v>31.25</v>
      </c>
      <c r="R859" t="s">
        <v>55</v>
      </c>
      <c r="S859" t="s">
        <v>29</v>
      </c>
      <c r="T859" t="s">
        <v>30</v>
      </c>
      <c r="U859">
        <v>10</v>
      </c>
      <c r="V859">
        <v>10</v>
      </c>
      <c r="W859" s="18">
        <f>IFERROR(Table1[[#This Row],[Staff Hours Worked]]/Table1[[#This Row],[Staff Available Hours]],0)</f>
        <v>1</v>
      </c>
      <c r="X859" t="s">
        <v>68</v>
      </c>
    </row>
    <row r="860" spans="1:24">
      <c r="A860" t="s">
        <v>917</v>
      </c>
      <c r="B860">
        <v>17</v>
      </c>
      <c r="C860" t="str" cm="1">
        <f t="array" ref="C860">_xlfn.IFS(B860&lt;=18,"0-18",B860&lt;=35,"19-35",B860&lt;=50,"36-50",B860&lt;=65,"51-65","True","65+")</f>
        <v>0-18</v>
      </c>
      <c r="D860" t="s">
        <v>62</v>
      </c>
      <c r="E860" s="6">
        <v>45434</v>
      </c>
      <c r="F860" s="6">
        <v>45328</v>
      </c>
      <c r="G860">
        <v>11</v>
      </c>
      <c r="H860" t="s">
        <v>34</v>
      </c>
      <c r="I860">
        <v>5</v>
      </c>
      <c r="J860" t="s">
        <v>46</v>
      </c>
      <c r="K860">
        <v>49111</v>
      </c>
      <c r="L860" t="s">
        <v>60</v>
      </c>
      <c r="M860" t="s">
        <v>54</v>
      </c>
      <c r="N860" t="s">
        <v>41</v>
      </c>
      <c r="O860" s="2">
        <v>45432</v>
      </c>
      <c r="P860" s="2">
        <v>45432.041666666664</v>
      </c>
      <c r="Q860" s="38">
        <f t="shared" si="13"/>
        <v>4.1666666664241347E-2</v>
      </c>
      <c r="R860" t="s">
        <v>42</v>
      </c>
      <c r="S860" t="s">
        <v>29</v>
      </c>
      <c r="T860" t="s">
        <v>30</v>
      </c>
      <c r="U860">
        <v>10</v>
      </c>
      <c r="V860">
        <v>12</v>
      </c>
      <c r="W860" s="18">
        <f>IFERROR(Table1[[#This Row],[Staff Hours Worked]]/Table1[[#This Row],[Staff Available Hours]],0)</f>
        <v>0.83333333333333337</v>
      </c>
      <c r="X860" t="s">
        <v>48</v>
      </c>
    </row>
    <row r="861" spans="1:24">
      <c r="A861" t="s">
        <v>918</v>
      </c>
      <c r="B861">
        <v>86</v>
      </c>
      <c r="C861" t="str" cm="1">
        <f t="array" ref="C861">_xlfn.IFS(B861&lt;=18,"0-18",B861&lt;=35,"19-35",B861&lt;=50,"36-50",B861&lt;=65,"51-65","True","65+")</f>
        <v>65+</v>
      </c>
      <c r="D861" t="s">
        <v>41</v>
      </c>
      <c r="E861" s="6">
        <v>45109</v>
      </c>
      <c r="F861" s="6">
        <v>45171</v>
      </c>
      <c r="G861">
        <v>2</v>
      </c>
      <c r="H861" t="s">
        <v>63</v>
      </c>
      <c r="I861">
        <v>2</v>
      </c>
      <c r="J861" t="s">
        <v>35</v>
      </c>
      <c r="K861">
        <v>29074</v>
      </c>
      <c r="L861" t="s">
        <v>25</v>
      </c>
      <c r="M861" t="s">
        <v>26</v>
      </c>
      <c r="N861" t="s">
        <v>27</v>
      </c>
      <c r="O861" s="2">
        <v>44987</v>
      </c>
      <c r="P861" s="2">
        <v>45018</v>
      </c>
      <c r="Q861" s="38">
        <f t="shared" si="13"/>
        <v>31</v>
      </c>
      <c r="R861" t="s">
        <v>64</v>
      </c>
      <c r="S861" t="s">
        <v>29</v>
      </c>
      <c r="T861" t="s">
        <v>30</v>
      </c>
      <c r="U861">
        <v>5</v>
      </c>
      <c r="V861">
        <v>8</v>
      </c>
      <c r="W861" s="18">
        <f>IFERROR(Table1[[#This Row],[Staff Hours Worked]]/Table1[[#This Row],[Staff Available Hours]],0)</f>
        <v>0.625</v>
      </c>
      <c r="X861" t="s">
        <v>48</v>
      </c>
    </row>
    <row r="862" spans="1:24">
      <c r="A862" t="s">
        <v>919</v>
      </c>
      <c r="B862">
        <v>44</v>
      </c>
      <c r="C862" t="str" cm="1">
        <f t="array" ref="C862">_xlfn.IFS(B862&lt;=18,"0-18",B862&lt;=35,"19-35",B862&lt;=50,"36-50",B862&lt;=65,"51-65","True","65+")</f>
        <v>36-50</v>
      </c>
      <c r="D862" t="s">
        <v>41</v>
      </c>
      <c r="E862" s="6">
        <v>45204</v>
      </c>
      <c r="F862" s="6">
        <v>45069</v>
      </c>
      <c r="G862">
        <v>13</v>
      </c>
      <c r="H862" t="s">
        <v>63</v>
      </c>
      <c r="I862">
        <v>5</v>
      </c>
      <c r="J862" t="s">
        <v>46</v>
      </c>
      <c r="K862">
        <v>22824</v>
      </c>
      <c r="L862" t="s">
        <v>67</v>
      </c>
      <c r="M862" t="s">
        <v>26</v>
      </c>
      <c r="N862" t="s">
        <v>27</v>
      </c>
      <c r="O862" s="2">
        <v>45082</v>
      </c>
      <c r="P862" s="2">
        <v>45082.541666666664</v>
      </c>
      <c r="Q862" s="38">
        <f t="shared" si="13"/>
        <v>0.54166666666424135</v>
      </c>
      <c r="R862" t="s">
        <v>55</v>
      </c>
      <c r="S862" t="s">
        <v>29</v>
      </c>
      <c r="T862" t="s">
        <v>47</v>
      </c>
      <c r="U862">
        <v>6</v>
      </c>
      <c r="V862">
        <v>12</v>
      </c>
      <c r="W862" s="18">
        <f>IFERROR(Table1[[#This Row],[Staff Hours Worked]]/Table1[[#This Row],[Staff Available Hours]],0)</f>
        <v>0.5</v>
      </c>
      <c r="X862" t="s">
        <v>48</v>
      </c>
    </row>
    <row r="863" spans="1:24">
      <c r="A863" t="s">
        <v>920</v>
      </c>
      <c r="B863">
        <v>25</v>
      </c>
      <c r="C863" t="str" cm="1">
        <f t="array" ref="C863">_xlfn.IFS(B863&lt;=18,"0-18",B863&lt;=35,"19-35",B863&lt;=50,"36-50",B863&lt;=65,"51-65","True","65+")</f>
        <v>19-35</v>
      </c>
      <c r="D863" t="s">
        <v>45</v>
      </c>
      <c r="E863" s="6">
        <v>45441</v>
      </c>
      <c r="F863" s="6">
        <v>45510</v>
      </c>
      <c r="G863">
        <v>10</v>
      </c>
      <c r="H863" t="s">
        <v>34</v>
      </c>
      <c r="I863">
        <v>4</v>
      </c>
      <c r="J863" t="s">
        <v>24</v>
      </c>
      <c r="K863">
        <v>5765</v>
      </c>
      <c r="L863" t="s">
        <v>67</v>
      </c>
      <c r="M863" t="s">
        <v>54</v>
      </c>
      <c r="N863" t="s">
        <v>27</v>
      </c>
      <c r="O863" s="2">
        <v>45437</v>
      </c>
      <c r="P863" s="2">
        <v>45437.791666666664</v>
      </c>
      <c r="Q863" s="38">
        <f t="shared" si="13"/>
        <v>0.79166666666424135</v>
      </c>
      <c r="R863" t="s">
        <v>37</v>
      </c>
      <c r="S863" t="s">
        <v>29</v>
      </c>
      <c r="T863" t="s">
        <v>43</v>
      </c>
      <c r="U863">
        <v>10</v>
      </c>
      <c r="V863">
        <v>8</v>
      </c>
      <c r="W863" s="18">
        <f>IFERROR(Table1[[#This Row],[Staff Hours Worked]]/Table1[[#This Row],[Staff Available Hours]],0)</f>
        <v>1.25</v>
      </c>
      <c r="X863" t="s">
        <v>68</v>
      </c>
    </row>
    <row r="864" spans="1:24">
      <c r="A864" t="s">
        <v>921</v>
      </c>
      <c r="B864">
        <v>17</v>
      </c>
      <c r="C864" t="str" cm="1">
        <f t="array" ref="C864">_xlfn.IFS(B864&lt;=18,"0-18",B864&lt;=35,"19-35",B864&lt;=50,"36-50",B864&lt;=65,"51-65","True","65+")</f>
        <v>0-18</v>
      </c>
      <c r="D864" t="s">
        <v>62</v>
      </c>
      <c r="E864" s="6">
        <v>45089</v>
      </c>
      <c r="F864" s="6">
        <v>45278</v>
      </c>
      <c r="G864">
        <v>12</v>
      </c>
      <c r="H864" t="s">
        <v>57</v>
      </c>
      <c r="I864">
        <v>5</v>
      </c>
      <c r="J864" t="s">
        <v>24</v>
      </c>
      <c r="K864">
        <v>36615</v>
      </c>
      <c r="L864" t="s">
        <v>25</v>
      </c>
      <c r="M864" t="s">
        <v>54</v>
      </c>
      <c r="N864" t="s">
        <v>27</v>
      </c>
      <c r="O864" s="2">
        <v>44938</v>
      </c>
      <c r="P864" s="2">
        <v>44969.541666666664</v>
      </c>
      <c r="Q864" s="38">
        <f t="shared" si="13"/>
        <v>31.541666666664241</v>
      </c>
      <c r="R864" t="s">
        <v>64</v>
      </c>
      <c r="S864" t="s">
        <v>29</v>
      </c>
      <c r="T864" t="s">
        <v>47</v>
      </c>
      <c r="U864">
        <v>7</v>
      </c>
      <c r="V864">
        <v>10</v>
      </c>
      <c r="W864" s="18">
        <f>IFERROR(Table1[[#This Row],[Staff Hours Worked]]/Table1[[#This Row],[Staff Available Hours]],0)</f>
        <v>0.7</v>
      </c>
      <c r="X864" t="s">
        <v>68</v>
      </c>
    </row>
    <row r="865" spans="1:24">
      <c r="A865" t="s">
        <v>922</v>
      </c>
      <c r="B865">
        <v>13</v>
      </c>
      <c r="C865" t="str" cm="1">
        <f t="array" ref="C865">_xlfn.IFS(B865&lt;=18,"0-18",B865&lt;=35,"19-35",B865&lt;=50,"36-50",B865&lt;=65,"51-65","True","65+")</f>
        <v>0-18</v>
      </c>
      <c r="D865" t="s">
        <v>52</v>
      </c>
      <c r="E865" s="6">
        <v>45029</v>
      </c>
      <c r="F865" s="6">
        <v>45042</v>
      </c>
      <c r="G865">
        <v>13</v>
      </c>
      <c r="H865" t="s">
        <v>34</v>
      </c>
      <c r="I865">
        <v>5</v>
      </c>
      <c r="J865" t="s">
        <v>71</v>
      </c>
      <c r="K865">
        <v>41860</v>
      </c>
      <c r="L865" t="s">
        <v>25</v>
      </c>
      <c r="M865" t="s">
        <v>26</v>
      </c>
      <c r="N865" t="s">
        <v>27</v>
      </c>
      <c r="O865" s="2">
        <v>45203</v>
      </c>
      <c r="P865" s="2">
        <v>45203.833333333336</v>
      </c>
      <c r="Q865" s="38">
        <f t="shared" si="13"/>
        <v>0.83333333333575865</v>
      </c>
      <c r="R865" t="s">
        <v>55</v>
      </c>
      <c r="S865" t="s">
        <v>29</v>
      </c>
      <c r="T865" t="s">
        <v>30</v>
      </c>
      <c r="U865">
        <v>8</v>
      </c>
      <c r="V865">
        <v>8</v>
      </c>
      <c r="W865" s="18">
        <f>IFERROR(Table1[[#This Row],[Staff Hours Worked]]/Table1[[#This Row],[Staff Available Hours]],0)</f>
        <v>1</v>
      </c>
      <c r="X865" t="s">
        <v>31</v>
      </c>
    </row>
    <row r="866" spans="1:24">
      <c r="A866" t="s">
        <v>923</v>
      </c>
      <c r="B866">
        <v>84</v>
      </c>
      <c r="C866" t="str" cm="1">
        <f t="array" ref="C866">_xlfn.IFS(B866&lt;=18,"0-18",B866&lt;=35,"19-35",B866&lt;=50,"36-50",B866&lt;=65,"51-65","True","65+")</f>
        <v>65+</v>
      </c>
      <c r="D866" t="s">
        <v>22</v>
      </c>
      <c r="E866" s="6">
        <v>45377</v>
      </c>
      <c r="F866" s="6">
        <v>45295</v>
      </c>
      <c r="G866">
        <v>6</v>
      </c>
      <c r="H866" t="s">
        <v>57</v>
      </c>
      <c r="I866">
        <v>5</v>
      </c>
      <c r="J866" t="s">
        <v>46</v>
      </c>
      <c r="K866">
        <v>17975</v>
      </c>
      <c r="L866" t="s">
        <v>67</v>
      </c>
      <c r="M866" t="s">
        <v>26</v>
      </c>
      <c r="N866" t="s">
        <v>27</v>
      </c>
      <c r="O866" s="2">
        <v>45375</v>
      </c>
      <c r="P866" s="2">
        <v>45377</v>
      </c>
      <c r="Q866" s="38">
        <f t="shared" si="13"/>
        <v>2</v>
      </c>
      <c r="R866" t="s">
        <v>64</v>
      </c>
      <c r="S866" t="s">
        <v>29</v>
      </c>
      <c r="T866" t="s">
        <v>30</v>
      </c>
      <c r="U866">
        <v>8</v>
      </c>
      <c r="V866">
        <v>12</v>
      </c>
      <c r="W866" s="18">
        <f>IFERROR(Table1[[#This Row],[Staff Hours Worked]]/Table1[[#This Row],[Staff Available Hours]],0)</f>
        <v>0.66666666666666663</v>
      </c>
      <c r="X866" t="s">
        <v>31</v>
      </c>
    </row>
    <row r="867" spans="1:24">
      <c r="A867" t="s">
        <v>924</v>
      </c>
      <c r="B867">
        <v>25</v>
      </c>
      <c r="C867" t="str" cm="1">
        <f t="array" ref="C867">_xlfn.IFS(B867&lt;=18,"0-18",B867&lt;=35,"19-35",B867&lt;=50,"36-50",B867&lt;=65,"51-65","True","65+")</f>
        <v>19-35</v>
      </c>
      <c r="D867" t="s">
        <v>33</v>
      </c>
      <c r="E867" s="6">
        <v>45029</v>
      </c>
      <c r="F867" s="6">
        <v>45032</v>
      </c>
      <c r="G867">
        <v>3</v>
      </c>
      <c r="H867" t="s">
        <v>40</v>
      </c>
      <c r="I867">
        <v>4</v>
      </c>
      <c r="J867" t="s">
        <v>71</v>
      </c>
      <c r="K867">
        <v>14341</v>
      </c>
      <c r="L867" t="s">
        <v>25</v>
      </c>
      <c r="M867" t="s">
        <v>54</v>
      </c>
      <c r="N867" t="s">
        <v>41</v>
      </c>
      <c r="O867" s="2">
        <v>45264</v>
      </c>
      <c r="P867" s="2">
        <v>45029.666666666664</v>
      </c>
      <c r="Q867" s="38">
        <f t="shared" si="13"/>
        <v>234.33333333333576</v>
      </c>
      <c r="R867" t="s">
        <v>28</v>
      </c>
      <c r="S867" t="s">
        <v>38</v>
      </c>
      <c r="T867" t="s">
        <v>43</v>
      </c>
      <c r="U867">
        <v>11</v>
      </c>
      <c r="V867">
        <v>12</v>
      </c>
      <c r="W867" s="18">
        <f>IFERROR(Table1[[#This Row],[Staff Hours Worked]]/Table1[[#This Row],[Staff Available Hours]],0)</f>
        <v>0.91666666666666663</v>
      </c>
      <c r="X867" t="s">
        <v>31</v>
      </c>
    </row>
    <row r="868" spans="1:24">
      <c r="A868" t="s">
        <v>925</v>
      </c>
      <c r="B868">
        <v>68</v>
      </c>
      <c r="C868" t="str" cm="1">
        <f t="array" ref="C868">_xlfn.IFS(B868&lt;=18,"0-18",B868&lt;=35,"19-35",B868&lt;=50,"36-50",B868&lt;=65,"51-65","True","65+")</f>
        <v>65+</v>
      </c>
      <c r="D868" t="s">
        <v>52</v>
      </c>
      <c r="E868" s="6">
        <v>45465</v>
      </c>
      <c r="F868" s="6">
        <v>45466</v>
      </c>
      <c r="G868">
        <v>1</v>
      </c>
      <c r="H868" t="s">
        <v>34</v>
      </c>
      <c r="I868">
        <v>5</v>
      </c>
      <c r="J868" t="s">
        <v>71</v>
      </c>
      <c r="K868">
        <v>33141</v>
      </c>
      <c r="L868" t="s">
        <v>25</v>
      </c>
      <c r="M868" t="s">
        <v>26</v>
      </c>
      <c r="N868" t="s">
        <v>27</v>
      </c>
      <c r="O868" s="2">
        <v>45464</v>
      </c>
      <c r="P868" s="2">
        <v>45464.666666666664</v>
      </c>
      <c r="Q868" s="38">
        <f t="shared" si="13"/>
        <v>0.66666666666424135</v>
      </c>
      <c r="R868" t="s">
        <v>28</v>
      </c>
      <c r="S868" t="s">
        <v>29</v>
      </c>
      <c r="T868" t="s">
        <v>43</v>
      </c>
      <c r="U868">
        <v>4</v>
      </c>
      <c r="V868">
        <v>10</v>
      </c>
      <c r="W868" s="18">
        <f>IFERROR(Table1[[#This Row],[Staff Hours Worked]]/Table1[[#This Row],[Staff Available Hours]],0)</f>
        <v>0.4</v>
      </c>
      <c r="X868" t="s">
        <v>31</v>
      </c>
    </row>
    <row r="869" spans="1:24">
      <c r="A869" t="s">
        <v>926</v>
      </c>
      <c r="B869">
        <v>10</v>
      </c>
      <c r="C869" t="str" cm="1">
        <f t="array" ref="C869">_xlfn.IFS(B869&lt;=18,"0-18",B869&lt;=35,"19-35",B869&lt;=50,"36-50",B869&lt;=65,"51-65","True","65+")</f>
        <v>0-18</v>
      </c>
      <c r="D869" t="s">
        <v>45</v>
      </c>
      <c r="E869" s="6">
        <v>45630</v>
      </c>
      <c r="F869" s="6">
        <v>45400</v>
      </c>
      <c r="G869">
        <v>6</v>
      </c>
      <c r="H869" t="s">
        <v>57</v>
      </c>
      <c r="I869">
        <v>4</v>
      </c>
      <c r="J869" t="s">
        <v>24</v>
      </c>
      <c r="K869">
        <v>17334</v>
      </c>
      <c r="L869" t="s">
        <v>60</v>
      </c>
      <c r="M869" t="s">
        <v>26</v>
      </c>
      <c r="N869" t="s">
        <v>27</v>
      </c>
      <c r="O869" s="2">
        <v>45569</v>
      </c>
      <c r="P869" s="2">
        <v>45600.25</v>
      </c>
      <c r="Q869" s="38">
        <f t="shared" si="13"/>
        <v>31.25</v>
      </c>
      <c r="R869" t="s">
        <v>28</v>
      </c>
      <c r="S869" t="s">
        <v>29</v>
      </c>
      <c r="T869" t="s">
        <v>47</v>
      </c>
      <c r="U869">
        <v>10</v>
      </c>
      <c r="V869">
        <v>12</v>
      </c>
      <c r="W869" s="18">
        <f>IFERROR(Table1[[#This Row],[Staff Hours Worked]]/Table1[[#This Row],[Staff Available Hours]],0)</f>
        <v>0.83333333333333337</v>
      </c>
      <c r="X869" t="s">
        <v>31</v>
      </c>
    </row>
    <row r="870" spans="1:24">
      <c r="A870" t="s">
        <v>927</v>
      </c>
      <c r="B870">
        <v>67</v>
      </c>
      <c r="C870" t="str" cm="1">
        <f t="array" ref="C870">_xlfn.IFS(B870&lt;=18,"0-18",B870&lt;=35,"19-35",B870&lt;=50,"36-50",B870&lt;=65,"51-65","True","65+")</f>
        <v>65+</v>
      </c>
      <c r="D870" t="s">
        <v>33</v>
      </c>
      <c r="E870" s="6">
        <v>44942</v>
      </c>
      <c r="F870" s="6">
        <v>44951</v>
      </c>
      <c r="G870">
        <v>9</v>
      </c>
      <c r="H870" t="s">
        <v>34</v>
      </c>
      <c r="I870">
        <v>2</v>
      </c>
      <c r="J870" t="s">
        <v>71</v>
      </c>
      <c r="K870">
        <v>20835</v>
      </c>
      <c r="L870" t="s">
        <v>53</v>
      </c>
      <c r="M870" t="s">
        <v>54</v>
      </c>
      <c r="N870" t="s">
        <v>27</v>
      </c>
      <c r="O870" s="2">
        <v>44941</v>
      </c>
      <c r="P870" s="2">
        <v>44942</v>
      </c>
      <c r="Q870" s="38">
        <f t="shared" si="13"/>
        <v>1</v>
      </c>
      <c r="R870" t="s">
        <v>37</v>
      </c>
      <c r="S870" t="s">
        <v>29</v>
      </c>
      <c r="T870" t="s">
        <v>47</v>
      </c>
      <c r="U870">
        <v>11</v>
      </c>
      <c r="V870">
        <v>12</v>
      </c>
      <c r="W870" s="18">
        <f>IFERROR(Table1[[#This Row],[Staff Hours Worked]]/Table1[[#This Row],[Staff Available Hours]],0)</f>
        <v>0.91666666666666663</v>
      </c>
      <c r="X870" t="s">
        <v>68</v>
      </c>
    </row>
    <row r="871" spans="1:24">
      <c r="A871" t="s">
        <v>928</v>
      </c>
      <c r="B871">
        <v>18</v>
      </c>
      <c r="C871" t="str" cm="1">
        <f t="array" ref="C871">_xlfn.IFS(B871&lt;=18,"0-18",B871&lt;=35,"19-35",B871&lt;=50,"36-50",B871&lt;=65,"51-65","True","65+")</f>
        <v>0-18</v>
      </c>
      <c r="D871" t="s">
        <v>22</v>
      </c>
      <c r="E871" s="6">
        <v>45074</v>
      </c>
      <c r="F871" s="6">
        <v>44991</v>
      </c>
      <c r="G871">
        <v>6</v>
      </c>
      <c r="H871" t="s">
        <v>34</v>
      </c>
      <c r="I871">
        <v>1</v>
      </c>
      <c r="J871" t="s">
        <v>24</v>
      </c>
      <c r="K871">
        <v>31548</v>
      </c>
      <c r="L871" t="s">
        <v>67</v>
      </c>
      <c r="M871" t="s">
        <v>26</v>
      </c>
      <c r="N871" t="s">
        <v>27</v>
      </c>
      <c r="O871" s="2">
        <v>45071</v>
      </c>
      <c r="P871" s="2">
        <v>45072.583333333336</v>
      </c>
      <c r="Q871" s="38">
        <f t="shared" si="13"/>
        <v>1.5833333333357587</v>
      </c>
      <c r="R871" t="s">
        <v>28</v>
      </c>
      <c r="S871" t="s">
        <v>29</v>
      </c>
      <c r="T871" t="s">
        <v>43</v>
      </c>
      <c r="U871">
        <v>11</v>
      </c>
      <c r="V871">
        <v>10</v>
      </c>
      <c r="W871" s="18">
        <f>IFERROR(Table1[[#This Row],[Staff Hours Worked]]/Table1[[#This Row],[Staff Available Hours]],0)</f>
        <v>1.1000000000000001</v>
      </c>
      <c r="X871" t="s">
        <v>68</v>
      </c>
    </row>
    <row r="872" spans="1:24">
      <c r="A872" t="s">
        <v>929</v>
      </c>
      <c r="B872">
        <v>86</v>
      </c>
      <c r="C872" t="str" cm="1">
        <f t="array" ref="C872">_xlfn.IFS(B872&lt;=18,"0-18",B872&lt;=35,"19-35",B872&lt;=50,"36-50",B872&lt;=65,"51-65","True","65+")</f>
        <v>65+</v>
      </c>
      <c r="D872" t="s">
        <v>22</v>
      </c>
      <c r="E872" s="6">
        <v>45346</v>
      </c>
      <c r="F872" s="6">
        <v>45538</v>
      </c>
      <c r="G872">
        <v>14</v>
      </c>
      <c r="H872" t="s">
        <v>57</v>
      </c>
      <c r="I872">
        <v>2</v>
      </c>
      <c r="J872" t="s">
        <v>35</v>
      </c>
      <c r="K872">
        <v>40434</v>
      </c>
      <c r="L872" t="s">
        <v>60</v>
      </c>
      <c r="M872" t="s">
        <v>54</v>
      </c>
      <c r="N872" t="s">
        <v>41</v>
      </c>
      <c r="O872" s="2">
        <v>45342</v>
      </c>
      <c r="P872" s="2">
        <v>45343.333333333336</v>
      </c>
      <c r="Q872" s="38">
        <f t="shared" si="13"/>
        <v>1.3333333333357587</v>
      </c>
      <c r="R872" t="s">
        <v>37</v>
      </c>
      <c r="S872" t="s">
        <v>29</v>
      </c>
      <c r="T872" t="s">
        <v>47</v>
      </c>
      <c r="U872">
        <v>5</v>
      </c>
      <c r="V872">
        <v>10</v>
      </c>
      <c r="W872" s="18">
        <f>IFERROR(Table1[[#This Row],[Staff Hours Worked]]/Table1[[#This Row],[Staff Available Hours]],0)</f>
        <v>0.5</v>
      </c>
      <c r="X872" t="s">
        <v>48</v>
      </c>
    </row>
    <row r="873" spans="1:24">
      <c r="A873" t="s">
        <v>930</v>
      </c>
      <c r="B873">
        <v>34</v>
      </c>
      <c r="C873" t="str" cm="1">
        <f t="array" ref="C873">_xlfn.IFS(B873&lt;=18,"0-18",B873&lt;=35,"19-35",B873&lt;=50,"36-50",B873&lt;=65,"51-65","True","65+")</f>
        <v>19-35</v>
      </c>
      <c r="D873" t="s">
        <v>62</v>
      </c>
      <c r="E873" s="6">
        <v>45144</v>
      </c>
      <c r="F873" s="6">
        <v>45096</v>
      </c>
      <c r="G873">
        <v>11</v>
      </c>
      <c r="H873" t="s">
        <v>57</v>
      </c>
      <c r="I873">
        <v>1</v>
      </c>
      <c r="J873" t="s">
        <v>46</v>
      </c>
      <c r="K873">
        <v>30039</v>
      </c>
      <c r="L873" t="s">
        <v>53</v>
      </c>
      <c r="M873" t="s">
        <v>54</v>
      </c>
      <c r="N873" t="s">
        <v>27</v>
      </c>
      <c r="O873" s="2">
        <v>45113</v>
      </c>
      <c r="P873" s="2">
        <v>45113.541666666664</v>
      </c>
      <c r="Q873" s="38">
        <f t="shared" si="13"/>
        <v>0.54166666666424135</v>
      </c>
      <c r="R873" t="s">
        <v>28</v>
      </c>
      <c r="S873" t="s">
        <v>38</v>
      </c>
      <c r="T873" t="s">
        <v>30</v>
      </c>
      <c r="U873">
        <v>4</v>
      </c>
      <c r="V873">
        <v>8</v>
      </c>
      <c r="W873" s="18">
        <f>IFERROR(Table1[[#This Row],[Staff Hours Worked]]/Table1[[#This Row],[Staff Available Hours]],0)</f>
        <v>0.5</v>
      </c>
      <c r="X873" t="s">
        <v>48</v>
      </c>
    </row>
    <row r="874" spans="1:24">
      <c r="A874" t="s">
        <v>931</v>
      </c>
      <c r="B874">
        <v>8</v>
      </c>
      <c r="C874" t="str" cm="1">
        <f t="array" ref="C874">_xlfn.IFS(B874&lt;=18,"0-18",B874&lt;=35,"19-35",B874&lt;=50,"36-50",B874&lt;=65,"51-65","True","65+")</f>
        <v>0-18</v>
      </c>
      <c r="D874" t="s">
        <v>33</v>
      </c>
      <c r="E874" s="6">
        <v>45003</v>
      </c>
      <c r="F874" s="6">
        <v>45006</v>
      </c>
      <c r="G874">
        <v>3</v>
      </c>
      <c r="H874" t="s">
        <v>50</v>
      </c>
      <c r="I874">
        <v>2</v>
      </c>
      <c r="J874" t="s">
        <v>71</v>
      </c>
      <c r="K874">
        <v>37530</v>
      </c>
      <c r="L874" t="s">
        <v>25</v>
      </c>
      <c r="M874" t="s">
        <v>26</v>
      </c>
      <c r="N874" t="s">
        <v>27</v>
      </c>
      <c r="O874" s="2">
        <v>45000</v>
      </c>
      <c r="P874" s="2">
        <v>45001.958333333336</v>
      </c>
      <c r="Q874" s="38">
        <f t="shared" si="13"/>
        <v>1.9583333333357587</v>
      </c>
      <c r="R874" t="s">
        <v>64</v>
      </c>
      <c r="S874" t="s">
        <v>29</v>
      </c>
      <c r="T874" t="s">
        <v>30</v>
      </c>
      <c r="U874">
        <v>9</v>
      </c>
      <c r="V874">
        <v>10</v>
      </c>
      <c r="W874" s="18">
        <f>IFERROR(Table1[[#This Row],[Staff Hours Worked]]/Table1[[#This Row],[Staff Available Hours]],0)</f>
        <v>0.9</v>
      </c>
      <c r="X874" t="s">
        <v>48</v>
      </c>
    </row>
    <row r="875" spans="1:24">
      <c r="A875" t="s">
        <v>932</v>
      </c>
      <c r="B875">
        <v>40</v>
      </c>
      <c r="C875" t="str" cm="1">
        <f t="array" ref="C875">_xlfn.IFS(B875&lt;=18,"0-18",B875&lt;=35,"19-35",B875&lt;=50,"36-50",B875&lt;=65,"51-65","True","65+")</f>
        <v>36-50</v>
      </c>
      <c r="D875" t="s">
        <v>62</v>
      </c>
      <c r="E875" s="6">
        <v>45407</v>
      </c>
      <c r="F875" s="6">
        <v>45540</v>
      </c>
      <c r="G875">
        <v>14</v>
      </c>
      <c r="H875" t="s">
        <v>34</v>
      </c>
      <c r="I875">
        <v>1</v>
      </c>
      <c r="J875" t="s">
        <v>24</v>
      </c>
      <c r="K875">
        <v>43736</v>
      </c>
      <c r="L875" t="s">
        <v>25</v>
      </c>
      <c r="M875" t="s">
        <v>26</v>
      </c>
      <c r="N875" t="s">
        <v>41</v>
      </c>
      <c r="O875" s="2">
        <v>45403</v>
      </c>
      <c r="P875" s="2">
        <v>45404.458333333336</v>
      </c>
      <c r="Q875" s="38">
        <f t="shared" si="13"/>
        <v>1.4583333333357587</v>
      </c>
      <c r="R875" t="s">
        <v>55</v>
      </c>
      <c r="S875" t="s">
        <v>29</v>
      </c>
      <c r="T875" t="s">
        <v>43</v>
      </c>
      <c r="U875">
        <v>6</v>
      </c>
      <c r="V875">
        <v>12</v>
      </c>
      <c r="W875" s="18">
        <f>IFERROR(Table1[[#This Row],[Staff Hours Worked]]/Table1[[#This Row],[Staff Available Hours]],0)</f>
        <v>0.5</v>
      </c>
      <c r="X875" t="s">
        <v>48</v>
      </c>
    </row>
    <row r="876" spans="1:24">
      <c r="A876" t="s">
        <v>933</v>
      </c>
      <c r="B876">
        <v>83</v>
      </c>
      <c r="C876" t="str" cm="1">
        <f t="array" ref="C876">_xlfn.IFS(B876&lt;=18,"0-18",B876&lt;=35,"19-35",B876&lt;=50,"36-50",B876&lt;=65,"51-65","True","65+")</f>
        <v>65+</v>
      </c>
      <c r="D876" t="s">
        <v>52</v>
      </c>
      <c r="E876" s="6">
        <v>45198</v>
      </c>
      <c r="F876" s="6">
        <v>45270</v>
      </c>
      <c r="G876">
        <v>13</v>
      </c>
      <c r="H876" t="s">
        <v>63</v>
      </c>
      <c r="I876">
        <v>1</v>
      </c>
      <c r="J876" t="s">
        <v>66</v>
      </c>
      <c r="K876">
        <v>45409</v>
      </c>
      <c r="L876" t="s">
        <v>60</v>
      </c>
      <c r="M876" t="s">
        <v>54</v>
      </c>
      <c r="N876" t="s">
        <v>27</v>
      </c>
      <c r="O876" s="2">
        <v>45193</v>
      </c>
      <c r="P876" s="2">
        <v>45193.666666666664</v>
      </c>
      <c r="Q876" s="38">
        <f t="shared" si="13"/>
        <v>0.66666666666424135</v>
      </c>
      <c r="R876" t="s">
        <v>55</v>
      </c>
      <c r="S876" t="s">
        <v>29</v>
      </c>
      <c r="T876" t="s">
        <v>47</v>
      </c>
      <c r="U876">
        <v>7</v>
      </c>
      <c r="V876">
        <v>10</v>
      </c>
      <c r="W876" s="18">
        <f>IFERROR(Table1[[#This Row],[Staff Hours Worked]]/Table1[[#This Row],[Staff Available Hours]],0)</f>
        <v>0.7</v>
      </c>
      <c r="X876" t="s">
        <v>68</v>
      </c>
    </row>
    <row r="877" spans="1:24">
      <c r="A877" t="s">
        <v>934</v>
      </c>
      <c r="B877">
        <v>42</v>
      </c>
      <c r="C877" t="str" cm="1">
        <f t="array" ref="C877">_xlfn.IFS(B877&lt;=18,"0-18",B877&lt;=35,"19-35",B877&lt;=50,"36-50",B877&lt;=65,"51-65","True","65+")</f>
        <v>36-50</v>
      </c>
      <c r="D877" t="s">
        <v>41</v>
      </c>
      <c r="E877" s="6">
        <v>45273</v>
      </c>
      <c r="F877" s="6">
        <v>45284</v>
      </c>
      <c r="G877">
        <v>11</v>
      </c>
      <c r="H877" t="s">
        <v>34</v>
      </c>
      <c r="I877">
        <v>3</v>
      </c>
      <c r="J877" t="s">
        <v>71</v>
      </c>
      <c r="K877">
        <v>23565</v>
      </c>
      <c r="L877" t="s">
        <v>25</v>
      </c>
      <c r="M877" t="s">
        <v>54</v>
      </c>
      <c r="N877" t="s">
        <v>41</v>
      </c>
      <c r="O877" s="2">
        <v>45150</v>
      </c>
      <c r="P877" s="2">
        <v>45150.416666666664</v>
      </c>
      <c r="Q877" s="38">
        <f t="shared" si="13"/>
        <v>0.41666666666424135</v>
      </c>
      <c r="R877" t="s">
        <v>28</v>
      </c>
      <c r="S877" t="s">
        <v>29</v>
      </c>
      <c r="T877" t="s">
        <v>30</v>
      </c>
      <c r="U877">
        <v>10</v>
      </c>
      <c r="V877">
        <v>12</v>
      </c>
      <c r="W877" s="18">
        <f>IFERROR(Table1[[#This Row],[Staff Hours Worked]]/Table1[[#This Row],[Staff Available Hours]],0)</f>
        <v>0.83333333333333337</v>
      </c>
      <c r="X877" t="s">
        <v>68</v>
      </c>
    </row>
    <row r="878" spans="1:24">
      <c r="A878" t="s">
        <v>935</v>
      </c>
      <c r="B878">
        <v>41</v>
      </c>
      <c r="C878" t="str" cm="1">
        <f t="array" ref="C878">_xlfn.IFS(B878&lt;=18,"0-18",B878&lt;=35,"19-35",B878&lt;=50,"36-50",B878&lt;=65,"51-65","True","65+")</f>
        <v>36-50</v>
      </c>
      <c r="D878" t="s">
        <v>41</v>
      </c>
      <c r="E878" s="6">
        <v>45628</v>
      </c>
      <c r="F878" s="6">
        <v>45342</v>
      </c>
      <c r="G878">
        <v>8</v>
      </c>
      <c r="H878" t="s">
        <v>34</v>
      </c>
      <c r="I878">
        <v>1</v>
      </c>
      <c r="J878" t="s">
        <v>35</v>
      </c>
      <c r="K878">
        <v>14834</v>
      </c>
      <c r="L878" t="s">
        <v>36</v>
      </c>
      <c r="M878" t="s">
        <v>54</v>
      </c>
      <c r="N878" t="s">
        <v>27</v>
      </c>
      <c r="O878" s="2">
        <v>45567</v>
      </c>
      <c r="P878" s="2">
        <v>45567.041666666664</v>
      </c>
      <c r="Q878" s="38">
        <f t="shared" si="13"/>
        <v>4.1666666664241347E-2</v>
      </c>
      <c r="R878" t="s">
        <v>55</v>
      </c>
      <c r="S878" t="s">
        <v>29</v>
      </c>
      <c r="T878" t="s">
        <v>43</v>
      </c>
      <c r="U878">
        <v>8</v>
      </c>
      <c r="V878">
        <v>8</v>
      </c>
      <c r="W878" s="18">
        <f>IFERROR(Table1[[#This Row],[Staff Hours Worked]]/Table1[[#This Row],[Staff Available Hours]],0)</f>
        <v>1</v>
      </c>
      <c r="X878" t="s">
        <v>68</v>
      </c>
    </row>
    <row r="879" spans="1:24">
      <c r="A879" t="s">
        <v>936</v>
      </c>
      <c r="B879">
        <v>6</v>
      </c>
      <c r="C879" t="str" cm="1">
        <f t="array" ref="C879">_xlfn.IFS(B879&lt;=18,"0-18",B879&lt;=35,"19-35",B879&lt;=50,"36-50",B879&lt;=65,"51-65","True","65+")</f>
        <v>0-18</v>
      </c>
      <c r="D879" t="s">
        <v>41</v>
      </c>
      <c r="E879" s="6">
        <v>45009</v>
      </c>
      <c r="F879" s="6">
        <v>45050</v>
      </c>
      <c r="G879">
        <v>12</v>
      </c>
      <c r="H879" t="s">
        <v>57</v>
      </c>
      <c r="I879">
        <v>1</v>
      </c>
      <c r="J879" t="s">
        <v>35</v>
      </c>
      <c r="K879">
        <v>41656</v>
      </c>
      <c r="L879" t="s">
        <v>60</v>
      </c>
      <c r="M879" t="s">
        <v>26</v>
      </c>
      <c r="N879" t="s">
        <v>27</v>
      </c>
      <c r="O879" s="2">
        <v>45007</v>
      </c>
      <c r="P879" s="2">
        <v>45008.125</v>
      </c>
      <c r="Q879" s="38">
        <f t="shared" si="13"/>
        <v>1.125</v>
      </c>
      <c r="R879" t="s">
        <v>28</v>
      </c>
      <c r="S879" t="s">
        <v>29</v>
      </c>
      <c r="T879" t="s">
        <v>47</v>
      </c>
      <c r="U879">
        <v>5</v>
      </c>
      <c r="V879">
        <v>10</v>
      </c>
      <c r="W879" s="18">
        <f>IFERROR(Table1[[#This Row],[Staff Hours Worked]]/Table1[[#This Row],[Staff Available Hours]],0)</f>
        <v>0.5</v>
      </c>
      <c r="X879" t="s">
        <v>31</v>
      </c>
    </row>
    <row r="880" spans="1:24">
      <c r="A880" t="s">
        <v>937</v>
      </c>
      <c r="B880">
        <v>52</v>
      </c>
      <c r="C880" t="str" cm="1">
        <f t="array" ref="C880">_xlfn.IFS(B880&lt;=18,"0-18",B880&lt;=35,"19-35",B880&lt;=50,"36-50",B880&lt;=65,"51-65","True","65+")</f>
        <v>51-65</v>
      </c>
      <c r="D880" t="s">
        <v>33</v>
      </c>
      <c r="E880" s="6">
        <v>44997</v>
      </c>
      <c r="F880" s="6">
        <v>45242</v>
      </c>
      <c r="G880">
        <v>8</v>
      </c>
      <c r="H880" t="s">
        <v>34</v>
      </c>
      <c r="I880">
        <v>3</v>
      </c>
      <c r="J880" t="s">
        <v>66</v>
      </c>
      <c r="K880">
        <v>5840</v>
      </c>
      <c r="L880" t="s">
        <v>53</v>
      </c>
      <c r="M880" t="s">
        <v>26</v>
      </c>
      <c r="N880" t="s">
        <v>27</v>
      </c>
      <c r="O880" s="2">
        <v>45260</v>
      </c>
      <c r="P880" s="2">
        <v>45260.083333333336</v>
      </c>
      <c r="Q880" s="38">
        <f t="shared" si="13"/>
        <v>8.3333333335758653E-2</v>
      </c>
      <c r="R880" t="s">
        <v>28</v>
      </c>
      <c r="S880" t="s">
        <v>29</v>
      </c>
      <c r="T880" t="s">
        <v>30</v>
      </c>
      <c r="U880">
        <v>8</v>
      </c>
      <c r="V880">
        <v>12</v>
      </c>
      <c r="W880" s="18">
        <f>IFERROR(Table1[[#This Row],[Staff Hours Worked]]/Table1[[#This Row],[Staff Available Hours]],0)</f>
        <v>0.66666666666666663</v>
      </c>
      <c r="X880" t="s">
        <v>31</v>
      </c>
    </row>
    <row r="881" spans="1:24">
      <c r="A881" t="s">
        <v>938</v>
      </c>
      <c r="B881">
        <v>26</v>
      </c>
      <c r="C881" t="str" cm="1">
        <f t="array" ref="C881">_xlfn.IFS(B881&lt;=18,"0-18",B881&lt;=35,"19-35",B881&lt;=50,"36-50",B881&lt;=65,"51-65","True","65+")</f>
        <v>19-35</v>
      </c>
      <c r="D881" t="s">
        <v>41</v>
      </c>
      <c r="E881" s="6">
        <v>45316</v>
      </c>
      <c r="F881" s="6">
        <v>45414</v>
      </c>
      <c r="G881">
        <v>11</v>
      </c>
      <c r="H881" t="s">
        <v>23</v>
      </c>
      <c r="I881">
        <v>5</v>
      </c>
      <c r="J881" t="s">
        <v>24</v>
      </c>
      <c r="K881">
        <v>18873</v>
      </c>
      <c r="L881" t="s">
        <v>60</v>
      </c>
      <c r="M881" t="s">
        <v>26</v>
      </c>
      <c r="N881" t="s">
        <v>27</v>
      </c>
      <c r="O881" s="2">
        <v>45311</v>
      </c>
      <c r="P881" s="2">
        <v>45311.625</v>
      </c>
      <c r="Q881" s="38">
        <f t="shared" si="13"/>
        <v>0.625</v>
      </c>
      <c r="R881" t="s">
        <v>42</v>
      </c>
      <c r="S881" t="s">
        <v>29</v>
      </c>
      <c r="T881" t="s">
        <v>47</v>
      </c>
      <c r="U881">
        <v>10</v>
      </c>
      <c r="V881">
        <v>10</v>
      </c>
      <c r="W881" s="18">
        <f>IFERROR(Table1[[#This Row],[Staff Hours Worked]]/Table1[[#This Row],[Staff Available Hours]],0)</f>
        <v>1</v>
      </c>
      <c r="X881" t="s">
        <v>48</v>
      </c>
    </row>
    <row r="882" spans="1:24">
      <c r="A882" t="s">
        <v>939</v>
      </c>
      <c r="B882">
        <v>64</v>
      </c>
      <c r="C882" t="str" cm="1">
        <f t="array" ref="C882">_xlfn.IFS(B882&lt;=18,"0-18",B882&lt;=35,"19-35",B882&lt;=50,"36-50",B882&lt;=65,"51-65","True","65+")</f>
        <v>51-65</v>
      </c>
      <c r="D882" t="s">
        <v>52</v>
      </c>
      <c r="E882" s="6">
        <v>45251</v>
      </c>
      <c r="F882" s="6">
        <v>45254</v>
      </c>
      <c r="G882">
        <v>3</v>
      </c>
      <c r="H882" t="s">
        <v>34</v>
      </c>
      <c r="I882">
        <v>5</v>
      </c>
      <c r="J882" t="s">
        <v>71</v>
      </c>
      <c r="K882">
        <v>36568</v>
      </c>
      <c r="L882" t="s">
        <v>67</v>
      </c>
      <c r="M882" t="s">
        <v>26</v>
      </c>
      <c r="N882" t="s">
        <v>27</v>
      </c>
      <c r="O882" s="2">
        <v>45246</v>
      </c>
      <c r="P882" s="2">
        <v>45247.458333333336</v>
      </c>
      <c r="Q882" s="38">
        <f t="shared" si="13"/>
        <v>1.4583333333357587</v>
      </c>
      <c r="R882" t="s">
        <v>42</v>
      </c>
      <c r="S882" t="s">
        <v>29</v>
      </c>
      <c r="T882" t="s">
        <v>47</v>
      </c>
      <c r="U882">
        <v>9</v>
      </c>
      <c r="V882">
        <v>10</v>
      </c>
      <c r="W882" s="18">
        <f>IFERROR(Table1[[#This Row],[Staff Hours Worked]]/Table1[[#This Row],[Staff Available Hours]],0)</f>
        <v>0.9</v>
      </c>
      <c r="X882" t="s">
        <v>31</v>
      </c>
    </row>
    <row r="883" spans="1:24">
      <c r="A883" t="s">
        <v>940</v>
      </c>
      <c r="B883">
        <v>59</v>
      </c>
      <c r="C883" t="str" cm="1">
        <f t="array" ref="C883">_xlfn.IFS(B883&lt;=18,"0-18",B883&lt;=35,"19-35",B883&lt;=50,"36-50",B883&lt;=65,"51-65","True","65+")</f>
        <v>51-65</v>
      </c>
      <c r="D883" t="s">
        <v>62</v>
      </c>
      <c r="E883" s="6">
        <v>45426</v>
      </c>
      <c r="F883" s="6">
        <v>45439</v>
      </c>
      <c r="G883">
        <v>13</v>
      </c>
      <c r="H883" t="s">
        <v>23</v>
      </c>
      <c r="I883">
        <v>3</v>
      </c>
      <c r="J883" t="s">
        <v>24</v>
      </c>
      <c r="K883">
        <v>15846</v>
      </c>
      <c r="L883" t="s">
        <v>60</v>
      </c>
      <c r="M883" t="s">
        <v>54</v>
      </c>
      <c r="N883" t="s">
        <v>27</v>
      </c>
      <c r="O883" s="2">
        <v>45540</v>
      </c>
      <c r="P883" s="2">
        <v>45540.958333333336</v>
      </c>
      <c r="Q883" s="38">
        <f t="shared" si="13"/>
        <v>0.95833333333575865</v>
      </c>
      <c r="R883" t="s">
        <v>42</v>
      </c>
      <c r="S883" t="s">
        <v>29</v>
      </c>
      <c r="T883" t="s">
        <v>47</v>
      </c>
      <c r="U883">
        <v>4</v>
      </c>
      <c r="V883">
        <v>10</v>
      </c>
      <c r="W883" s="18">
        <f>IFERROR(Table1[[#This Row],[Staff Hours Worked]]/Table1[[#This Row],[Staff Available Hours]],0)</f>
        <v>0.4</v>
      </c>
      <c r="X883" t="s">
        <v>68</v>
      </c>
    </row>
    <row r="884" spans="1:24">
      <c r="A884" t="s">
        <v>941</v>
      </c>
      <c r="B884">
        <v>56</v>
      </c>
      <c r="C884" t="str" cm="1">
        <f t="array" ref="C884">_xlfn.IFS(B884&lt;=18,"0-18",B884&lt;=35,"19-35",B884&lt;=50,"36-50",B884&lt;=65,"51-65","True","65+")</f>
        <v>51-65</v>
      </c>
      <c r="D884" t="s">
        <v>33</v>
      </c>
      <c r="E884" s="6">
        <v>45079</v>
      </c>
      <c r="F884" s="6">
        <v>45171</v>
      </c>
      <c r="G884">
        <v>3</v>
      </c>
      <c r="H884" t="s">
        <v>63</v>
      </c>
      <c r="I884">
        <v>4</v>
      </c>
      <c r="J884" t="s">
        <v>35</v>
      </c>
      <c r="K884">
        <v>10899</v>
      </c>
      <c r="L884" t="s">
        <v>25</v>
      </c>
      <c r="M884" t="s">
        <v>54</v>
      </c>
      <c r="N884" t="s">
        <v>27</v>
      </c>
      <c r="O884" s="2">
        <v>44987</v>
      </c>
      <c r="P884" s="2">
        <v>45018.708333333336</v>
      </c>
      <c r="Q884" s="38">
        <f t="shared" si="13"/>
        <v>31.708333333335759</v>
      </c>
      <c r="R884" t="s">
        <v>37</v>
      </c>
      <c r="S884" t="s">
        <v>29</v>
      </c>
      <c r="T884" t="s">
        <v>43</v>
      </c>
      <c r="U884">
        <v>10</v>
      </c>
      <c r="V884">
        <v>10</v>
      </c>
      <c r="W884" s="18">
        <f>IFERROR(Table1[[#This Row],[Staff Hours Worked]]/Table1[[#This Row],[Staff Available Hours]],0)</f>
        <v>1</v>
      </c>
      <c r="X884" t="s">
        <v>48</v>
      </c>
    </row>
    <row r="885" spans="1:24">
      <c r="A885" t="s">
        <v>942</v>
      </c>
      <c r="B885">
        <v>59</v>
      </c>
      <c r="C885" t="str" cm="1">
        <f t="array" ref="C885">_xlfn.IFS(B885&lt;=18,"0-18",B885&lt;=35,"19-35",B885&lt;=50,"36-50",B885&lt;=65,"51-65","True","65+")</f>
        <v>51-65</v>
      </c>
      <c r="D885" t="s">
        <v>62</v>
      </c>
      <c r="E885" s="6">
        <v>45263</v>
      </c>
      <c r="F885" s="6">
        <v>44999</v>
      </c>
      <c r="G885">
        <v>2</v>
      </c>
      <c r="H885" t="s">
        <v>57</v>
      </c>
      <c r="I885">
        <v>1</v>
      </c>
      <c r="J885" t="s">
        <v>24</v>
      </c>
      <c r="K885">
        <v>25502</v>
      </c>
      <c r="L885" t="s">
        <v>25</v>
      </c>
      <c r="M885" t="s">
        <v>54</v>
      </c>
      <c r="N885" t="s">
        <v>27</v>
      </c>
      <c r="O885" s="2">
        <v>45172</v>
      </c>
      <c r="P885" s="2">
        <v>45202.875</v>
      </c>
      <c r="Q885" s="38">
        <f t="shared" si="13"/>
        <v>30.875</v>
      </c>
      <c r="R885" t="s">
        <v>42</v>
      </c>
      <c r="S885" t="s">
        <v>29</v>
      </c>
      <c r="T885" t="s">
        <v>30</v>
      </c>
      <c r="U885">
        <v>4</v>
      </c>
      <c r="V885">
        <v>8</v>
      </c>
      <c r="W885" s="18">
        <f>IFERROR(Table1[[#This Row],[Staff Hours Worked]]/Table1[[#This Row],[Staff Available Hours]],0)</f>
        <v>0.5</v>
      </c>
      <c r="X885" t="s">
        <v>48</v>
      </c>
    </row>
    <row r="886" spans="1:24">
      <c r="A886" t="s">
        <v>943</v>
      </c>
      <c r="B886">
        <v>70</v>
      </c>
      <c r="C886" t="str" cm="1">
        <f t="array" ref="C886">_xlfn.IFS(B886&lt;=18,"0-18",B886&lt;=35,"19-35",B886&lt;=50,"36-50",B886&lt;=65,"51-65","True","65+")</f>
        <v>65+</v>
      </c>
      <c r="D886" t="s">
        <v>33</v>
      </c>
      <c r="E886" s="6">
        <v>45167</v>
      </c>
      <c r="F886" s="6">
        <v>45208</v>
      </c>
      <c r="G886">
        <v>12</v>
      </c>
      <c r="H886" t="s">
        <v>34</v>
      </c>
      <c r="I886">
        <v>1</v>
      </c>
      <c r="J886" t="s">
        <v>35</v>
      </c>
      <c r="K886">
        <v>5565</v>
      </c>
      <c r="L886" t="s">
        <v>36</v>
      </c>
      <c r="M886" t="s">
        <v>26</v>
      </c>
      <c r="N886" t="s">
        <v>27</v>
      </c>
      <c r="O886" s="2">
        <v>45166</v>
      </c>
      <c r="P886" s="2">
        <v>45166.041666666664</v>
      </c>
      <c r="Q886" s="38">
        <f t="shared" si="13"/>
        <v>4.1666666664241347E-2</v>
      </c>
      <c r="R886" t="s">
        <v>28</v>
      </c>
      <c r="S886" t="s">
        <v>29</v>
      </c>
      <c r="T886" t="s">
        <v>43</v>
      </c>
      <c r="U886">
        <v>7</v>
      </c>
      <c r="V886">
        <v>12</v>
      </c>
      <c r="W886" s="18">
        <f>IFERROR(Table1[[#This Row],[Staff Hours Worked]]/Table1[[#This Row],[Staff Available Hours]],0)</f>
        <v>0.58333333333333337</v>
      </c>
      <c r="X886" t="s">
        <v>31</v>
      </c>
    </row>
    <row r="887" spans="1:24">
      <c r="A887" t="s">
        <v>944</v>
      </c>
      <c r="B887">
        <v>33</v>
      </c>
      <c r="C887" t="str" cm="1">
        <f t="array" ref="C887">_xlfn.IFS(B887&lt;=18,"0-18",B887&lt;=35,"19-35",B887&lt;=50,"36-50",B887&lt;=65,"51-65","True","65+")</f>
        <v>19-35</v>
      </c>
      <c r="D887" t="s">
        <v>62</v>
      </c>
      <c r="E887" s="6">
        <v>45221</v>
      </c>
      <c r="F887" s="6">
        <v>45027</v>
      </c>
      <c r="G887">
        <v>13</v>
      </c>
      <c r="H887" t="s">
        <v>23</v>
      </c>
      <c r="I887">
        <v>3</v>
      </c>
      <c r="J887" t="s">
        <v>24</v>
      </c>
      <c r="K887">
        <v>43773</v>
      </c>
      <c r="L887" t="s">
        <v>36</v>
      </c>
      <c r="M887" t="s">
        <v>54</v>
      </c>
      <c r="N887" t="s">
        <v>41</v>
      </c>
      <c r="O887" s="2">
        <v>45216</v>
      </c>
      <c r="P887" s="2">
        <v>45216.916666666664</v>
      </c>
      <c r="Q887" s="38">
        <f t="shared" si="13"/>
        <v>0.91666666666424135</v>
      </c>
      <c r="R887" t="s">
        <v>64</v>
      </c>
      <c r="S887" t="s">
        <v>29</v>
      </c>
      <c r="T887" t="s">
        <v>30</v>
      </c>
      <c r="U887">
        <v>5</v>
      </c>
      <c r="V887">
        <v>10</v>
      </c>
      <c r="W887" s="18">
        <f>IFERROR(Table1[[#This Row],[Staff Hours Worked]]/Table1[[#This Row],[Staff Available Hours]],0)</f>
        <v>0.5</v>
      </c>
      <c r="X887" t="s">
        <v>48</v>
      </c>
    </row>
    <row r="888" spans="1:24">
      <c r="A888" t="s">
        <v>945</v>
      </c>
      <c r="B888">
        <v>53</v>
      </c>
      <c r="C888" t="str" cm="1">
        <f t="array" ref="C888">_xlfn.IFS(B888&lt;=18,"0-18",B888&lt;=35,"19-35",B888&lt;=50,"36-50",B888&lt;=65,"51-65","True","65+")</f>
        <v>51-65</v>
      </c>
      <c r="D888" t="s">
        <v>22</v>
      </c>
      <c r="E888" s="6">
        <v>45159</v>
      </c>
      <c r="F888" s="6">
        <v>45167</v>
      </c>
      <c r="G888">
        <v>8</v>
      </c>
      <c r="H888" t="s">
        <v>23</v>
      </c>
      <c r="I888">
        <v>3</v>
      </c>
      <c r="J888" t="s">
        <v>66</v>
      </c>
      <c r="K888">
        <v>46924</v>
      </c>
      <c r="L888" t="s">
        <v>36</v>
      </c>
      <c r="M888" t="s">
        <v>54</v>
      </c>
      <c r="N888" t="s">
        <v>27</v>
      </c>
      <c r="O888" s="2">
        <v>45157</v>
      </c>
      <c r="P888" s="2">
        <v>45157.041666666664</v>
      </c>
      <c r="Q888" s="38">
        <f t="shared" si="13"/>
        <v>4.1666666664241347E-2</v>
      </c>
      <c r="R888" t="s">
        <v>42</v>
      </c>
      <c r="S888" t="s">
        <v>29</v>
      </c>
      <c r="T888" t="s">
        <v>30</v>
      </c>
      <c r="U888">
        <v>9</v>
      </c>
      <c r="V888">
        <v>12</v>
      </c>
      <c r="W888" s="18">
        <f>IFERROR(Table1[[#This Row],[Staff Hours Worked]]/Table1[[#This Row],[Staff Available Hours]],0)</f>
        <v>0.75</v>
      </c>
      <c r="X888" t="s">
        <v>31</v>
      </c>
    </row>
    <row r="889" spans="1:24">
      <c r="A889" t="s">
        <v>946</v>
      </c>
      <c r="B889">
        <v>22</v>
      </c>
      <c r="C889" t="str" cm="1">
        <f t="array" ref="C889">_xlfn.IFS(B889&lt;=18,"0-18",B889&lt;=35,"19-35",B889&lt;=50,"36-50",B889&lt;=65,"51-65","True","65+")</f>
        <v>19-35</v>
      </c>
      <c r="D889" t="s">
        <v>62</v>
      </c>
      <c r="E889" s="6">
        <v>44989</v>
      </c>
      <c r="F889" s="6">
        <v>45020</v>
      </c>
      <c r="G889">
        <v>1</v>
      </c>
      <c r="H889" t="s">
        <v>23</v>
      </c>
      <c r="I889">
        <v>4</v>
      </c>
      <c r="J889" t="s">
        <v>46</v>
      </c>
      <c r="K889">
        <v>48242</v>
      </c>
      <c r="L889" t="s">
        <v>53</v>
      </c>
      <c r="M889" t="s">
        <v>54</v>
      </c>
      <c r="N889" t="s">
        <v>41</v>
      </c>
      <c r="O889" s="2">
        <v>44961</v>
      </c>
      <c r="P889" s="2">
        <v>44989.791666666664</v>
      </c>
      <c r="Q889" s="38">
        <f t="shared" si="13"/>
        <v>28.791666666664241</v>
      </c>
      <c r="R889" t="s">
        <v>42</v>
      </c>
      <c r="S889" t="s">
        <v>29</v>
      </c>
      <c r="T889" t="s">
        <v>43</v>
      </c>
      <c r="U889">
        <v>5</v>
      </c>
      <c r="V889">
        <v>8</v>
      </c>
      <c r="W889" s="18">
        <f>IFERROR(Table1[[#This Row],[Staff Hours Worked]]/Table1[[#This Row],[Staff Available Hours]],0)</f>
        <v>0.625</v>
      </c>
      <c r="X889" t="s">
        <v>31</v>
      </c>
    </row>
    <row r="890" spans="1:24">
      <c r="A890" t="s">
        <v>947</v>
      </c>
      <c r="B890">
        <v>21</v>
      </c>
      <c r="C890" t="str" cm="1">
        <f t="array" ref="C890">_xlfn.IFS(B890&lt;=18,"0-18",B890&lt;=35,"19-35",B890&lt;=50,"36-50",B890&lt;=65,"51-65","True","65+")</f>
        <v>19-35</v>
      </c>
      <c r="D890" t="s">
        <v>41</v>
      </c>
      <c r="E890" s="6">
        <v>45371</v>
      </c>
      <c r="F890" s="6">
        <v>45376</v>
      </c>
      <c r="G890">
        <v>5</v>
      </c>
      <c r="H890" t="s">
        <v>40</v>
      </c>
      <c r="I890">
        <v>5</v>
      </c>
      <c r="J890" t="s">
        <v>66</v>
      </c>
      <c r="K890">
        <v>14187</v>
      </c>
      <c r="L890" t="s">
        <v>36</v>
      </c>
      <c r="M890" t="s">
        <v>54</v>
      </c>
      <c r="N890" t="s">
        <v>27</v>
      </c>
      <c r="O890" s="2">
        <v>45370</v>
      </c>
      <c r="P890" s="2">
        <v>45371.041666666664</v>
      </c>
      <c r="Q890" s="38">
        <f t="shared" si="13"/>
        <v>1.0416666666642413</v>
      </c>
      <c r="R890" t="s">
        <v>64</v>
      </c>
      <c r="S890" t="s">
        <v>29</v>
      </c>
      <c r="T890" t="s">
        <v>43</v>
      </c>
      <c r="U890">
        <v>7</v>
      </c>
      <c r="V890">
        <v>12</v>
      </c>
      <c r="W890" s="18">
        <f>IFERROR(Table1[[#This Row],[Staff Hours Worked]]/Table1[[#This Row],[Staff Available Hours]],0)</f>
        <v>0.58333333333333337</v>
      </c>
      <c r="X890" t="s">
        <v>48</v>
      </c>
    </row>
    <row r="891" spans="1:24">
      <c r="A891" t="s">
        <v>948</v>
      </c>
      <c r="B891">
        <v>70</v>
      </c>
      <c r="C891" t="str" cm="1">
        <f t="array" ref="C891">_xlfn.IFS(B891&lt;=18,"0-18",B891&lt;=35,"19-35",B891&lt;=50,"36-50",B891&lt;=65,"51-65","True","65+")</f>
        <v>65+</v>
      </c>
      <c r="D891" t="s">
        <v>22</v>
      </c>
      <c r="E891" s="6">
        <v>45234</v>
      </c>
      <c r="F891" s="6">
        <v>45031</v>
      </c>
      <c r="G891">
        <v>4</v>
      </c>
      <c r="H891" t="s">
        <v>50</v>
      </c>
      <c r="I891">
        <v>2</v>
      </c>
      <c r="J891" t="s">
        <v>66</v>
      </c>
      <c r="K891">
        <v>12226</v>
      </c>
      <c r="L891" t="s">
        <v>53</v>
      </c>
      <c r="M891" t="s">
        <v>54</v>
      </c>
      <c r="N891" t="s">
        <v>27</v>
      </c>
      <c r="O891" s="2">
        <v>45081</v>
      </c>
      <c r="P891" s="2">
        <v>45142</v>
      </c>
      <c r="Q891" s="38">
        <f t="shared" si="13"/>
        <v>61</v>
      </c>
      <c r="R891" t="s">
        <v>28</v>
      </c>
      <c r="S891" t="s">
        <v>29</v>
      </c>
      <c r="T891" t="s">
        <v>30</v>
      </c>
      <c r="U891">
        <v>9</v>
      </c>
      <c r="V891">
        <v>12</v>
      </c>
      <c r="W891" s="18">
        <f>IFERROR(Table1[[#This Row],[Staff Hours Worked]]/Table1[[#This Row],[Staff Available Hours]],0)</f>
        <v>0.75</v>
      </c>
      <c r="X891" t="s">
        <v>31</v>
      </c>
    </row>
    <row r="892" spans="1:24">
      <c r="A892" t="s">
        <v>949</v>
      </c>
      <c r="B892">
        <v>70</v>
      </c>
      <c r="C892" t="str" cm="1">
        <f t="array" ref="C892">_xlfn.IFS(B892&lt;=18,"0-18",B892&lt;=35,"19-35",B892&lt;=50,"36-50",B892&lt;=65,"51-65","True","65+")</f>
        <v>65+</v>
      </c>
      <c r="D892" t="s">
        <v>62</v>
      </c>
      <c r="E892" s="6">
        <v>45029</v>
      </c>
      <c r="F892" s="6">
        <v>45030</v>
      </c>
      <c r="G892">
        <v>1</v>
      </c>
      <c r="H892" t="s">
        <v>63</v>
      </c>
      <c r="I892">
        <v>5</v>
      </c>
      <c r="J892" t="s">
        <v>46</v>
      </c>
      <c r="K892">
        <v>47147</v>
      </c>
      <c r="L892" t="s">
        <v>36</v>
      </c>
      <c r="M892" t="s">
        <v>54</v>
      </c>
      <c r="N892" t="s">
        <v>27</v>
      </c>
      <c r="O892" s="2">
        <v>45173</v>
      </c>
      <c r="P892" s="2">
        <v>45203.958333333336</v>
      </c>
      <c r="Q892" s="38">
        <f t="shared" si="13"/>
        <v>30.958333333335759</v>
      </c>
      <c r="R892" t="s">
        <v>37</v>
      </c>
      <c r="S892" t="s">
        <v>29</v>
      </c>
      <c r="T892" t="s">
        <v>30</v>
      </c>
      <c r="U892">
        <v>11</v>
      </c>
      <c r="V892">
        <v>8</v>
      </c>
      <c r="W892" s="18">
        <f>IFERROR(Table1[[#This Row],[Staff Hours Worked]]/Table1[[#This Row],[Staff Available Hours]],0)</f>
        <v>1.375</v>
      </c>
      <c r="X892" t="s">
        <v>31</v>
      </c>
    </row>
    <row r="893" spans="1:24">
      <c r="A893" t="s">
        <v>950</v>
      </c>
      <c r="B893">
        <v>4</v>
      </c>
      <c r="C893" t="str" cm="1">
        <f t="array" ref="C893">_xlfn.IFS(B893&lt;=18,"0-18",B893&lt;=35,"19-35",B893&lt;=50,"36-50",B893&lt;=65,"51-65","True","65+")</f>
        <v>0-18</v>
      </c>
      <c r="D893" t="s">
        <v>33</v>
      </c>
      <c r="E893" s="6">
        <v>45381</v>
      </c>
      <c r="F893" s="6">
        <v>45630</v>
      </c>
      <c r="G893">
        <v>13</v>
      </c>
      <c r="H893" t="s">
        <v>34</v>
      </c>
      <c r="I893">
        <v>1</v>
      </c>
      <c r="J893" t="s">
        <v>46</v>
      </c>
      <c r="K893">
        <v>43658</v>
      </c>
      <c r="L893" t="s">
        <v>53</v>
      </c>
      <c r="M893" t="s">
        <v>54</v>
      </c>
      <c r="N893" t="s">
        <v>27</v>
      </c>
      <c r="O893" s="2">
        <v>45378</v>
      </c>
      <c r="P893" s="2">
        <v>45378.833333333336</v>
      </c>
      <c r="Q893" s="38">
        <f t="shared" si="13"/>
        <v>0.83333333333575865</v>
      </c>
      <c r="R893" t="s">
        <v>42</v>
      </c>
      <c r="S893" t="s">
        <v>29</v>
      </c>
      <c r="T893" t="s">
        <v>30</v>
      </c>
      <c r="U893">
        <v>9</v>
      </c>
      <c r="V893">
        <v>10</v>
      </c>
      <c r="W893" s="18">
        <f>IFERROR(Table1[[#This Row],[Staff Hours Worked]]/Table1[[#This Row],[Staff Available Hours]],0)</f>
        <v>0.9</v>
      </c>
      <c r="X893" t="s">
        <v>31</v>
      </c>
    </row>
    <row r="894" spans="1:24">
      <c r="A894" t="s">
        <v>951</v>
      </c>
      <c r="B894">
        <v>75</v>
      </c>
      <c r="C894" t="str" cm="1">
        <f t="array" ref="C894">_xlfn.IFS(B894&lt;=18,"0-18",B894&lt;=35,"19-35",B894&lt;=50,"36-50",B894&lt;=65,"51-65","True","65+")</f>
        <v>65+</v>
      </c>
      <c r="D894" t="s">
        <v>33</v>
      </c>
      <c r="E894" s="6">
        <v>45097</v>
      </c>
      <c r="F894" s="6">
        <v>45101</v>
      </c>
      <c r="G894">
        <v>4</v>
      </c>
      <c r="H894" t="s">
        <v>40</v>
      </c>
      <c r="I894">
        <v>3</v>
      </c>
      <c r="J894" t="s">
        <v>71</v>
      </c>
      <c r="K894">
        <v>9311</v>
      </c>
      <c r="L894" t="s">
        <v>60</v>
      </c>
      <c r="M894" t="s">
        <v>54</v>
      </c>
      <c r="N894" t="s">
        <v>27</v>
      </c>
      <c r="O894" s="2">
        <v>45096</v>
      </c>
      <c r="P894" s="2">
        <v>45096.291666666664</v>
      </c>
      <c r="Q894" s="38">
        <f t="shared" si="13"/>
        <v>0.29166666666424135</v>
      </c>
      <c r="R894" t="s">
        <v>64</v>
      </c>
      <c r="S894" t="s">
        <v>29</v>
      </c>
      <c r="T894" t="s">
        <v>47</v>
      </c>
      <c r="U894">
        <v>4</v>
      </c>
      <c r="V894">
        <v>12</v>
      </c>
      <c r="W894" s="18">
        <f>IFERROR(Table1[[#This Row],[Staff Hours Worked]]/Table1[[#This Row],[Staff Available Hours]],0)</f>
        <v>0.33333333333333331</v>
      </c>
      <c r="X894" t="s">
        <v>31</v>
      </c>
    </row>
    <row r="895" spans="1:24">
      <c r="A895" t="s">
        <v>952</v>
      </c>
      <c r="B895">
        <v>62</v>
      </c>
      <c r="C895" t="str" cm="1">
        <f t="array" ref="C895">_xlfn.IFS(B895&lt;=18,"0-18",B895&lt;=35,"19-35",B895&lt;=50,"36-50",B895&lt;=65,"51-65","True","65+")</f>
        <v>51-65</v>
      </c>
      <c r="D895" t="s">
        <v>33</v>
      </c>
      <c r="E895" s="6">
        <v>44996</v>
      </c>
      <c r="F895" s="6">
        <v>45248</v>
      </c>
      <c r="G895">
        <v>15</v>
      </c>
      <c r="H895" t="s">
        <v>34</v>
      </c>
      <c r="I895">
        <v>4</v>
      </c>
      <c r="J895" t="s">
        <v>71</v>
      </c>
      <c r="K895">
        <v>49214</v>
      </c>
      <c r="L895" t="s">
        <v>60</v>
      </c>
      <c r="M895" t="s">
        <v>54</v>
      </c>
      <c r="N895" t="s">
        <v>27</v>
      </c>
      <c r="O895" s="2">
        <v>45229</v>
      </c>
      <c r="P895" s="2">
        <v>45229.583333333336</v>
      </c>
      <c r="Q895" s="38">
        <f t="shared" si="13"/>
        <v>0.58333333333575865</v>
      </c>
      <c r="R895" t="s">
        <v>28</v>
      </c>
      <c r="S895" t="s">
        <v>29</v>
      </c>
      <c r="T895" t="s">
        <v>30</v>
      </c>
      <c r="U895">
        <v>4</v>
      </c>
      <c r="V895">
        <v>12</v>
      </c>
      <c r="W895" s="18">
        <f>IFERROR(Table1[[#This Row],[Staff Hours Worked]]/Table1[[#This Row],[Staff Available Hours]],0)</f>
        <v>0.33333333333333331</v>
      </c>
      <c r="X895" t="s">
        <v>48</v>
      </c>
    </row>
    <row r="896" spans="1:24">
      <c r="A896" t="s">
        <v>953</v>
      </c>
      <c r="B896">
        <v>62</v>
      </c>
      <c r="C896" t="str" cm="1">
        <f t="array" ref="C896">_xlfn.IFS(B896&lt;=18,"0-18",B896&lt;=35,"19-35",B896&lt;=50,"36-50",B896&lt;=65,"51-65","True","65+")</f>
        <v>51-65</v>
      </c>
      <c r="D896" t="s">
        <v>45</v>
      </c>
      <c r="E896" s="6">
        <v>44956</v>
      </c>
      <c r="F896" s="6">
        <v>44957</v>
      </c>
      <c r="G896">
        <v>1</v>
      </c>
      <c r="H896" t="s">
        <v>34</v>
      </c>
      <c r="I896">
        <v>5</v>
      </c>
      <c r="J896" t="s">
        <v>66</v>
      </c>
      <c r="K896">
        <v>46616</v>
      </c>
      <c r="L896" t="s">
        <v>25</v>
      </c>
      <c r="M896" t="s">
        <v>54</v>
      </c>
      <c r="N896" t="s">
        <v>41</v>
      </c>
      <c r="O896" s="2">
        <v>44951</v>
      </c>
      <c r="P896" s="2">
        <v>44952.416666666664</v>
      </c>
      <c r="Q896" s="38">
        <f t="shared" si="13"/>
        <v>1.4166666666642413</v>
      </c>
      <c r="R896" t="s">
        <v>55</v>
      </c>
      <c r="S896" t="s">
        <v>29</v>
      </c>
      <c r="T896" t="s">
        <v>43</v>
      </c>
      <c r="U896">
        <v>4</v>
      </c>
      <c r="V896">
        <v>10</v>
      </c>
      <c r="W896" s="18">
        <f>IFERROR(Table1[[#This Row],[Staff Hours Worked]]/Table1[[#This Row],[Staff Available Hours]],0)</f>
        <v>0.4</v>
      </c>
      <c r="X896" t="s">
        <v>68</v>
      </c>
    </row>
    <row r="897" spans="1:24">
      <c r="A897" t="s">
        <v>954</v>
      </c>
      <c r="B897">
        <v>24</v>
      </c>
      <c r="C897" t="str" cm="1">
        <f t="array" ref="C897">_xlfn.IFS(B897&lt;=18,"0-18",B897&lt;=35,"19-35",B897&lt;=50,"36-50",B897&lt;=65,"51-65","True","65+")</f>
        <v>19-35</v>
      </c>
      <c r="D897" t="s">
        <v>52</v>
      </c>
      <c r="E897" s="6">
        <v>44974</v>
      </c>
      <c r="F897" s="6">
        <v>44980</v>
      </c>
      <c r="G897">
        <v>6</v>
      </c>
      <c r="H897" t="s">
        <v>57</v>
      </c>
      <c r="I897">
        <v>4</v>
      </c>
      <c r="J897" t="s">
        <v>66</v>
      </c>
      <c r="K897">
        <v>30689</v>
      </c>
      <c r="L897" t="s">
        <v>53</v>
      </c>
      <c r="M897" t="s">
        <v>54</v>
      </c>
      <c r="N897" t="s">
        <v>41</v>
      </c>
      <c r="O897" s="2">
        <v>44974</v>
      </c>
      <c r="P897" s="2">
        <v>44974.666666666664</v>
      </c>
      <c r="Q897" s="38">
        <f t="shared" si="13"/>
        <v>0.66666666666424135</v>
      </c>
      <c r="R897" t="s">
        <v>37</v>
      </c>
      <c r="S897" t="s">
        <v>29</v>
      </c>
      <c r="T897" t="s">
        <v>43</v>
      </c>
      <c r="U897">
        <v>8</v>
      </c>
      <c r="V897">
        <v>10</v>
      </c>
      <c r="W897" s="18">
        <f>IFERROR(Table1[[#This Row],[Staff Hours Worked]]/Table1[[#This Row],[Staff Available Hours]],0)</f>
        <v>0.8</v>
      </c>
      <c r="X897" t="s">
        <v>68</v>
      </c>
    </row>
    <row r="898" spans="1:24">
      <c r="A898" t="s">
        <v>955</v>
      </c>
      <c r="B898">
        <v>55</v>
      </c>
      <c r="C898" t="str" cm="1">
        <f t="array" ref="C898">_xlfn.IFS(B898&lt;=18,"0-18",B898&lt;=35,"19-35",B898&lt;=50,"36-50",B898&lt;=65,"51-65","True","65+")</f>
        <v>51-65</v>
      </c>
      <c r="D898" t="s">
        <v>33</v>
      </c>
      <c r="E898" s="6">
        <v>45259</v>
      </c>
      <c r="F898" s="6">
        <v>45274</v>
      </c>
      <c r="G898">
        <v>15</v>
      </c>
      <c r="H898" t="s">
        <v>57</v>
      </c>
      <c r="I898">
        <v>5</v>
      </c>
      <c r="J898" t="s">
        <v>35</v>
      </c>
      <c r="K898">
        <v>11083</v>
      </c>
      <c r="L898" t="s">
        <v>67</v>
      </c>
      <c r="M898" t="s">
        <v>26</v>
      </c>
      <c r="N898" t="s">
        <v>41</v>
      </c>
      <c r="O898" s="2">
        <v>45255</v>
      </c>
      <c r="P898" s="2">
        <v>45256.125</v>
      </c>
      <c r="Q898" s="38">
        <f t="shared" ref="Q898:Q961" si="14">IF(OR(O898="",P898=""),"",ABS(P898-O898))</f>
        <v>1.125</v>
      </c>
      <c r="R898" t="s">
        <v>64</v>
      </c>
      <c r="S898" t="s">
        <v>29</v>
      </c>
      <c r="T898" t="s">
        <v>43</v>
      </c>
      <c r="U898">
        <v>11</v>
      </c>
      <c r="V898">
        <v>12</v>
      </c>
      <c r="W898" s="18">
        <f>IFERROR(Table1[[#This Row],[Staff Hours Worked]]/Table1[[#This Row],[Staff Available Hours]],0)</f>
        <v>0.91666666666666663</v>
      </c>
      <c r="X898" t="s">
        <v>31</v>
      </c>
    </row>
    <row r="899" spans="1:24">
      <c r="A899" t="s">
        <v>956</v>
      </c>
      <c r="B899">
        <v>9</v>
      </c>
      <c r="C899" t="str" cm="1">
        <f t="array" ref="C899">_xlfn.IFS(B899&lt;=18,"0-18",B899&lt;=35,"19-35",B899&lt;=50,"36-50",B899&lt;=65,"51-65","True","65+")</f>
        <v>0-18</v>
      </c>
      <c r="D899" t="s">
        <v>22</v>
      </c>
      <c r="E899" s="6">
        <v>44984</v>
      </c>
      <c r="F899" s="6">
        <v>45019</v>
      </c>
      <c r="G899">
        <v>5</v>
      </c>
      <c r="H899" t="s">
        <v>57</v>
      </c>
      <c r="I899">
        <v>1</v>
      </c>
      <c r="J899" t="s">
        <v>35</v>
      </c>
      <c r="K899">
        <v>17598</v>
      </c>
      <c r="L899" t="s">
        <v>25</v>
      </c>
      <c r="M899" t="s">
        <v>54</v>
      </c>
      <c r="N899" t="s">
        <v>27</v>
      </c>
      <c r="O899" s="2">
        <v>44984</v>
      </c>
      <c r="P899" s="2">
        <v>44985.333333333336</v>
      </c>
      <c r="Q899" s="38">
        <f t="shared" si="14"/>
        <v>1.3333333333357587</v>
      </c>
      <c r="R899" t="s">
        <v>64</v>
      </c>
      <c r="S899" t="s">
        <v>29</v>
      </c>
      <c r="T899" t="s">
        <v>30</v>
      </c>
      <c r="U899">
        <v>6</v>
      </c>
      <c r="V899">
        <v>8</v>
      </c>
      <c r="W899" s="18">
        <f>IFERROR(Table1[[#This Row],[Staff Hours Worked]]/Table1[[#This Row],[Staff Available Hours]],0)</f>
        <v>0.75</v>
      </c>
      <c r="X899" t="s">
        <v>31</v>
      </c>
    </row>
    <row r="900" spans="1:24">
      <c r="A900" t="s">
        <v>957</v>
      </c>
      <c r="B900">
        <v>3</v>
      </c>
      <c r="C900" t="str" cm="1">
        <f t="array" ref="C900">_xlfn.IFS(B900&lt;=18,"0-18",B900&lt;=35,"19-35",B900&lt;=50,"36-50",B900&lt;=65,"51-65","True","65+")</f>
        <v>0-18</v>
      </c>
      <c r="D900" t="s">
        <v>33</v>
      </c>
      <c r="E900" s="6">
        <v>45227</v>
      </c>
      <c r="F900" s="6">
        <v>45088</v>
      </c>
      <c r="G900">
        <v>9</v>
      </c>
      <c r="H900" t="s">
        <v>40</v>
      </c>
      <c r="I900">
        <v>2</v>
      </c>
      <c r="J900" t="s">
        <v>71</v>
      </c>
      <c r="K900">
        <v>21940</v>
      </c>
      <c r="L900" t="s">
        <v>60</v>
      </c>
      <c r="M900" t="s">
        <v>26</v>
      </c>
      <c r="N900" t="s">
        <v>41</v>
      </c>
      <c r="O900" s="2">
        <v>45227</v>
      </c>
      <c r="P900" s="2">
        <v>45227.166666666664</v>
      </c>
      <c r="Q900" s="38">
        <f t="shared" si="14"/>
        <v>0.16666666666424135</v>
      </c>
      <c r="R900" t="s">
        <v>64</v>
      </c>
      <c r="S900" t="s">
        <v>29</v>
      </c>
      <c r="T900" t="s">
        <v>30</v>
      </c>
      <c r="U900">
        <v>10</v>
      </c>
      <c r="V900">
        <v>10</v>
      </c>
      <c r="W900" s="18">
        <f>IFERROR(Table1[[#This Row],[Staff Hours Worked]]/Table1[[#This Row],[Staff Available Hours]],0)</f>
        <v>1</v>
      </c>
      <c r="X900" t="s">
        <v>31</v>
      </c>
    </row>
    <row r="901" spans="1:24">
      <c r="A901" t="s">
        <v>958</v>
      </c>
      <c r="B901">
        <v>31</v>
      </c>
      <c r="C901" t="str" cm="1">
        <f t="array" ref="C901">_xlfn.IFS(B901&lt;=18,"0-18",B901&lt;=35,"19-35",B901&lt;=50,"36-50",B901&lt;=65,"51-65","True","65+")</f>
        <v>19-35</v>
      </c>
      <c r="D901" t="s">
        <v>45</v>
      </c>
      <c r="E901" s="6">
        <v>45352</v>
      </c>
      <c r="F901" s="6">
        <v>45566</v>
      </c>
      <c r="G901">
        <v>7</v>
      </c>
      <c r="H901" t="s">
        <v>34</v>
      </c>
      <c r="I901">
        <v>4</v>
      </c>
      <c r="J901" t="s">
        <v>71</v>
      </c>
      <c r="K901">
        <v>31880</v>
      </c>
      <c r="L901" t="s">
        <v>53</v>
      </c>
      <c r="M901" t="s">
        <v>26</v>
      </c>
      <c r="N901" t="s">
        <v>27</v>
      </c>
      <c r="O901" s="2">
        <v>45289</v>
      </c>
      <c r="P901" s="2">
        <v>45289.416666666664</v>
      </c>
      <c r="Q901" s="38">
        <f t="shared" si="14"/>
        <v>0.41666666666424135</v>
      </c>
      <c r="R901" t="s">
        <v>42</v>
      </c>
      <c r="S901" t="s">
        <v>29</v>
      </c>
      <c r="T901" t="s">
        <v>47</v>
      </c>
      <c r="U901">
        <v>4</v>
      </c>
      <c r="V901">
        <v>10</v>
      </c>
      <c r="W901" s="18">
        <f>IFERROR(Table1[[#This Row],[Staff Hours Worked]]/Table1[[#This Row],[Staff Available Hours]],0)</f>
        <v>0.4</v>
      </c>
      <c r="X901" t="s">
        <v>68</v>
      </c>
    </row>
    <row r="902" spans="1:24">
      <c r="A902" t="s">
        <v>959</v>
      </c>
      <c r="B902">
        <v>40</v>
      </c>
      <c r="C902" t="str" cm="1">
        <f t="array" ref="C902">_xlfn.IFS(B902&lt;=18,"0-18",B902&lt;=35,"19-35",B902&lt;=50,"36-50",B902&lt;=65,"51-65","True","65+")</f>
        <v>36-50</v>
      </c>
      <c r="D902" t="s">
        <v>41</v>
      </c>
      <c r="E902" s="6">
        <v>45310</v>
      </c>
      <c r="F902" s="6">
        <v>45324</v>
      </c>
      <c r="G902">
        <v>14</v>
      </c>
      <c r="H902" t="s">
        <v>50</v>
      </c>
      <c r="I902">
        <v>4</v>
      </c>
      <c r="J902" t="s">
        <v>35</v>
      </c>
      <c r="K902">
        <v>7580</v>
      </c>
      <c r="L902" t="s">
        <v>36</v>
      </c>
      <c r="M902" t="s">
        <v>54</v>
      </c>
      <c r="N902" t="s">
        <v>27</v>
      </c>
      <c r="O902" s="2">
        <v>45310</v>
      </c>
      <c r="P902" s="2">
        <v>45311.916666666664</v>
      </c>
      <c r="Q902" s="38">
        <f t="shared" si="14"/>
        <v>1.9166666666642413</v>
      </c>
      <c r="R902" t="s">
        <v>55</v>
      </c>
      <c r="S902" t="s">
        <v>29</v>
      </c>
      <c r="T902" t="s">
        <v>47</v>
      </c>
      <c r="U902">
        <v>6</v>
      </c>
      <c r="V902">
        <v>8</v>
      </c>
      <c r="W902" s="18">
        <f>IFERROR(Table1[[#This Row],[Staff Hours Worked]]/Table1[[#This Row],[Staff Available Hours]],0)</f>
        <v>0.75</v>
      </c>
      <c r="X902" t="s">
        <v>31</v>
      </c>
    </row>
    <row r="903" spans="1:24">
      <c r="A903" t="s">
        <v>960</v>
      </c>
      <c r="B903">
        <v>36</v>
      </c>
      <c r="C903" t="str" cm="1">
        <f t="array" ref="C903">_xlfn.IFS(B903&lt;=18,"0-18",B903&lt;=35,"19-35",B903&lt;=50,"36-50",B903&lt;=65,"51-65","True","65+")</f>
        <v>36-50</v>
      </c>
      <c r="D903" t="s">
        <v>22</v>
      </c>
      <c r="E903" s="6">
        <v>45368</v>
      </c>
      <c r="F903" s="6">
        <v>45377</v>
      </c>
      <c r="G903">
        <v>9</v>
      </c>
      <c r="H903" t="s">
        <v>63</v>
      </c>
      <c r="I903">
        <v>2</v>
      </c>
      <c r="J903" t="s">
        <v>35</v>
      </c>
      <c r="K903">
        <v>47321</v>
      </c>
      <c r="L903" t="s">
        <v>67</v>
      </c>
      <c r="M903" t="s">
        <v>54</v>
      </c>
      <c r="N903" t="s">
        <v>41</v>
      </c>
      <c r="O903" s="2">
        <v>45368</v>
      </c>
      <c r="P903" s="2">
        <v>45368.75</v>
      </c>
      <c r="Q903" s="38">
        <f t="shared" si="14"/>
        <v>0.75</v>
      </c>
      <c r="R903" t="s">
        <v>37</v>
      </c>
      <c r="S903" t="s">
        <v>29</v>
      </c>
      <c r="T903" t="s">
        <v>43</v>
      </c>
      <c r="U903">
        <v>6</v>
      </c>
      <c r="V903">
        <v>12</v>
      </c>
      <c r="W903" s="18">
        <f>IFERROR(Table1[[#This Row],[Staff Hours Worked]]/Table1[[#This Row],[Staff Available Hours]],0)</f>
        <v>0.5</v>
      </c>
      <c r="X903" t="s">
        <v>48</v>
      </c>
    </row>
    <row r="904" spans="1:24">
      <c r="A904" t="s">
        <v>961</v>
      </c>
      <c r="B904">
        <v>24</v>
      </c>
      <c r="C904" t="str" cm="1">
        <f t="array" ref="C904">_xlfn.IFS(B904&lt;=18,"0-18",B904&lt;=35,"19-35",B904&lt;=50,"36-50",B904&lt;=65,"51-65","True","65+")</f>
        <v>19-35</v>
      </c>
      <c r="D904" t="s">
        <v>45</v>
      </c>
      <c r="E904" s="6">
        <v>45076</v>
      </c>
      <c r="F904" s="6">
        <v>45113</v>
      </c>
      <c r="G904">
        <v>8</v>
      </c>
      <c r="H904" t="s">
        <v>57</v>
      </c>
      <c r="I904">
        <v>4</v>
      </c>
      <c r="J904" t="s">
        <v>24</v>
      </c>
      <c r="K904">
        <v>14386</v>
      </c>
      <c r="L904" t="s">
        <v>60</v>
      </c>
      <c r="M904" t="s">
        <v>26</v>
      </c>
      <c r="N904" t="s">
        <v>27</v>
      </c>
      <c r="O904" s="2">
        <v>45073</v>
      </c>
      <c r="P904" s="2">
        <v>45073.25</v>
      </c>
      <c r="Q904" s="38">
        <f t="shared" si="14"/>
        <v>0.25</v>
      </c>
      <c r="R904" t="s">
        <v>28</v>
      </c>
      <c r="S904" t="s">
        <v>38</v>
      </c>
      <c r="T904" t="s">
        <v>47</v>
      </c>
      <c r="U904">
        <v>5</v>
      </c>
      <c r="V904">
        <v>10</v>
      </c>
      <c r="W904" s="18">
        <f>IFERROR(Table1[[#This Row],[Staff Hours Worked]]/Table1[[#This Row],[Staff Available Hours]],0)</f>
        <v>0.5</v>
      </c>
      <c r="X904" t="s">
        <v>48</v>
      </c>
    </row>
    <row r="905" spans="1:24">
      <c r="A905" t="s">
        <v>962</v>
      </c>
      <c r="B905">
        <v>6</v>
      </c>
      <c r="C905" t="str" cm="1">
        <f t="array" ref="C905">_xlfn.IFS(B905&lt;=18,"0-18",B905&lt;=35,"19-35",B905&lt;=50,"36-50",B905&lt;=65,"51-65","True","65+")</f>
        <v>0-18</v>
      </c>
      <c r="D905" t="s">
        <v>41</v>
      </c>
      <c r="E905" s="6">
        <v>45147</v>
      </c>
      <c r="F905" s="6">
        <v>45182</v>
      </c>
      <c r="G905">
        <v>5</v>
      </c>
      <c r="H905" t="s">
        <v>57</v>
      </c>
      <c r="I905">
        <v>4</v>
      </c>
      <c r="J905" t="s">
        <v>24</v>
      </c>
      <c r="K905">
        <v>24522</v>
      </c>
      <c r="L905" t="s">
        <v>25</v>
      </c>
      <c r="M905" t="s">
        <v>26</v>
      </c>
      <c r="N905" t="s">
        <v>27</v>
      </c>
      <c r="O905" s="2">
        <v>45116</v>
      </c>
      <c r="P905" s="2">
        <v>45116.125</v>
      </c>
      <c r="Q905" s="38">
        <f t="shared" si="14"/>
        <v>0.125</v>
      </c>
      <c r="R905" t="s">
        <v>28</v>
      </c>
      <c r="S905" t="s">
        <v>29</v>
      </c>
      <c r="T905" t="s">
        <v>47</v>
      </c>
      <c r="U905">
        <v>7</v>
      </c>
      <c r="V905">
        <v>12</v>
      </c>
      <c r="W905" s="18">
        <f>IFERROR(Table1[[#This Row],[Staff Hours Worked]]/Table1[[#This Row],[Staff Available Hours]],0)</f>
        <v>0.58333333333333337</v>
      </c>
      <c r="X905" t="s">
        <v>48</v>
      </c>
    </row>
    <row r="906" spans="1:24">
      <c r="A906" t="s">
        <v>963</v>
      </c>
      <c r="B906">
        <v>66</v>
      </c>
      <c r="C906" t="str" cm="1">
        <f t="array" ref="C906">_xlfn.IFS(B906&lt;=18,"0-18",B906&lt;=35,"19-35",B906&lt;=50,"36-50",B906&lt;=65,"51-65","True","65+")</f>
        <v>65+</v>
      </c>
      <c r="D906" t="s">
        <v>22</v>
      </c>
      <c r="E906" s="6">
        <v>45348</v>
      </c>
      <c r="F906" s="6">
        <v>45349</v>
      </c>
      <c r="G906">
        <v>1</v>
      </c>
      <c r="H906" t="s">
        <v>34</v>
      </c>
      <c r="I906">
        <v>5</v>
      </c>
      <c r="J906" t="s">
        <v>35</v>
      </c>
      <c r="K906">
        <v>31224</v>
      </c>
      <c r="L906" t="s">
        <v>53</v>
      </c>
      <c r="M906" t="s">
        <v>26</v>
      </c>
      <c r="N906" t="s">
        <v>41</v>
      </c>
      <c r="O906" s="2">
        <v>45343</v>
      </c>
      <c r="P906" s="2">
        <v>45343.625</v>
      </c>
      <c r="Q906" s="38">
        <f t="shared" si="14"/>
        <v>0.625</v>
      </c>
      <c r="R906" t="s">
        <v>55</v>
      </c>
      <c r="S906" t="s">
        <v>29</v>
      </c>
      <c r="T906" t="s">
        <v>43</v>
      </c>
      <c r="U906">
        <v>8</v>
      </c>
      <c r="V906">
        <v>12</v>
      </c>
      <c r="W906" s="18">
        <f>IFERROR(Table1[[#This Row],[Staff Hours Worked]]/Table1[[#This Row],[Staff Available Hours]],0)</f>
        <v>0.66666666666666663</v>
      </c>
      <c r="X906" t="s">
        <v>68</v>
      </c>
    </row>
    <row r="907" spans="1:24">
      <c r="A907" t="s">
        <v>964</v>
      </c>
      <c r="B907">
        <v>84</v>
      </c>
      <c r="C907" t="str" cm="1">
        <f t="array" ref="C907">_xlfn.IFS(B907&lt;=18,"0-18",B907&lt;=35,"19-35",B907&lt;=50,"36-50",B907&lt;=65,"51-65","True","65+")</f>
        <v>65+</v>
      </c>
      <c r="D907" t="s">
        <v>62</v>
      </c>
      <c r="E907" s="6">
        <v>45023</v>
      </c>
      <c r="F907" s="6">
        <v>45124</v>
      </c>
      <c r="G907">
        <v>13</v>
      </c>
      <c r="H907" t="s">
        <v>34</v>
      </c>
      <c r="I907">
        <v>5</v>
      </c>
      <c r="J907" t="s">
        <v>24</v>
      </c>
      <c r="K907">
        <v>19635</v>
      </c>
      <c r="L907" t="s">
        <v>67</v>
      </c>
      <c r="M907" t="s">
        <v>26</v>
      </c>
      <c r="N907" t="s">
        <v>27</v>
      </c>
      <c r="O907" s="2">
        <v>44992</v>
      </c>
      <c r="P907" s="2">
        <v>45023.416666666664</v>
      </c>
      <c r="Q907" s="38">
        <f t="shared" si="14"/>
        <v>31.416666666664241</v>
      </c>
      <c r="R907" t="s">
        <v>64</v>
      </c>
      <c r="S907" t="s">
        <v>29</v>
      </c>
      <c r="T907" t="s">
        <v>30</v>
      </c>
      <c r="U907">
        <v>6</v>
      </c>
      <c r="V907">
        <v>12</v>
      </c>
      <c r="W907" s="18">
        <f>IFERROR(Table1[[#This Row],[Staff Hours Worked]]/Table1[[#This Row],[Staff Available Hours]],0)</f>
        <v>0.5</v>
      </c>
      <c r="X907" t="s">
        <v>31</v>
      </c>
    </row>
    <row r="908" spans="1:24">
      <c r="A908" t="s">
        <v>965</v>
      </c>
      <c r="B908">
        <v>75</v>
      </c>
      <c r="C908" t="str" cm="1">
        <f t="array" ref="C908">_xlfn.IFS(B908&lt;=18,"0-18",B908&lt;=35,"19-35",B908&lt;=50,"36-50",B908&lt;=65,"51-65","True","65+")</f>
        <v>65+</v>
      </c>
      <c r="D908" t="s">
        <v>52</v>
      </c>
      <c r="E908" s="6">
        <v>45101</v>
      </c>
      <c r="F908" s="6">
        <v>45053</v>
      </c>
      <c r="G908">
        <v>11</v>
      </c>
      <c r="H908" t="s">
        <v>40</v>
      </c>
      <c r="I908">
        <v>2</v>
      </c>
      <c r="J908" t="s">
        <v>46</v>
      </c>
      <c r="K908">
        <v>5671</v>
      </c>
      <c r="L908" t="s">
        <v>53</v>
      </c>
      <c r="M908" t="s">
        <v>54</v>
      </c>
      <c r="N908" t="s">
        <v>27</v>
      </c>
      <c r="O908" s="2">
        <v>45101</v>
      </c>
      <c r="P908" s="2">
        <v>45102.125</v>
      </c>
      <c r="Q908" s="38">
        <f t="shared" si="14"/>
        <v>1.125</v>
      </c>
      <c r="R908" t="s">
        <v>64</v>
      </c>
      <c r="S908" t="s">
        <v>29</v>
      </c>
      <c r="T908" t="s">
        <v>47</v>
      </c>
      <c r="U908">
        <v>10</v>
      </c>
      <c r="V908">
        <v>8</v>
      </c>
      <c r="W908" s="18">
        <f>IFERROR(Table1[[#This Row],[Staff Hours Worked]]/Table1[[#This Row],[Staff Available Hours]],0)</f>
        <v>1.25</v>
      </c>
      <c r="X908" t="s">
        <v>31</v>
      </c>
    </row>
    <row r="909" spans="1:24">
      <c r="A909" t="s">
        <v>966</v>
      </c>
      <c r="B909">
        <v>4</v>
      </c>
      <c r="C909" t="str" cm="1">
        <f t="array" ref="C909">_xlfn.IFS(B909&lt;=18,"0-18",B909&lt;=35,"19-35",B909&lt;=50,"36-50",B909&lt;=65,"51-65","True","65+")</f>
        <v>0-18</v>
      </c>
      <c r="D909" t="s">
        <v>52</v>
      </c>
      <c r="E909" s="6">
        <v>45106</v>
      </c>
      <c r="F909" s="6">
        <v>44992</v>
      </c>
      <c r="G909">
        <v>4</v>
      </c>
      <c r="H909" t="s">
        <v>40</v>
      </c>
      <c r="I909">
        <v>1</v>
      </c>
      <c r="J909" t="s">
        <v>71</v>
      </c>
      <c r="K909">
        <v>38545</v>
      </c>
      <c r="L909" t="s">
        <v>36</v>
      </c>
      <c r="M909" t="s">
        <v>54</v>
      </c>
      <c r="N909" t="s">
        <v>27</v>
      </c>
      <c r="O909" s="2">
        <v>45101</v>
      </c>
      <c r="P909" s="2">
        <v>45102.875</v>
      </c>
      <c r="Q909" s="38">
        <f t="shared" si="14"/>
        <v>1.875</v>
      </c>
      <c r="R909" t="s">
        <v>64</v>
      </c>
      <c r="S909" t="s">
        <v>29</v>
      </c>
      <c r="T909" t="s">
        <v>30</v>
      </c>
      <c r="U909">
        <v>8</v>
      </c>
      <c r="V909">
        <v>12</v>
      </c>
      <c r="W909" s="18">
        <f>IFERROR(Table1[[#This Row],[Staff Hours Worked]]/Table1[[#This Row],[Staff Available Hours]],0)</f>
        <v>0.66666666666666663</v>
      </c>
      <c r="X909" t="s">
        <v>31</v>
      </c>
    </row>
    <row r="910" spans="1:24">
      <c r="A910" t="s">
        <v>967</v>
      </c>
      <c r="B910">
        <v>79</v>
      </c>
      <c r="C910" t="str" cm="1">
        <f t="array" ref="C910">_xlfn.IFS(B910&lt;=18,"0-18",B910&lt;=35,"19-35",B910&lt;=50,"36-50",B910&lt;=65,"51-65","True","65+")</f>
        <v>65+</v>
      </c>
      <c r="D910" t="s">
        <v>45</v>
      </c>
      <c r="E910" s="6">
        <v>45007</v>
      </c>
      <c r="F910" s="6">
        <v>45012</v>
      </c>
      <c r="G910">
        <v>5</v>
      </c>
      <c r="H910" t="s">
        <v>57</v>
      </c>
      <c r="I910">
        <v>4</v>
      </c>
      <c r="J910" t="s">
        <v>71</v>
      </c>
      <c r="K910">
        <v>31855</v>
      </c>
      <c r="L910" t="s">
        <v>25</v>
      </c>
      <c r="M910" t="s">
        <v>54</v>
      </c>
      <c r="N910" t="s">
        <v>27</v>
      </c>
      <c r="O910" s="2">
        <v>45006</v>
      </c>
      <c r="P910" s="2">
        <v>45007</v>
      </c>
      <c r="Q910" s="38">
        <f t="shared" si="14"/>
        <v>1</v>
      </c>
      <c r="R910" t="s">
        <v>64</v>
      </c>
      <c r="S910" t="s">
        <v>29</v>
      </c>
      <c r="T910" t="s">
        <v>43</v>
      </c>
      <c r="U910">
        <v>5</v>
      </c>
      <c r="V910">
        <v>12</v>
      </c>
      <c r="W910" s="18">
        <f>IFERROR(Table1[[#This Row],[Staff Hours Worked]]/Table1[[#This Row],[Staff Available Hours]],0)</f>
        <v>0.41666666666666669</v>
      </c>
      <c r="X910" t="s">
        <v>68</v>
      </c>
    </row>
    <row r="911" spans="1:24">
      <c r="A911" t="s">
        <v>968</v>
      </c>
      <c r="B911">
        <v>6</v>
      </c>
      <c r="C911" t="str" cm="1">
        <f t="array" ref="C911">_xlfn.IFS(B911&lt;=18,"0-18",B911&lt;=35,"19-35",B911&lt;=50,"36-50",B911&lt;=65,"51-65","True","65+")</f>
        <v>0-18</v>
      </c>
      <c r="D911" t="s">
        <v>41</v>
      </c>
      <c r="E911" s="6">
        <v>45318</v>
      </c>
      <c r="F911" s="6">
        <v>45324</v>
      </c>
      <c r="G911">
        <v>6</v>
      </c>
      <c r="H911" t="s">
        <v>34</v>
      </c>
      <c r="I911">
        <v>1</v>
      </c>
      <c r="J911" t="s">
        <v>35</v>
      </c>
      <c r="K911">
        <v>40790</v>
      </c>
      <c r="L911" t="s">
        <v>53</v>
      </c>
      <c r="M911" t="s">
        <v>54</v>
      </c>
      <c r="N911" t="s">
        <v>27</v>
      </c>
      <c r="O911" s="2">
        <v>45318</v>
      </c>
      <c r="P911" s="2">
        <v>45319.25</v>
      </c>
      <c r="Q911" s="38">
        <f t="shared" si="14"/>
        <v>1.25</v>
      </c>
      <c r="R911" t="s">
        <v>64</v>
      </c>
      <c r="S911" t="s">
        <v>29</v>
      </c>
      <c r="T911" t="s">
        <v>43</v>
      </c>
      <c r="U911">
        <v>4</v>
      </c>
      <c r="V911">
        <v>10</v>
      </c>
      <c r="W911" s="18">
        <f>IFERROR(Table1[[#This Row],[Staff Hours Worked]]/Table1[[#This Row],[Staff Available Hours]],0)</f>
        <v>0.4</v>
      </c>
      <c r="X911" t="s">
        <v>68</v>
      </c>
    </row>
    <row r="912" spans="1:24">
      <c r="A912" t="s">
        <v>969</v>
      </c>
      <c r="B912">
        <v>51</v>
      </c>
      <c r="C912" t="str" cm="1">
        <f t="array" ref="C912">_xlfn.IFS(B912&lt;=18,"0-18",B912&lt;=35,"19-35",B912&lt;=50,"36-50",B912&lt;=65,"51-65","True","65+")</f>
        <v>51-65</v>
      </c>
      <c r="D912" t="s">
        <v>52</v>
      </c>
      <c r="E912" s="6">
        <v>45025</v>
      </c>
      <c r="F912" s="6">
        <v>45187</v>
      </c>
      <c r="G912">
        <v>14</v>
      </c>
      <c r="H912" t="s">
        <v>50</v>
      </c>
      <c r="I912">
        <v>2</v>
      </c>
      <c r="J912" t="s">
        <v>66</v>
      </c>
      <c r="K912">
        <v>19260</v>
      </c>
      <c r="L912" t="s">
        <v>60</v>
      </c>
      <c r="M912" t="s">
        <v>54</v>
      </c>
      <c r="N912" t="s">
        <v>27</v>
      </c>
      <c r="O912" s="2">
        <v>44994</v>
      </c>
      <c r="P912" s="2">
        <v>45055</v>
      </c>
      <c r="Q912" s="38">
        <f t="shared" si="14"/>
        <v>61</v>
      </c>
      <c r="R912" t="s">
        <v>55</v>
      </c>
      <c r="S912" t="s">
        <v>29</v>
      </c>
      <c r="T912" t="s">
        <v>47</v>
      </c>
      <c r="U912">
        <v>9</v>
      </c>
      <c r="V912">
        <v>10</v>
      </c>
      <c r="W912" s="18">
        <f>IFERROR(Table1[[#This Row],[Staff Hours Worked]]/Table1[[#This Row],[Staff Available Hours]],0)</f>
        <v>0.9</v>
      </c>
      <c r="X912" t="s">
        <v>68</v>
      </c>
    </row>
    <row r="913" spans="1:24">
      <c r="A913" t="s">
        <v>970</v>
      </c>
      <c r="B913">
        <v>62</v>
      </c>
      <c r="C913" t="str" cm="1">
        <f t="array" ref="C913">_xlfn.IFS(B913&lt;=18,"0-18",B913&lt;=35,"19-35",B913&lt;=50,"36-50",B913&lt;=65,"51-65","True","65+")</f>
        <v>51-65</v>
      </c>
      <c r="D913" t="s">
        <v>41</v>
      </c>
      <c r="E913" s="6">
        <v>45436</v>
      </c>
      <c r="F913" s="6">
        <v>45449</v>
      </c>
      <c r="G913">
        <v>13</v>
      </c>
      <c r="H913" t="s">
        <v>63</v>
      </c>
      <c r="I913">
        <v>2</v>
      </c>
      <c r="J913" t="s">
        <v>35</v>
      </c>
      <c r="K913">
        <v>6074</v>
      </c>
      <c r="L913" t="s">
        <v>25</v>
      </c>
      <c r="M913" t="s">
        <v>26</v>
      </c>
      <c r="N913" t="s">
        <v>41</v>
      </c>
      <c r="O913" s="2">
        <v>45432</v>
      </c>
      <c r="P913" s="2">
        <v>45432.25</v>
      </c>
      <c r="Q913" s="38">
        <f t="shared" si="14"/>
        <v>0.25</v>
      </c>
      <c r="R913" t="s">
        <v>42</v>
      </c>
      <c r="S913" t="s">
        <v>29</v>
      </c>
      <c r="T913" t="s">
        <v>43</v>
      </c>
      <c r="U913">
        <v>6</v>
      </c>
      <c r="V913">
        <v>8</v>
      </c>
      <c r="W913" s="18">
        <f>IFERROR(Table1[[#This Row],[Staff Hours Worked]]/Table1[[#This Row],[Staff Available Hours]],0)</f>
        <v>0.75</v>
      </c>
      <c r="X913" t="s">
        <v>68</v>
      </c>
    </row>
    <row r="914" spans="1:24">
      <c r="A914" t="s">
        <v>971</v>
      </c>
      <c r="B914">
        <v>57</v>
      </c>
      <c r="C914" t="str" cm="1">
        <f t="array" ref="C914">_xlfn.IFS(B914&lt;=18,"0-18",B914&lt;=35,"19-35",B914&lt;=50,"36-50",B914&lt;=65,"51-65","True","65+")</f>
        <v>51-65</v>
      </c>
      <c r="D914" t="s">
        <v>41</v>
      </c>
      <c r="E914" s="6">
        <v>45073</v>
      </c>
      <c r="F914" s="6">
        <v>45074</v>
      </c>
      <c r="G914">
        <v>1</v>
      </c>
      <c r="H914" t="s">
        <v>34</v>
      </c>
      <c r="I914">
        <v>5</v>
      </c>
      <c r="J914" t="s">
        <v>24</v>
      </c>
      <c r="K914">
        <v>47676</v>
      </c>
      <c r="L914" t="s">
        <v>60</v>
      </c>
      <c r="M914" t="s">
        <v>54</v>
      </c>
      <c r="N914" t="s">
        <v>27</v>
      </c>
      <c r="O914" s="2">
        <v>45070</v>
      </c>
      <c r="P914" s="2">
        <v>45071.583333333336</v>
      </c>
      <c r="Q914" s="38">
        <f t="shared" si="14"/>
        <v>1.5833333333357587</v>
      </c>
      <c r="R914" t="s">
        <v>37</v>
      </c>
      <c r="S914" t="s">
        <v>29</v>
      </c>
      <c r="T914" t="s">
        <v>43</v>
      </c>
      <c r="U914">
        <v>7</v>
      </c>
      <c r="V914">
        <v>8</v>
      </c>
      <c r="W914" s="18">
        <f>IFERROR(Table1[[#This Row],[Staff Hours Worked]]/Table1[[#This Row],[Staff Available Hours]],0)</f>
        <v>0.875</v>
      </c>
      <c r="X914" t="s">
        <v>48</v>
      </c>
    </row>
    <row r="915" spans="1:24">
      <c r="A915" t="s">
        <v>972</v>
      </c>
      <c r="B915">
        <v>66</v>
      </c>
      <c r="C915" t="str" cm="1">
        <f t="array" ref="C915">_xlfn.IFS(B915&lt;=18,"0-18",B915&lt;=35,"19-35",B915&lt;=50,"36-50",B915&lt;=65,"51-65","True","65+")</f>
        <v>65+</v>
      </c>
      <c r="D915" t="s">
        <v>45</v>
      </c>
      <c r="E915" s="6">
        <v>45164</v>
      </c>
      <c r="F915" s="6">
        <v>45178</v>
      </c>
      <c r="G915">
        <v>14</v>
      </c>
      <c r="H915" t="s">
        <v>34</v>
      </c>
      <c r="I915">
        <v>4</v>
      </c>
      <c r="J915" t="s">
        <v>66</v>
      </c>
      <c r="K915">
        <v>14475</v>
      </c>
      <c r="L915" t="s">
        <v>53</v>
      </c>
      <c r="M915" t="s">
        <v>54</v>
      </c>
      <c r="N915" t="s">
        <v>27</v>
      </c>
      <c r="O915" s="2">
        <v>45162</v>
      </c>
      <c r="P915" s="2">
        <v>45162.291666666664</v>
      </c>
      <c r="Q915" s="38">
        <f t="shared" si="14"/>
        <v>0.29166666666424135</v>
      </c>
      <c r="R915" t="s">
        <v>64</v>
      </c>
      <c r="S915" t="s">
        <v>29</v>
      </c>
      <c r="T915" t="s">
        <v>43</v>
      </c>
      <c r="U915">
        <v>9</v>
      </c>
      <c r="V915">
        <v>10</v>
      </c>
      <c r="W915" s="18">
        <f>IFERROR(Table1[[#This Row],[Staff Hours Worked]]/Table1[[#This Row],[Staff Available Hours]],0)</f>
        <v>0.9</v>
      </c>
      <c r="X915" t="s">
        <v>68</v>
      </c>
    </row>
    <row r="916" spans="1:24">
      <c r="A916" t="s">
        <v>973</v>
      </c>
      <c r="B916">
        <v>79</v>
      </c>
      <c r="C916" t="str" cm="1">
        <f t="array" ref="C916">_xlfn.IFS(B916&lt;=18,"0-18",B916&lt;=35,"19-35",B916&lt;=50,"36-50",B916&lt;=65,"51-65","True","65+")</f>
        <v>65+</v>
      </c>
      <c r="D916" t="s">
        <v>45</v>
      </c>
      <c r="E916" s="6">
        <v>45399</v>
      </c>
      <c r="F916" s="6">
        <v>45410</v>
      </c>
      <c r="G916">
        <v>11</v>
      </c>
      <c r="H916" t="s">
        <v>23</v>
      </c>
      <c r="I916">
        <v>3</v>
      </c>
      <c r="J916" t="s">
        <v>24</v>
      </c>
      <c r="K916">
        <v>17878</v>
      </c>
      <c r="L916" t="s">
        <v>25</v>
      </c>
      <c r="M916" t="s">
        <v>26</v>
      </c>
      <c r="N916" t="s">
        <v>41</v>
      </c>
      <c r="O916" s="2">
        <v>45399</v>
      </c>
      <c r="P916" s="2">
        <v>45400.375</v>
      </c>
      <c r="Q916" s="38">
        <f t="shared" si="14"/>
        <v>1.375</v>
      </c>
      <c r="R916" t="s">
        <v>42</v>
      </c>
      <c r="S916" t="s">
        <v>29</v>
      </c>
      <c r="T916" t="s">
        <v>47</v>
      </c>
      <c r="U916">
        <v>5</v>
      </c>
      <c r="V916">
        <v>10</v>
      </c>
      <c r="W916" s="18">
        <f>IFERROR(Table1[[#This Row],[Staff Hours Worked]]/Table1[[#This Row],[Staff Available Hours]],0)</f>
        <v>0.5</v>
      </c>
      <c r="X916" t="s">
        <v>68</v>
      </c>
    </row>
    <row r="917" spans="1:24">
      <c r="A917" t="s">
        <v>974</v>
      </c>
      <c r="B917">
        <v>75</v>
      </c>
      <c r="C917" t="str" cm="1">
        <f t="array" ref="C917">_xlfn.IFS(B917&lt;=18,"0-18",B917&lt;=35,"19-35",B917&lt;=50,"36-50",B917&lt;=65,"51-65","True","65+")</f>
        <v>65+</v>
      </c>
      <c r="D917" t="s">
        <v>45</v>
      </c>
      <c r="E917" s="6">
        <v>45187</v>
      </c>
      <c r="F917" s="6">
        <v>45193</v>
      </c>
      <c r="G917">
        <v>6</v>
      </c>
      <c r="H917" t="s">
        <v>40</v>
      </c>
      <c r="I917">
        <v>2</v>
      </c>
      <c r="J917" t="s">
        <v>46</v>
      </c>
      <c r="K917">
        <v>20120</v>
      </c>
      <c r="L917" t="s">
        <v>60</v>
      </c>
      <c r="M917" t="s">
        <v>26</v>
      </c>
      <c r="N917" t="s">
        <v>27</v>
      </c>
      <c r="O917" s="2">
        <v>45183</v>
      </c>
      <c r="P917" s="2">
        <v>45183.375</v>
      </c>
      <c r="Q917" s="38">
        <f t="shared" si="14"/>
        <v>0.375</v>
      </c>
      <c r="R917" t="s">
        <v>28</v>
      </c>
      <c r="S917" t="s">
        <v>29</v>
      </c>
      <c r="T917" t="s">
        <v>47</v>
      </c>
      <c r="U917">
        <v>8</v>
      </c>
      <c r="V917">
        <v>8</v>
      </c>
      <c r="W917" s="18">
        <f>IFERROR(Table1[[#This Row],[Staff Hours Worked]]/Table1[[#This Row],[Staff Available Hours]],0)</f>
        <v>1</v>
      </c>
      <c r="X917" t="s">
        <v>68</v>
      </c>
    </row>
    <row r="918" spans="1:24">
      <c r="A918" t="s">
        <v>975</v>
      </c>
      <c r="B918">
        <v>8</v>
      </c>
      <c r="C918" t="str" cm="1">
        <f t="array" ref="C918">_xlfn.IFS(B918&lt;=18,"0-18",B918&lt;=35,"19-35",B918&lt;=50,"36-50",B918&lt;=65,"51-65","True","65+")</f>
        <v>0-18</v>
      </c>
      <c r="D918" t="s">
        <v>52</v>
      </c>
      <c r="E918" s="6">
        <v>45397</v>
      </c>
      <c r="F918" s="6">
        <v>45402</v>
      </c>
      <c r="G918">
        <v>5</v>
      </c>
      <c r="H918" t="s">
        <v>63</v>
      </c>
      <c r="I918">
        <v>4</v>
      </c>
      <c r="J918" t="s">
        <v>24</v>
      </c>
      <c r="K918">
        <v>28147</v>
      </c>
      <c r="L918" t="s">
        <v>36</v>
      </c>
      <c r="M918" t="s">
        <v>54</v>
      </c>
      <c r="N918" t="s">
        <v>27</v>
      </c>
      <c r="O918" s="2">
        <v>45569</v>
      </c>
      <c r="P918" s="2">
        <v>45600.708333333336</v>
      </c>
      <c r="Q918" s="38">
        <f t="shared" si="14"/>
        <v>31.708333333335759</v>
      </c>
      <c r="R918" t="s">
        <v>55</v>
      </c>
      <c r="S918" t="s">
        <v>29</v>
      </c>
      <c r="T918" t="s">
        <v>47</v>
      </c>
      <c r="U918">
        <v>10</v>
      </c>
      <c r="V918">
        <v>12</v>
      </c>
      <c r="W918" s="18">
        <f>IFERROR(Table1[[#This Row],[Staff Hours Worked]]/Table1[[#This Row],[Staff Available Hours]],0)</f>
        <v>0.83333333333333337</v>
      </c>
      <c r="X918" t="s">
        <v>31</v>
      </c>
    </row>
    <row r="919" spans="1:24">
      <c r="A919" t="s">
        <v>976</v>
      </c>
      <c r="B919">
        <v>26</v>
      </c>
      <c r="C919" t="str" cm="1">
        <f t="array" ref="C919">_xlfn.IFS(B919&lt;=18,"0-18",B919&lt;=35,"19-35",B919&lt;=50,"36-50",B919&lt;=65,"51-65","True","65+")</f>
        <v>19-35</v>
      </c>
      <c r="D919" t="s">
        <v>45</v>
      </c>
      <c r="E919" s="6">
        <v>45188</v>
      </c>
      <c r="F919" s="6">
        <v>45190</v>
      </c>
      <c r="G919">
        <v>2</v>
      </c>
      <c r="H919" t="s">
        <v>57</v>
      </c>
      <c r="I919">
        <v>1</v>
      </c>
      <c r="J919" t="s">
        <v>46</v>
      </c>
      <c r="K919">
        <v>6986</v>
      </c>
      <c r="L919" t="s">
        <v>36</v>
      </c>
      <c r="M919" t="s">
        <v>26</v>
      </c>
      <c r="N919" t="s">
        <v>27</v>
      </c>
      <c r="O919" s="2">
        <v>45183</v>
      </c>
      <c r="P919" s="2">
        <v>45184.083333333336</v>
      </c>
      <c r="Q919" s="38">
        <f t="shared" si="14"/>
        <v>1.0833333333357587</v>
      </c>
      <c r="R919" t="s">
        <v>42</v>
      </c>
      <c r="S919" t="s">
        <v>38</v>
      </c>
      <c r="T919" t="s">
        <v>43</v>
      </c>
      <c r="U919">
        <v>11</v>
      </c>
      <c r="V919">
        <v>8</v>
      </c>
      <c r="W919" s="18">
        <f>IFERROR(Table1[[#This Row],[Staff Hours Worked]]/Table1[[#This Row],[Staff Available Hours]],0)</f>
        <v>1.375</v>
      </c>
      <c r="X919" t="s">
        <v>31</v>
      </c>
    </row>
    <row r="920" spans="1:24">
      <c r="A920" t="s">
        <v>977</v>
      </c>
      <c r="B920">
        <v>51</v>
      </c>
      <c r="C920" t="str" cm="1">
        <f t="array" ref="C920">_xlfn.IFS(B920&lt;=18,"0-18",B920&lt;=35,"19-35",B920&lt;=50,"36-50",B920&lt;=65,"51-65","True","65+")</f>
        <v>51-65</v>
      </c>
      <c r="D920" t="s">
        <v>52</v>
      </c>
      <c r="E920" s="6">
        <v>45200</v>
      </c>
      <c r="F920" s="6">
        <v>44949</v>
      </c>
      <c r="G920">
        <v>13</v>
      </c>
      <c r="H920" t="s">
        <v>34</v>
      </c>
      <c r="I920">
        <v>5</v>
      </c>
      <c r="J920" t="s">
        <v>46</v>
      </c>
      <c r="K920">
        <v>48593</v>
      </c>
      <c r="L920" t="s">
        <v>53</v>
      </c>
      <c r="M920" t="s">
        <v>26</v>
      </c>
      <c r="N920" t="s">
        <v>27</v>
      </c>
      <c r="O920" s="2">
        <v>45078</v>
      </c>
      <c r="P920" s="2">
        <v>45078.208333333336</v>
      </c>
      <c r="Q920" s="38">
        <f t="shared" si="14"/>
        <v>0.20833333333575865</v>
      </c>
      <c r="R920" t="s">
        <v>64</v>
      </c>
      <c r="S920" t="s">
        <v>29</v>
      </c>
      <c r="T920" t="s">
        <v>30</v>
      </c>
      <c r="U920">
        <v>4</v>
      </c>
      <c r="V920">
        <v>12</v>
      </c>
      <c r="W920" s="18">
        <f>IFERROR(Table1[[#This Row],[Staff Hours Worked]]/Table1[[#This Row],[Staff Available Hours]],0)</f>
        <v>0.33333333333333331</v>
      </c>
      <c r="X920" t="s">
        <v>31</v>
      </c>
    </row>
    <row r="921" spans="1:24">
      <c r="A921" t="s">
        <v>978</v>
      </c>
      <c r="B921">
        <v>45</v>
      </c>
      <c r="C921" t="str" cm="1">
        <f t="array" ref="C921">_xlfn.IFS(B921&lt;=18,"0-18",B921&lt;=35,"19-35",B921&lt;=50,"36-50",B921&lt;=65,"51-65","True","65+")</f>
        <v>36-50</v>
      </c>
      <c r="D921" t="s">
        <v>45</v>
      </c>
      <c r="E921" s="6">
        <v>45403</v>
      </c>
      <c r="F921" s="6">
        <v>45409</v>
      </c>
      <c r="G921">
        <v>6</v>
      </c>
      <c r="H921" t="s">
        <v>57</v>
      </c>
      <c r="I921">
        <v>1</v>
      </c>
      <c r="J921" t="s">
        <v>24</v>
      </c>
      <c r="K921">
        <v>37430</v>
      </c>
      <c r="L921" t="s">
        <v>25</v>
      </c>
      <c r="M921" t="s">
        <v>54</v>
      </c>
      <c r="N921" t="s">
        <v>27</v>
      </c>
      <c r="O921" s="2">
        <v>45400</v>
      </c>
      <c r="P921" s="2">
        <v>45401.583333333336</v>
      </c>
      <c r="Q921" s="38">
        <f t="shared" si="14"/>
        <v>1.5833333333357587</v>
      </c>
      <c r="R921" t="s">
        <v>64</v>
      </c>
      <c r="S921" t="s">
        <v>29</v>
      </c>
      <c r="T921" t="s">
        <v>43</v>
      </c>
      <c r="U921">
        <v>8</v>
      </c>
      <c r="V921">
        <v>10</v>
      </c>
      <c r="W921" s="18">
        <f>IFERROR(Table1[[#This Row],[Staff Hours Worked]]/Table1[[#This Row],[Staff Available Hours]],0)</f>
        <v>0.8</v>
      </c>
      <c r="X921" t="s">
        <v>48</v>
      </c>
    </row>
    <row r="922" spans="1:24">
      <c r="A922" t="s">
        <v>979</v>
      </c>
      <c r="B922">
        <v>44</v>
      </c>
      <c r="C922" t="str" cm="1">
        <f t="array" ref="C922">_xlfn.IFS(B922&lt;=18,"0-18",B922&lt;=35,"19-35",B922&lt;=50,"36-50",B922&lt;=65,"51-65","True","65+")</f>
        <v>36-50</v>
      </c>
      <c r="D922" t="s">
        <v>33</v>
      </c>
      <c r="E922" s="6">
        <v>45221</v>
      </c>
      <c r="F922" s="6">
        <v>45228</v>
      </c>
      <c r="G922">
        <v>7</v>
      </c>
      <c r="H922" t="s">
        <v>34</v>
      </c>
      <c r="I922">
        <v>2</v>
      </c>
      <c r="J922" t="s">
        <v>24</v>
      </c>
      <c r="K922">
        <v>46961</v>
      </c>
      <c r="L922" t="s">
        <v>67</v>
      </c>
      <c r="M922" t="s">
        <v>54</v>
      </c>
      <c r="N922" t="s">
        <v>27</v>
      </c>
      <c r="O922" s="2">
        <v>45216</v>
      </c>
      <c r="P922" s="2">
        <v>45217.541666666664</v>
      </c>
      <c r="Q922" s="38">
        <f t="shared" si="14"/>
        <v>1.5416666666642413</v>
      </c>
      <c r="R922" t="s">
        <v>64</v>
      </c>
      <c r="S922" t="s">
        <v>29</v>
      </c>
      <c r="T922" t="s">
        <v>47</v>
      </c>
      <c r="U922">
        <v>7</v>
      </c>
      <c r="V922">
        <v>10</v>
      </c>
      <c r="W922" s="18">
        <f>IFERROR(Table1[[#This Row],[Staff Hours Worked]]/Table1[[#This Row],[Staff Available Hours]],0)</f>
        <v>0.7</v>
      </c>
      <c r="X922" t="s">
        <v>48</v>
      </c>
    </row>
    <row r="923" spans="1:24">
      <c r="A923" t="s">
        <v>980</v>
      </c>
      <c r="B923">
        <v>5</v>
      </c>
      <c r="C923" t="str" cm="1">
        <f t="array" ref="C923">_xlfn.IFS(B923&lt;=18,"0-18",B923&lt;=35,"19-35",B923&lt;=50,"36-50",B923&lt;=65,"51-65","True","65+")</f>
        <v>0-18</v>
      </c>
      <c r="D923" t="s">
        <v>41</v>
      </c>
      <c r="E923" s="6">
        <v>45236</v>
      </c>
      <c r="F923" s="6">
        <v>45103</v>
      </c>
      <c r="G923">
        <v>15</v>
      </c>
      <c r="H923" t="s">
        <v>57</v>
      </c>
      <c r="I923">
        <v>2</v>
      </c>
      <c r="J923" t="s">
        <v>46</v>
      </c>
      <c r="K923">
        <v>22430</v>
      </c>
      <c r="L923" t="s">
        <v>25</v>
      </c>
      <c r="M923" t="s">
        <v>54</v>
      </c>
      <c r="N923" t="s">
        <v>27</v>
      </c>
      <c r="O923" s="2">
        <v>45144</v>
      </c>
      <c r="P923" s="2">
        <v>45144.166666666664</v>
      </c>
      <c r="Q923" s="38">
        <f t="shared" si="14"/>
        <v>0.16666666666424135</v>
      </c>
      <c r="R923" t="s">
        <v>42</v>
      </c>
      <c r="S923" t="s">
        <v>38</v>
      </c>
      <c r="T923" t="s">
        <v>30</v>
      </c>
      <c r="U923">
        <v>6</v>
      </c>
      <c r="V923">
        <v>10</v>
      </c>
      <c r="W923" s="18">
        <f>IFERROR(Table1[[#This Row],[Staff Hours Worked]]/Table1[[#This Row],[Staff Available Hours]],0)</f>
        <v>0.6</v>
      </c>
      <c r="X923" t="s">
        <v>68</v>
      </c>
    </row>
    <row r="924" spans="1:24">
      <c r="A924" t="s">
        <v>981</v>
      </c>
      <c r="B924">
        <v>70</v>
      </c>
      <c r="C924" t="str" cm="1">
        <f t="array" ref="C924">_xlfn.IFS(B924&lt;=18,"0-18",B924&lt;=35,"19-35",B924&lt;=50,"36-50",B924&lt;=65,"51-65","True","65+")</f>
        <v>65+</v>
      </c>
      <c r="D924" t="s">
        <v>45</v>
      </c>
      <c r="E924" s="6">
        <v>45002</v>
      </c>
      <c r="F924" s="6">
        <v>45009</v>
      </c>
      <c r="G924">
        <v>7</v>
      </c>
      <c r="H924" t="s">
        <v>63</v>
      </c>
      <c r="I924">
        <v>1</v>
      </c>
      <c r="J924" t="s">
        <v>66</v>
      </c>
      <c r="K924">
        <v>7176</v>
      </c>
      <c r="L924" t="s">
        <v>36</v>
      </c>
      <c r="M924" t="s">
        <v>54</v>
      </c>
      <c r="N924" t="s">
        <v>27</v>
      </c>
      <c r="O924" s="2">
        <v>45002</v>
      </c>
      <c r="P924" s="2">
        <v>45003.166666666664</v>
      </c>
      <c r="Q924" s="38">
        <f t="shared" si="14"/>
        <v>1.1666666666642413</v>
      </c>
      <c r="R924" t="s">
        <v>64</v>
      </c>
      <c r="S924" t="s">
        <v>29</v>
      </c>
      <c r="T924" t="s">
        <v>30</v>
      </c>
      <c r="U924">
        <v>7</v>
      </c>
      <c r="V924">
        <v>12</v>
      </c>
      <c r="W924" s="18">
        <f>IFERROR(Table1[[#This Row],[Staff Hours Worked]]/Table1[[#This Row],[Staff Available Hours]],0)</f>
        <v>0.58333333333333337</v>
      </c>
      <c r="X924" t="s">
        <v>31</v>
      </c>
    </row>
    <row r="925" spans="1:24">
      <c r="A925" t="s">
        <v>982</v>
      </c>
      <c r="B925">
        <v>26</v>
      </c>
      <c r="C925" t="str" cm="1">
        <f t="array" ref="C925">_xlfn.IFS(B925&lt;=18,"0-18",B925&lt;=35,"19-35",B925&lt;=50,"36-50",B925&lt;=65,"51-65","True","65+")</f>
        <v>19-35</v>
      </c>
      <c r="D925" t="s">
        <v>22</v>
      </c>
      <c r="E925" s="6">
        <v>45379</v>
      </c>
      <c r="F925" s="6">
        <v>45539</v>
      </c>
      <c r="G925">
        <v>12</v>
      </c>
      <c r="H925" t="s">
        <v>40</v>
      </c>
      <c r="I925">
        <v>2</v>
      </c>
      <c r="J925" t="s">
        <v>46</v>
      </c>
      <c r="K925">
        <v>23722</v>
      </c>
      <c r="L925" t="s">
        <v>60</v>
      </c>
      <c r="M925" t="s">
        <v>54</v>
      </c>
      <c r="N925" t="s">
        <v>27</v>
      </c>
      <c r="O925" s="2">
        <v>45379</v>
      </c>
      <c r="P925" s="2">
        <v>45380.791666666664</v>
      </c>
      <c r="Q925" s="38">
        <f t="shared" si="14"/>
        <v>1.7916666666642413</v>
      </c>
      <c r="R925" t="s">
        <v>42</v>
      </c>
      <c r="S925" t="s">
        <v>29</v>
      </c>
      <c r="T925" t="s">
        <v>47</v>
      </c>
      <c r="U925">
        <v>8</v>
      </c>
      <c r="V925">
        <v>8</v>
      </c>
      <c r="W925" s="18">
        <f>IFERROR(Table1[[#This Row],[Staff Hours Worked]]/Table1[[#This Row],[Staff Available Hours]],0)</f>
        <v>1</v>
      </c>
      <c r="X925" t="s">
        <v>48</v>
      </c>
    </row>
    <row r="926" spans="1:24">
      <c r="A926" t="s">
        <v>983</v>
      </c>
      <c r="B926">
        <v>68</v>
      </c>
      <c r="C926" t="str" cm="1">
        <f t="array" ref="C926">_xlfn.IFS(B926&lt;=18,"0-18",B926&lt;=35,"19-35",B926&lt;=50,"36-50",B926&lt;=65,"51-65","True","65+")</f>
        <v>65+</v>
      </c>
      <c r="D926" t="s">
        <v>41</v>
      </c>
      <c r="E926" s="6">
        <v>45280</v>
      </c>
      <c r="F926" s="6">
        <v>45288</v>
      </c>
      <c r="G926">
        <v>8</v>
      </c>
      <c r="H926" t="s">
        <v>63</v>
      </c>
      <c r="I926">
        <v>4</v>
      </c>
      <c r="J926" t="s">
        <v>71</v>
      </c>
      <c r="K926">
        <v>47815</v>
      </c>
      <c r="L926" t="s">
        <v>67</v>
      </c>
      <c r="M926" t="s">
        <v>26</v>
      </c>
      <c r="N926" t="s">
        <v>27</v>
      </c>
      <c r="O926" s="2">
        <v>45276</v>
      </c>
      <c r="P926" s="2">
        <v>45276.375</v>
      </c>
      <c r="Q926" s="38">
        <f t="shared" si="14"/>
        <v>0.375</v>
      </c>
      <c r="R926" t="s">
        <v>64</v>
      </c>
      <c r="S926" t="s">
        <v>29</v>
      </c>
      <c r="T926" t="s">
        <v>30</v>
      </c>
      <c r="U926">
        <v>8</v>
      </c>
      <c r="V926">
        <v>12</v>
      </c>
      <c r="W926" s="18">
        <f>IFERROR(Table1[[#This Row],[Staff Hours Worked]]/Table1[[#This Row],[Staff Available Hours]],0)</f>
        <v>0.66666666666666663</v>
      </c>
      <c r="X926" t="s">
        <v>31</v>
      </c>
    </row>
    <row r="927" spans="1:24">
      <c r="A927" t="s">
        <v>984</v>
      </c>
      <c r="B927">
        <v>19</v>
      </c>
      <c r="C927" t="str" cm="1">
        <f t="array" ref="C927">_xlfn.IFS(B927&lt;=18,"0-18",B927&lt;=35,"19-35",B927&lt;=50,"36-50",B927&lt;=65,"51-65","True","65+")</f>
        <v>19-35</v>
      </c>
      <c r="D927" t="s">
        <v>41</v>
      </c>
      <c r="E927" s="6">
        <v>44996</v>
      </c>
      <c r="F927" s="6">
        <v>45248</v>
      </c>
      <c r="G927">
        <v>15</v>
      </c>
      <c r="H927" t="s">
        <v>23</v>
      </c>
      <c r="I927">
        <v>2</v>
      </c>
      <c r="J927" t="s">
        <v>46</v>
      </c>
      <c r="K927">
        <v>23617</v>
      </c>
      <c r="L927" t="s">
        <v>53</v>
      </c>
      <c r="M927" t="s">
        <v>26</v>
      </c>
      <c r="N927" t="s">
        <v>27</v>
      </c>
      <c r="O927" s="2">
        <v>45229</v>
      </c>
      <c r="P927" s="2">
        <v>45229.666666666664</v>
      </c>
      <c r="Q927" s="38">
        <f t="shared" si="14"/>
        <v>0.66666666666424135</v>
      </c>
      <c r="R927" t="s">
        <v>28</v>
      </c>
      <c r="S927" t="s">
        <v>29</v>
      </c>
      <c r="T927" t="s">
        <v>30</v>
      </c>
      <c r="U927">
        <v>9</v>
      </c>
      <c r="V927">
        <v>8</v>
      </c>
      <c r="W927" s="18">
        <f>IFERROR(Table1[[#This Row],[Staff Hours Worked]]/Table1[[#This Row],[Staff Available Hours]],0)</f>
        <v>1.125</v>
      </c>
      <c r="X927" t="s">
        <v>48</v>
      </c>
    </row>
    <row r="928" spans="1:24">
      <c r="A928" t="s">
        <v>985</v>
      </c>
      <c r="B928">
        <v>84</v>
      </c>
      <c r="C928" t="str" cm="1">
        <f t="array" ref="C928">_xlfn.IFS(B928&lt;=18,"0-18",B928&lt;=35,"19-35",B928&lt;=50,"36-50",B928&lt;=65,"51-65","True","65+")</f>
        <v>65+</v>
      </c>
      <c r="D928" t="s">
        <v>45</v>
      </c>
      <c r="E928" s="6">
        <v>45568</v>
      </c>
      <c r="F928" s="6">
        <v>45368</v>
      </c>
      <c r="G928">
        <v>7</v>
      </c>
      <c r="H928" t="s">
        <v>50</v>
      </c>
      <c r="I928">
        <v>5</v>
      </c>
      <c r="J928" t="s">
        <v>66</v>
      </c>
      <c r="K928">
        <v>32115</v>
      </c>
      <c r="L928" t="s">
        <v>67</v>
      </c>
      <c r="M928" t="s">
        <v>26</v>
      </c>
      <c r="N928" t="s">
        <v>27</v>
      </c>
      <c r="O928" s="2">
        <v>45476</v>
      </c>
      <c r="P928" s="2">
        <v>45476.791666666664</v>
      </c>
      <c r="Q928" s="38">
        <f t="shared" si="14"/>
        <v>0.79166666666424135</v>
      </c>
      <c r="R928" t="s">
        <v>28</v>
      </c>
      <c r="S928" t="s">
        <v>29</v>
      </c>
      <c r="T928" t="s">
        <v>47</v>
      </c>
      <c r="U928">
        <v>7</v>
      </c>
      <c r="V928">
        <v>8</v>
      </c>
      <c r="W928" s="18">
        <f>IFERROR(Table1[[#This Row],[Staff Hours Worked]]/Table1[[#This Row],[Staff Available Hours]],0)</f>
        <v>0.875</v>
      </c>
      <c r="X928" t="s">
        <v>48</v>
      </c>
    </row>
    <row r="929" spans="1:24">
      <c r="A929" t="s">
        <v>986</v>
      </c>
      <c r="B929">
        <v>20</v>
      </c>
      <c r="C929" t="str" cm="1">
        <f t="array" ref="C929">_xlfn.IFS(B929&lt;=18,"0-18",B929&lt;=35,"19-35",B929&lt;=50,"36-50",B929&lt;=65,"51-65","True","65+")</f>
        <v>19-35</v>
      </c>
      <c r="D929" t="s">
        <v>62</v>
      </c>
      <c r="E929" s="6">
        <v>45183</v>
      </c>
      <c r="F929" s="6">
        <v>45189</v>
      </c>
      <c r="G929">
        <v>6</v>
      </c>
      <c r="H929" t="s">
        <v>40</v>
      </c>
      <c r="I929">
        <v>4</v>
      </c>
      <c r="J929" t="s">
        <v>71</v>
      </c>
      <c r="K929">
        <v>42376</v>
      </c>
      <c r="L929" t="s">
        <v>53</v>
      </c>
      <c r="M929" t="s">
        <v>26</v>
      </c>
      <c r="N929" t="s">
        <v>27</v>
      </c>
      <c r="O929" s="2">
        <v>45183</v>
      </c>
      <c r="P929" s="2">
        <v>45183.708333333336</v>
      </c>
      <c r="Q929" s="38">
        <f t="shared" si="14"/>
        <v>0.70833333333575865</v>
      </c>
      <c r="R929" t="s">
        <v>37</v>
      </c>
      <c r="S929" t="s">
        <v>29</v>
      </c>
      <c r="T929" t="s">
        <v>30</v>
      </c>
      <c r="U929">
        <v>7</v>
      </c>
      <c r="V929">
        <v>8</v>
      </c>
      <c r="W929" s="18">
        <f>IFERROR(Table1[[#This Row],[Staff Hours Worked]]/Table1[[#This Row],[Staff Available Hours]],0)</f>
        <v>0.875</v>
      </c>
      <c r="X929" t="s">
        <v>68</v>
      </c>
    </row>
    <row r="930" spans="1:24">
      <c r="A930" t="s">
        <v>987</v>
      </c>
      <c r="B930">
        <v>12</v>
      </c>
      <c r="C930" t="str" cm="1">
        <f t="array" ref="C930">_xlfn.IFS(B930&lt;=18,"0-18",B930&lt;=35,"19-35",B930&lt;=50,"36-50",B930&lt;=65,"51-65","True","65+")</f>
        <v>0-18</v>
      </c>
      <c r="D930" t="s">
        <v>45</v>
      </c>
      <c r="E930" s="6">
        <v>45630</v>
      </c>
      <c r="F930" s="6">
        <v>45397</v>
      </c>
      <c r="G930">
        <v>3</v>
      </c>
      <c r="H930" t="s">
        <v>63</v>
      </c>
      <c r="I930">
        <v>3</v>
      </c>
      <c r="J930" t="s">
        <v>35</v>
      </c>
      <c r="K930">
        <v>16906</v>
      </c>
      <c r="L930" t="s">
        <v>67</v>
      </c>
      <c r="M930" t="s">
        <v>26</v>
      </c>
      <c r="N930" t="s">
        <v>27</v>
      </c>
      <c r="O930" s="2">
        <v>45630</v>
      </c>
      <c r="P930" s="2">
        <v>45630.875</v>
      </c>
      <c r="Q930" s="38">
        <f t="shared" si="14"/>
        <v>0.875</v>
      </c>
      <c r="R930" t="s">
        <v>64</v>
      </c>
      <c r="S930" t="s">
        <v>29</v>
      </c>
      <c r="T930" t="s">
        <v>30</v>
      </c>
      <c r="U930">
        <v>7</v>
      </c>
      <c r="V930">
        <v>10</v>
      </c>
      <c r="W930" s="18">
        <f>IFERROR(Table1[[#This Row],[Staff Hours Worked]]/Table1[[#This Row],[Staff Available Hours]],0)</f>
        <v>0.7</v>
      </c>
      <c r="X930" t="s">
        <v>68</v>
      </c>
    </row>
    <row r="931" spans="1:24">
      <c r="A931" t="s">
        <v>988</v>
      </c>
      <c r="B931">
        <v>47</v>
      </c>
      <c r="C931" t="str" cm="1">
        <f t="array" ref="C931">_xlfn.IFS(B931&lt;=18,"0-18",B931&lt;=35,"19-35",B931&lt;=50,"36-50",B931&lt;=65,"51-65","True","65+")</f>
        <v>36-50</v>
      </c>
      <c r="D931" t="s">
        <v>41</v>
      </c>
      <c r="E931" s="6">
        <v>45088</v>
      </c>
      <c r="F931" s="6">
        <v>45244</v>
      </c>
      <c r="G931">
        <v>8</v>
      </c>
      <c r="H931" t="s">
        <v>23</v>
      </c>
      <c r="I931">
        <v>2</v>
      </c>
      <c r="J931" t="s">
        <v>35</v>
      </c>
      <c r="K931">
        <v>45002</v>
      </c>
      <c r="L931" t="s">
        <v>53</v>
      </c>
      <c r="M931" t="s">
        <v>54</v>
      </c>
      <c r="N931" t="s">
        <v>41</v>
      </c>
      <c r="O931" s="2">
        <v>44968</v>
      </c>
      <c r="P931" s="2">
        <v>44996.083333333336</v>
      </c>
      <c r="Q931" s="38">
        <f t="shared" si="14"/>
        <v>28.083333333335759</v>
      </c>
      <c r="R931" t="s">
        <v>64</v>
      </c>
      <c r="S931" t="s">
        <v>38</v>
      </c>
      <c r="T931" t="s">
        <v>47</v>
      </c>
      <c r="U931">
        <v>4</v>
      </c>
      <c r="V931">
        <v>8</v>
      </c>
      <c r="W931" s="18">
        <f>IFERROR(Table1[[#This Row],[Staff Hours Worked]]/Table1[[#This Row],[Staff Available Hours]],0)</f>
        <v>0.5</v>
      </c>
      <c r="X931" t="s">
        <v>48</v>
      </c>
    </row>
    <row r="932" spans="1:24">
      <c r="A932" t="s">
        <v>989</v>
      </c>
      <c r="B932">
        <v>1</v>
      </c>
      <c r="C932" t="str" cm="1">
        <f t="array" ref="C932">_xlfn.IFS(B932&lt;=18,"0-18",B932&lt;=35,"19-35",B932&lt;=50,"36-50",B932&lt;=65,"51-65","True","65+")</f>
        <v>0-18</v>
      </c>
      <c r="D932" t="s">
        <v>22</v>
      </c>
      <c r="E932" s="6">
        <v>45130</v>
      </c>
      <c r="F932" s="6">
        <v>45024</v>
      </c>
      <c r="G932">
        <v>12</v>
      </c>
      <c r="H932" t="s">
        <v>50</v>
      </c>
      <c r="I932">
        <v>2</v>
      </c>
      <c r="J932" t="s">
        <v>66</v>
      </c>
      <c r="K932">
        <v>11610</v>
      </c>
      <c r="L932" t="s">
        <v>53</v>
      </c>
      <c r="M932" t="s">
        <v>54</v>
      </c>
      <c r="N932" t="s">
        <v>27</v>
      </c>
      <c r="O932" s="2">
        <v>45125</v>
      </c>
      <c r="P932" s="2">
        <v>45126.875</v>
      </c>
      <c r="Q932" s="38">
        <f t="shared" si="14"/>
        <v>1.875</v>
      </c>
      <c r="R932" t="s">
        <v>42</v>
      </c>
      <c r="S932" t="s">
        <v>29</v>
      </c>
      <c r="T932" t="s">
        <v>30</v>
      </c>
      <c r="U932">
        <v>10</v>
      </c>
      <c r="V932">
        <v>10</v>
      </c>
      <c r="W932" s="18">
        <f>IFERROR(Table1[[#This Row],[Staff Hours Worked]]/Table1[[#This Row],[Staff Available Hours]],0)</f>
        <v>1</v>
      </c>
      <c r="X932" t="s">
        <v>68</v>
      </c>
    </row>
    <row r="933" spans="1:24">
      <c r="A933" t="s">
        <v>990</v>
      </c>
      <c r="B933">
        <v>14</v>
      </c>
      <c r="C933" t="str" cm="1">
        <f t="array" ref="C933">_xlfn.IFS(B933&lt;=18,"0-18",B933&lt;=35,"19-35",B933&lt;=50,"36-50",B933&lt;=65,"51-65","True","65+")</f>
        <v>0-18</v>
      </c>
      <c r="D933" t="s">
        <v>41</v>
      </c>
      <c r="E933" s="6">
        <v>45320</v>
      </c>
      <c r="F933" s="6">
        <v>45445</v>
      </c>
      <c r="G933">
        <v>8</v>
      </c>
      <c r="H933" t="s">
        <v>23</v>
      </c>
      <c r="I933">
        <v>5</v>
      </c>
      <c r="J933" t="s">
        <v>46</v>
      </c>
      <c r="K933">
        <v>48292</v>
      </c>
      <c r="L933" t="s">
        <v>67</v>
      </c>
      <c r="M933" t="s">
        <v>26</v>
      </c>
      <c r="N933" t="s">
        <v>27</v>
      </c>
      <c r="O933" s="2">
        <v>45318</v>
      </c>
      <c r="P933" s="2">
        <v>45320</v>
      </c>
      <c r="Q933" s="38">
        <f t="shared" si="14"/>
        <v>2</v>
      </c>
      <c r="R933" t="s">
        <v>42</v>
      </c>
      <c r="S933" t="s">
        <v>29</v>
      </c>
      <c r="T933" t="s">
        <v>30</v>
      </c>
      <c r="U933">
        <v>8</v>
      </c>
      <c r="V933">
        <v>8</v>
      </c>
      <c r="W933" s="18">
        <f>IFERROR(Table1[[#This Row],[Staff Hours Worked]]/Table1[[#This Row],[Staff Available Hours]],0)</f>
        <v>1</v>
      </c>
      <c r="X933" t="s">
        <v>48</v>
      </c>
    </row>
    <row r="934" spans="1:24">
      <c r="A934" t="s">
        <v>991</v>
      </c>
      <c r="B934">
        <v>64</v>
      </c>
      <c r="C934" t="str" cm="1">
        <f t="array" ref="C934">_xlfn.IFS(B934&lt;=18,"0-18",B934&lt;=35,"19-35",B934&lt;=50,"36-50",B934&lt;=65,"51-65","True","65+")</f>
        <v>51-65</v>
      </c>
      <c r="D934" t="s">
        <v>22</v>
      </c>
      <c r="E934" s="6">
        <v>45540</v>
      </c>
      <c r="F934" s="6">
        <v>45427</v>
      </c>
      <c r="G934">
        <v>6</v>
      </c>
      <c r="H934" t="s">
        <v>34</v>
      </c>
      <c r="I934">
        <v>5</v>
      </c>
      <c r="J934" t="s">
        <v>24</v>
      </c>
      <c r="K934">
        <v>18411</v>
      </c>
      <c r="L934" t="s">
        <v>67</v>
      </c>
      <c r="M934" t="s">
        <v>54</v>
      </c>
      <c r="N934" t="s">
        <v>41</v>
      </c>
      <c r="O934" s="2">
        <v>45417</v>
      </c>
      <c r="P934" s="2">
        <v>45417.875</v>
      </c>
      <c r="Q934" s="38">
        <f t="shared" si="14"/>
        <v>0.875</v>
      </c>
      <c r="R934" t="s">
        <v>64</v>
      </c>
      <c r="S934" t="s">
        <v>29</v>
      </c>
      <c r="T934" t="s">
        <v>30</v>
      </c>
      <c r="U934">
        <v>5</v>
      </c>
      <c r="V934">
        <v>8</v>
      </c>
      <c r="W934" s="18">
        <f>IFERROR(Table1[[#This Row],[Staff Hours Worked]]/Table1[[#This Row],[Staff Available Hours]],0)</f>
        <v>0.625</v>
      </c>
      <c r="X934" t="s">
        <v>48</v>
      </c>
    </row>
    <row r="935" spans="1:24">
      <c r="A935" t="s">
        <v>992</v>
      </c>
      <c r="B935">
        <v>38</v>
      </c>
      <c r="C935" t="str" cm="1">
        <f t="array" ref="C935">_xlfn.IFS(B935&lt;=18,"0-18",B935&lt;=35,"19-35",B935&lt;=50,"36-50",B935&lt;=65,"51-65","True","65+")</f>
        <v>36-50</v>
      </c>
      <c r="D935" t="s">
        <v>52</v>
      </c>
      <c r="E935" s="6">
        <v>45036</v>
      </c>
      <c r="F935" s="6">
        <v>45051</v>
      </c>
      <c r="G935">
        <v>15</v>
      </c>
      <c r="H935" t="s">
        <v>34</v>
      </c>
      <c r="I935">
        <v>1</v>
      </c>
      <c r="J935" t="s">
        <v>66</v>
      </c>
      <c r="K935">
        <v>14180</v>
      </c>
      <c r="L935" t="s">
        <v>53</v>
      </c>
      <c r="M935" t="s">
        <v>54</v>
      </c>
      <c r="N935" t="s">
        <v>27</v>
      </c>
      <c r="O935" s="2">
        <v>45034</v>
      </c>
      <c r="P935" s="2">
        <v>45034.875</v>
      </c>
      <c r="Q935" s="38">
        <f t="shared" si="14"/>
        <v>0.875</v>
      </c>
      <c r="R935" t="s">
        <v>37</v>
      </c>
      <c r="S935" t="s">
        <v>29</v>
      </c>
      <c r="T935" t="s">
        <v>30</v>
      </c>
      <c r="U935">
        <v>4</v>
      </c>
      <c r="V935">
        <v>10</v>
      </c>
      <c r="W935" s="18">
        <f>IFERROR(Table1[[#This Row],[Staff Hours Worked]]/Table1[[#This Row],[Staff Available Hours]],0)</f>
        <v>0.4</v>
      </c>
      <c r="X935" t="s">
        <v>31</v>
      </c>
    </row>
    <row r="936" spans="1:24">
      <c r="A936" t="s">
        <v>993</v>
      </c>
      <c r="B936">
        <v>37</v>
      </c>
      <c r="C936" t="str" cm="1">
        <f t="array" ref="C936">_xlfn.IFS(B936&lt;=18,"0-18",B936&lt;=35,"19-35",B936&lt;=50,"36-50",B936&lt;=65,"51-65","True","65+")</f>
        <v>36-50</v>
      </c>
      <c r="D936" t="s">
        <v>33</v>
      </c>
      <c r="E936" s="6">
        <v>45169</v>
      </c>
      <c r="F936" s="6">
        <v>45182</v>
      </c>
      <c r="G936">
        <v>13</v>
      </c>
      <c r="H936" t="s">
        <v>57</v>
      </c>
      <c r="I936">
        <v>1</v>
      </c>
      <c r="J936" t="s">
        <v>71</v>
      </c>
      <c r="K936">
        <v>15073</v>
      </c>
      <c r="L936" t="s">
        <v>36</v>
      </c>
      <c r="M936" t="s">
        <v>54</v>
      </c>
      <c r="N936" t="s">
        <v>27</v>
      </c>
      <c r="O936" s="2">
        <v>45169</v>
      </c>
      <c r="P936" s="2">
        <v>44935.208333333336</v>
      </c>
      <c r="Q936" s="38">
        <f t="shared" si="14"/>
        <v>233.79166666666424</v>
      </c>
      <c r="R936" t="s">
        <v>64</v>
      </c>
      <c r="S936" t="s">
        <v>29</v>
      </c>
      <c r="T936" t="s">
        <v>47</v>
      </c>
      <c r="U936">
        <v>4</v>
      </c>
      <c r="V936">
        <v>10</v>
      </c>
      <c r="W936" s="18">
        <f>IFERROR(Table1[[#This Row],[Staff Hours Worked]]/Table1[[#This Row],[Staff Available Hours]],0)</f>
        <v>0.4</v>
      </c>
      <c r="X936" t="s">
        <v>68</v>
      </c>
    </row>
    <row r="937" spans="1:24">
      <c r="A937" t="s">
        <v>994</v>
      </c>
      <c r="B937">
        <v>11</v>
      </c>
      <c r="C937" t="str" cm="1">
        <f t="array" ref="C937">_xlfn.IFS(B937&lt;=18,"0-18",B937&lt;=35,"19-35",B937&lt;=50,"36-50",B937&lt;=65,"51-65","True","65+")</f>
        <v>0-18</v>
      </c>
      <c r="D937" t="s">
        <v>41</v>
      </c>
      <c r="E937" s="6">
        <v>45317</v>
      </c>
      <c r="F937" s="6">
        <v>45384</v>
      </c>
      <c r="G937">
        <v>9</v>
      </c>
      <c r="H937" t="s">
        <v>40</v>
      </c>
      <c r="I937">
        <v>1</v>
      </c>
      <c r="J937" t="s">
        <v>71</v>
      </c>
      <c r="K937">
        <v>42251</v>
      </c>
      <c r="L937" t="s">
        <v>67</v>
      </c>
      <c r="M937" t="s">
        <v>26</v>
      </c>
      <c r="N937" t="s">
        <v>27</v>
      </c>
      <c r="O937" s="2">
        <v>45313</v>
      </c>
      <c r="P937" s="2">
        <v>45313.75</v>
      </c>
      <c r="Q937" s="38">
        <f t="shared" si="14"/>
        <v>0.75</v>
      </c>
      <c r="R937" t="s">
        <v>42</v>
      </c>
      <c r="S937" t="s">
        <v>29</v>
      </c>
      <c r="T937" t="s">
        <v>43</v>
      </c>
      <c r="U937">
        <v>4</v>
      </c>
      <c r="V937">
        <v>12</v>
      </c>
      <c r="W937" s="18">
        <f>IFERROR(Table1[[#This Row],[Staff Hours Worked]]/Table1[[#This Row],[Staff Available Hours]],0)</f>
        <v>0.33333333333333331</v>
      </c>
      <c r="X937" t="s">
        <v>68</v>
      </c>
    </row>
    <row r="938" spans="1:24">
      <c r="A938" t="s">
        <v>995</v>
      </c>
      <c r="B938">
        <v>77</v>
      </c>
      <c r="C938" t="str" cm="1">
        <f t="array" ref="C938">_xlfn.IFS(B938&lt;=18,"0-18",B938&lt;=35,"19-35",B938&lt;=50,"36-50",B938&lt;=65,"51-65","True","65+")</f>
        <v>65+</v>
      </c>
      <c r="D938" t="s">
        <v>45</v>
      </c>
      <c r="E938" s="6">
        <v>45352</v>
      </c>
      <c r="F938" s="6">
        <v>45505</v>
      </c>
      <c r="G938">
        <v>5</v>
      </c>
      <c r="H938" t="s">
        <v>34</v>
      </c>
      <c r="I938">
        <v>5</v>
      </c>
      <c r="J938" t="s">
        <v>35</v>
      </c>
      <c r="K938">
        <v>35960</v>
      </c>
      <c r="L938" t="s">
        <v>25</v>
      </c>
      <c r="M938" t="s">
        <v>54</v>
      </c>
      <c r="N938" t="s">
        <v>41</v>
      </c>
      <c r="O938" s="2">
        <v>45289</v>
      </c>
      <c r="P938" s="2">
        <v>45289.625</v>
      </c>
      <c r="Q938" s="38">
        <f t="shared" si="14"/>
        <v>0.625</v>
      </c>
      <c r="R938" t="s">
        <v>64</v>
      </c>
      <c r="S938" t="s">
        <v>29</v>
      </c>
      <c r="T938" t="s">
        <v>43</v>
      </c>
      <c r="U938">
        <v>9</v>
      </c>
      <c r="V938">
        <v>8</v>
      </c>
      <c r="W938" s="18">
        <f>IFERROR(Table1[[#This Row],[Staff Hours Worked]]/Table1[[#This Row],[Staff Available Hours]],0)</f>
        <v>1.125</v>
      </c>
      <c r="X938" t="s">
        <v>68</v>
      </c>
    </row>
    <row r="939" spans="1:24">
      <c r="A939" t="s">
        <v>996</v>
      </c>
      <c r="B939">
        <v>3</v>
      </c>
      <c r="C939" t="str" cm="1">
        <f t="array" ref="C939">_xlfn.IFS(B939&lt;=18,"0-18",B939&lt;=35,"19-35",B939&lt;=50,"36-50",B939&lt;=65,"51-65","True","65+")</f>
        <v>0-18</v>
      </c>
      <c r="D939" t="s">
        <v>52</v>
      </c>
      <c r="E939" s="6">
        <v>45229</v>
      </c>
      <c r="F939" s="6">
        <v>45271</v>
      </c>
      <c r="G939">
        <v>13</v>
      </c>
      <c r="H939" t="s">
        <v>23</v>
      </c>
      <c r="I939">
        <v>1</v>
      </c>
      <c r="J939" t="s">
        <v>71</v>
      </c>
      <c r="K939">
        <v>10901</v>
      </c>
      <c r="L939" t="s">
        <v>60</v>
      </c>
      <c r="M939" t="s">
        <v>26</v>
      </c>
      <c r="N939" t="s">
        <v>27</v>
      </c>
      <c r="O939" s="2">
        <v>45224</v>
      </c>
      <c r="P939" s="2">
        <v>45224.208333333336</v>
      </c>
      <c r="Q939" s="38">
        <f t="shared" si="14"/>
        <v>0.20833333333575865</v>
      </c>
      <c r="R939" t="s">
        <v>42</v>
      </c>
      <c r="S939" t="s">
        <v>29</v>
      </c>
      <c r="T939" t="s">
        <v>30</v>
      </c>
      <c r="U939">
        <v>11</v>
      </c>
      <c r="V939">
        <v>10</v>
      </c>
      <c r="W939" s="18">
        <f>IFERROR(Table1[[#This Row],[Staff Hours Worked]]/Table1[[#This Row],[Staff Available Hours]],0)</f>
        <v>1.1000000000000001</v>
      </c>
      <c r="X939" t="s">
        <v>31</v>
      </c>
    </row>
    <row r="940" spans="1:24">
      <c r="A940" t="s">
        <v>997</v>
      </c>
      <c r="B940">
        <v>33</v>
      </c>
      <c r="C940" t="str" cm="1">
        <f t="array" ref="C940">_xlfn.IFS(B940&lt;=18,"0-18",B940&lt;=35,"19-35",B940&lt;=50,"36-50",B940&lt;=65,"51-65","True","65+")</f>
        <v>19-35</v>
      </c>
      <c r="D940" t="s">
        <v>33</v>
      </c>
      <c r="E940" s="6">
        <v>45229</v>
      </c>
      <c r="F940" s="6">
        <v>44937</v>
      </c>
      <c r="G940">
        <v>2</v>
      </c>
      <c r="H940" t="s">
        <v>40</v>
      </c>
      <c r="I940">
        <v>1</v>
      </c>
      <c r="J940" t="s">
        <v>66</v>
      </c>
      <c r="K940">
        <v>43897</v>
      </c>
      <c r="L940" t="s">
        <v>53</v>
      </c>
      <c r="M940" t="s">
        <v>54</v>
      </c>
      <c r="N940" t="s">
        <v>27</v>
      </c>
      <c r="O940" s="2">
        <v>45226</v>
      </c>
      <c r="P940" s="2">
        <v>45226.541666666664</v>
      </c>
      <c r="Q940" s="38">
        <f t="shared" si="14"/>
        <v>0.54166666666424135</v>
      </c>
      <c r="R940" t="s">
        <v>64</v>
      </c>
      <c r="S940" t="s">
        <v>29</v>
      </c>
      <c r="T940" t="s">
        <v>47</v>
      </c>
      <c r="U940">
        <v>10</v>
      </c>
      <c r="V940">
        <v>12</v>
      </c>
      <c r="W940" s="18">
        <f>IFERROR(Table1[[#This Row],[Staff Hours Worked]]/Table1[[#This Row],[Staff Available Hours]],0)</f>
        <v>0.83333333333333337</v>
      </c>
      <c r="X940" t="s">
        <v>31</v>
      </c>
    </row>
    <row r="941" spans="1:24">
      <c r="A941" t="s">
        <v>998</v>
      </c>
      <c r="B941">
        <v>6</v>
      </c>
      <c r="C941" t="str" cm="1">
        <f t="array" ref="C941">_xlfn.IFS(B941&lt;=18,"0-18",B941&lt;=35,"19-35",B941&lt;=50,"36-50",B941&lt;=65,"51-65","True","65+")</f>
        <v>0-18</v>
      </c>
      <c r="D941" t="s">
        <v>45</v>
      </c>
      <c r="E941" s="6">
        <v>44949</v>
      </c>
      <c r="F941" s="6">
        <v>45018</v>
      </c>
      <c r="G941">
        <v>12</v>
      </c>
      <c r="H941" t="s">
        <v>34</v>
      </c>
      <c r="I941">
        <v>3</v>
      </c>
      <c r="J941" t="s">
        <v>71</v>
      </c>
      <c r="K941">
        <v>48183</v>
      </c>
      <c r="L941" t="s">
        <v>53</v>
      </c>
      <c r="M941" t="s">
        <v>26</v>
      </c>
      <c r="N941" t="s">
        <v>41</v>
      </c>
      <c r="O941" s="2">
        <v>44948</v>
      </c>
      <c r="P941" s="2">
        <v>44948.375</v>
      </c>
      <c r="Q941" s="38">
        <f t="shared" si="14"/>
        <v>0.375</v>
      </c>
      <c r="R941" t="s">
        <v>55</v>
      </c>
      <c r="S941" t="s">
        <v>29</v>
      </c>
      <c r="T941" t="s">
        <v>47</v>
      </c>
      <c r="U941">
        <v>10</v>
      </c>
      <c r="V941">
        <v>12</v>
      </c>
      <c r="W941" s="18">
        <f>IFERROR(Table1[[#This Row],[Staff Hours Worked]]/Table1[[#This Row],[Staff Available Hours]],0)</f>
        <v>0.83333333333333337</v>
      </c>
      <c r="X941" t="s">
        <v>31</v>
      </c>
    </row>
    <row r="942" spans="1:24">
      <c r="A942" t="s">
        <v>999</v>
      </c>
      <c r="B942">
        <v>50</v>
      </c>
      <c r="C942" t="str" cm="1">
        <f t="array" ref="C942">_xlfn.IFS(B942&lt;=18,"0-18",B942&lt;=35,"19-35",B942&lt;=50,"36-50",B942&lt;=65,"51-65","True","65+")</f>
        <v>36-50</v>
      </c>
      <c r="D942" t="s">
        <v>62</v>
      </c>
      <c r="E942" s="6">
        <v>45567</v>
      </c>
      <c r="F942" s="6">
        <v>45339</v>
      </c>
      <c r="G942">
        <v>7</v>
      </c>
      <c r="H942" t="s">
        <v>57</v>
      </c>
      <c r="I942">
        <v>1</v>
      </c>
      <c r="J942" t="s">
        <v>66</v>
      </c>
      <c r="K942">
        <v>9482</v>
      </c>
      <c r="L942" t="s">
        <v>60</v>
      </c>
      <c r="M942" t="s">
        <v>54</v>
      </c>
      <c r="N942" t="s">
        <v>27</v>
      </c>
      <c r="O942" s="2">
        <v>45567</v>
      </c>
      <c r="P942" s="2">
        <v>45598.583333333336</v>
      </c>
      <c r="Q942" s="38">
        <f t="shared" si="14"/>
        <v>31.583333333335759</v>
      </c>
      <c r="R942" t="s">
        <v>42</v>
      </c>
      <c r="S942" t="s">
        <v>29</v>
      </c>
      <c r="T942" t="s">
        <v>30</v>
      </c>
      <c r="U942">
        <v>5</v>
      </c>
      <c r="V942">
        <v>10</v>
      </c>
      <c r="W942" s="18">
        <f>IFERROR(Table1[[#This Row],[Staff Hours Worked]]/Table1[[#This Row],[Staff Available Hours]],0)</f>
        <v>0.5</v>
      </c>
      <c r="X942" t="s">
        <v>68</v>
      </c>
    </row>
    <row r="943" spans="1:24">
      <c r="A943" t="s">
        <v>1000</v>
      </c>
      <c r="B943">
        <v>10</v>
      </c>
      <c r="C943" t="str" cm="1">
        <f t="array" ref="C943">_xlfn.IFS(B943&lt;=18,"0-18",B943&lt;=35,"19-35",B943&lt;=50,"36-50",B943&lt;=65,"51-65","True","65+")</f>
        <v>0-18</v>
      </c>
      <c r="D943" t="s">
        <v>45</v>
      </c>
      <c r="E943" s="6">
        <v>45179</v>
      </c>
      <c r="F943" s="6">
        <v>45240</v>
      </c>
      <c r="G943">
        <v>2</v>
      </c>
      <c r="H943" t="s">
        <v>63</v>
      </c>
      <c r="I943">
        <v>2</v>
      </c>
      <c r="J943" t="s">
        <v>24</v>
      </c>
      <c r="K943">
        <v>47454</v>
      </c>
      <c r="L943" t="s">
        <v>36</v>
      </c>
      <c r="M943" t="s">
        <v>26</v>
      </c>
      <c r="N943" t="s">
        <v>27</v>
      </c>
      <c r="O943" s="2">
        <v>45179</v>
      </c>
      <c r="P943" s="2">
        <v>45179.291666666664</v>
      </c>
      <c r="Q943" s="38">
        <f t="shared" si="14"/>
        <v>0.29166666666424135</v>
      </c>
      <c r="R943" t="s">
        <v>37</v>
      </c>
      <c r="S943" t="s">
        <v>29</v>
      </c>
      <c r="T943" t="s">
        <v>43</v>
      </c>
      <c r="U943">
        <v>11</v>
      </c>
      <c r="V943">
        <v>8</v>
      </c>
      <c r="W943" s="18">
        <f>IFERROR(Table1[[#This Row],[Staff Hours Worked]]/Table1[[#This Row],[Staff Available Hours]],0)</f>
        <v>1.375</v>
      </c>
      <c r="X943" t="s">
        <v>68</v>
      </c>
    </row>
    <row r="944" spans="1:24">
      <c r="A944" t="s">
        <v>1001</v>
      </c>
      <c r="B944">
        <v>5</v>
      </c>
      <c r="C944" t="str" cm="1">
        <f t="array" ref="C944">_xlfn.IFS(B944&lt;=18,"0-18",B944&lt;=35,"19-35",B944&lt;=50,"36-50",B944&lt;=65,"51-65","True","65+")</f>
        <v>0-18</v>
      </c>
      <c r="D944" t="s">
        <v>22</v>
      </c>
      <c r="E944" s="6">
        <v>45170</v>
      </c>
      <c r="F944" s="6">
        <v>44942</v>
      </c>
      <c r="G944">
        <v>7</v>
      </c>
      <c r="H944" t="s">
        <v>57</v>
      </c>
      <c r="I944">
        <v>5</v>
      </c>
      <c r="J944" t="s">
        <v>35</v>
      </c>
      <c r="K944">
        <v>30428</v>
      </c>
      <c r="L944" t="s">
        <v>60</v>
      </c>
      <c r="M944" t="s">
        <v>54</v>
      </c>
      <c r="N944" t="s">
        <v>41</v>
      </c>
      <c r="O944" s="2">
        <v>45047</v>
      </c>
      <c r="P944" s="2">
        <v>45047.416666666664</v>
      </c>
      <c r="Q944" s="38">
        <f t="shared" si="14"/>
        <v>0.41666666666424135</v>
      </c>
      <c r="R944" t="s">
        <v>55</v>
      </c>
      <c r="S944" t="s">
        <v>29</v>
      </c>
      <c r="T944" t="s">
        <v>30</v>
      </c>
      <c r="U944">
        <v>7</v>
      </c>
      <c r="V944">
        <v>12</v>
      </c>
      <c r="W944" s="18">
        <f>IFERROR(Table1[[#This Row],[Staff Hours Worked]]/Table1[[#This Row],[Staff Available Hours]],0)</f>
        <v>0.58333333333333337</v>
      </c>
      <c r="X944" t="s">
        <v>68</v>
      </c>
    </row>
    <row r="945" spans="1:24">
      <c r="A945" t="s">
        <v>1002</v>
      </c>
      <c r="B945">
        <v>23</v>
      </c>
      <c r="C945" t="str" cm="1">
        <f t="array" ref="C945">_xlfn.IFS(B945&lt;=18,"0-18",B945&lt;=35,"19-35",B945&lt;=50,"36-50",B945&lt;=65,"51-65","True","65+")</f>
        <v>19-35</v>
      </c>
      <c r="D945" t="s">
        <v>22</v>
      </c>
      <c r="E945" s="6">
        <v>44977</v>
      </c>
      <c r="F945" s="6">
        <v>44960</v>
      </c>
      <c r="G945">
        <v>10</v>
      </c>
      <c r="H945" t="s">
        <v>50</v>
      </c>
      <c r="I945">
        <v>4</v>
      </c>
      <c r="J945" t="s">
        <v>71</v>
      </c>
      <c r="K945">
        <v>12400</v>
      </c>
      <c r="L945" t="s">
        <v>67</v>
      </c>
      <c r="M945" t="s">
        <v>26</v>
      </c>
      <c r="N945" t="s">
        <v>27</v>
      </c>
      <c r="O945" s="2">
        <v>44976</v>
      </c>
      <c r="P945" s="2">
        <v>44976.291666666664</v>
      </c>
      <c r="Q945" s="38">
        <f t="shared" si="14"/>
        <v>0.29166666666424135</v>
      </c>
      <c r="R945" t="s">
        <v>64</v>
      </c>
      <c r="S945" t="s">
        <v>29</v>
      </c>
      <c r="T945" t="s">
        <v>47</v>
      </c>
      <c r="U945">
        <v>9</v>
      </c>
      <c r="V945">
        <v>8</v>
      </c>
      <c r="W945" s="18">
        <f>IFERROR(Table1[[#This Row],[Staff Hours Worked]]/Table1[[#This Row],[Staff Available Hours]],0)</f>
        <v>1.125</v>
      </c>
      <c r="X945" t="s">
        <v>31</v>
      </c>
    </row>
    <row r="946" spans="1:24">
      <c r="A946" t="s">
        <v>1003</v>
      </c>
      <c r="B946">
        <v>10</v>
      </c>
      <c r="C946" t="str" cm="1">
        <f t="array" ref="C946">_xlfn.IFS(B946&lt;=18,"0-18",B946&lt;=35,"19-35",B946&lt;=50,"36-50",B946&lt;=65,"51-65","True","65+")</f>
        <v>0-18</v>
      </c>
      <c r="D946" t="s">
        <v>62</v>
      </c>
      <c r="E946" s="6">
        <v>45435</v>
      </c>
      <c r="F946" s="6">
        <v>45449</v>
      </c>
      <c r="G946">
        <v>14</v>
      </c>
      <c r="H946" t="s">
        <v>34</v>
      </c>
      <c r="I946">
        <v>3</v>
      </c>
      <c r="J946" t="s">
        <v>66</v>
      </c>
      <c r="K946">
        <v>44574</v>
      </c>
      <c r="L946" t="s">
        <v>60</v>
      </c>
      <c r="M946" t="s">
        <v>54</v>
      </c>
      <c r="N946" t="s">
        <v>27</v>
      </c>
      <c r="O946" s="2">
        <v>45434</v>
      </c>
      <c r="P946" s="2">
        <v>45434.458333333336</v>
      </c>
      <c r="Q946" s="38">
        <f t="shared" si="14"/>
        <v>0.45833333333575865</v>
      </c>
      <c r="R946" t="s">
        <v>42</v>
      </c>
      <c r="S946" t="s">
        <v>29</v>
      </c>
      <c r="T946" t="s">
        <v>47</v>
      </c>
      <c r="U946">
        <v>8</v>
      </c>
      <c r="V946">
        <v>8</v>
      </c>
      <c r="W946" s="18">
        <f>IFERROR(Table1[[#This Row],[Staff Hours Worked]]/Table1[[#This Row],[Staff Available Hours]],0)</f>
        <v>1</v>
      </c>
      <c r="X946" t="s">
        <v>31</v>
      </c>
    </row>
    <row r="947" spans="1:24">
      <c r="A947" t="s">
        <v>1004</v>
      </c>
      <c r="B947">
        <v>44</v>
      </c>
      <c r="C947" t="str" cm="1">
        <f t="array" ref="C947">_xlfn.IFS(B947&lt;=18,"0-18",B947&lt;=35,"19-35",B947&lt;=50,"36-50",B947&lt;=65,"51-65","True","65+")</f>
        <v>36-50</v>
      </c>
      <c r="D947" t="s">
        <v>52</v>
      </c>
      <c r="E947" s="6">
        <v>45220</v>
      </c>
      <c r="F947" s="6">
        <v>45223</v>
      </c>
      <c r="G947">
        <v>3</v>
      </c>
      <c r="H947" t="s">
        <v>50</v>
      </c>
      <c r="I947">
        <v>5</v>
      </c>
      <c r="J947" t="s">
        <v>46</v>
      </c>
      <c r="K947">
        <v>48284</v>
      </c>
      <c r="L947" t="s">
        <v>53</v>
      </c>
      <c r="M947" t="s">
        <v>54</v>
      </c>
      <c r="N947" t="s">
        <v>27</v>
      </c>
      <c r="O947" s="2">
        <v>45219</v>
      </c>
      <c r="P947" s="2">
        <v>45220.208333333336</v>
      </c>
      <c r="Q947" s="38">
        <f t="shared" si="14"/>
        <v>1.2083333333357587</v>
      </c>
      <c r="R947" t="s">
        <v>55</v>
      </c>
      <c r="S947" t="s">
        <v>29</v>
      </c>
      <c r="T947" t="s">
        <v>43</v>
      </c>
      <c r="U947">
        <v>11</v>
      </c>
      <c r="V947">
        <v>12</v>
      </c>
      <c r="W947" s="18">
        <f>IFERROR(Table1[[#This Row],[Staff Hours Worked]]/Table1[[#This Row],[Staff Available Hours]],0)</f>
        <v>0.91666666666666663</v>
      </c>
      <c r="X947" t="s">
        <v>48</v>
      </c>
    </row>
    <row r="948" spans="1:24">
      <c r="A948" t="s">
        <v>1005</v>
      </c>
      <c r="B948">
        <v>2</v>
      </c>
      <c r="C948" t="str" cm="1">
        <f t="array" ref="C948">_xlfn.IFS(B948&lt;=18,"0-18",B948&lt;=35,"19-35",B948&lt;=50,"36-50",B948&lt;=65,"51-65","True","65+")</f>
        <v>0-18</v>
      </c>
      <c r="D948" t="s">
        <v>33</v>
      </c>
      <c r="E948" s="6">
        <v>45162</v>
      </c>
      <c r="F948" s="6">
        <v>44966</v>
      </c>
      <c r="G948">
        <v>9</v>
      </c>
      <c r="H948" t="s">
        <v>50</v>
      </c>
      <c r="I948">
        <v>5</v>
      </c>
      <c r="J948" t="s">
        <v>35</v>
      </c>
      <c r="K948">
        <v>12396</v>
      </c>
      <c r="L948" t="s">
        <v>60</v>
      </c>
      <c r="M948" t="s">
        <v>54</v>
      </c>
      <c r="N948" t="s">
        <v>41</v>
      </c>
      <c r="O948" s="2">
        <v>45158</v>
      </c>
      <c r="P948" s="2">
        <v>45159.25</v>
      </c>
      <c r="Q948" s="38">
        <f t="shared" si="14"/>
        <v>1.25</v>
      </c>
      <c r="R948" t="s">
        <v>37</v>
      </c>
      <c r="S948" t="s">
        <v>29</v>
      </c>
      <c r="T948" t="s">
        <v>47</v>
      </c>
      <c r="U948">
        <v>6</v>
      </c>
      <c r="V948">
        <v>10</v>
      </c>
      <c r="W948" s="18">
        <f>IFERROR(Table1[[#This Row],[Staff Hours Worked]]/Table1[[#This Row],[Staff Available Hours]],0)</f>
        <v>0.6</v>
      </c>
      <c r="X948" t="s">
        <v>31</v>
      </c>
    </row>
    <row r="949" spans="1:24">
      <c r="A949" t="s">
        <v>1006</v>
      </c>
      <c r="B949">
        <v>13</v>
      </c>
      <c r="C949" t="str" cm="1">
        <f t="array" ref="C949">_xlfn.IFS(B949&lt;=18,"0-18",B949&lt;=35,"19-35",B949&lt;=50,"36-50",B949&lt;=65,"51-65","True","65+")</f>
        <v>0-18</v>
      </c>
      <c r="D949" t="s">
        <v>45</v>
      </c>
      <c r="E949" s="6">
        <v>45287</v>
      </c>
      <c r="F949" s="6">
        <v>45292</v>
      </c>
      <c r="G949">
        <v>5</v>
      </c>
      <c r="H949" t="s">
        <v>23</v>
      </c>
      <c r="I949">
        <v>2</v>
      </c>
      <c r="J949" t="s">
        <v>24</v>
      </c>
      <c r="K949">
        <v>12338</v>
      </c>
      <c r="L949" t="s">
        <v>25</v>
      </c>
      <c r="M949" t="s">
        <v>54</v>
      </c>
      <c r="N949" t="s">
        <v>41</v>
      </c>
      <c r="O949" s="2">
        <v>45283</v>
      </c>
      <c r="P949" s="2">
        <v>45283.875</v>
      </c>
      <c r="Q949" s="38">
        <f t="shared" si="14"/>
        <v>0.875</v>
      </c>
      <c r="R949" t="s">
        <v>42</v>
      </c>
      <c r="S949" t="s">
        <v>29</v>
      </c>
      <c r="T949" t="s">
        <v>47</v>
      </c>
      <c r="U949">
        <v>9</v>
      </c>
      <c r="V949">
        <v>8</v>
      </c>
      <c r="W949" s="18">
        <f>IFERROR(Table1[[#This Row],[Staff Hours Worked]]/Table1[[#This Row],[Staff Available Hours]],0)</f>
        <v>1.125</v>
      </c>
      <c r="X949" t="s">
        <v>48</v>
      </c>
    </row>
    <row r="950" spans="1:24">
      <c r="A950" t="s">
        <v>1007</v>
      </c>
      <c r="B950">
        <v>40</v>
      </c>
      <c r="C950" t="str" cm="1">
        <f t="array" ref="C950">_xlfn.IFS(B950&lt;=18,"0-18",B950&lt;=35,"19-35",B950&lt;=50,"36-50",B950&lt;=65,"51-65","True","65+")</f>
        <v>36-50</v>
      </c>
      <c r="D950" t="s">
        <v>22</v>
      </c>
      <c r="E950" s="6">
        <v>45151</v>
      </c>
      <c r="F950" s="6">
        <v>45157</v>
      </c>
      <c r="G950">
        <v>6</v>
      </c>
      <c r="H950" t="s">
        <v>40</v>
      </c>
      <c r="I950">
        <v>1</v>
      </c>
      <c r="J950" t="s">
        <v>66</v>
      </c>
      <c r="K950">
        <v>47718</v>
      </c>
      <c r="L950" t="s">
        <v>67</v>
      </c>
      <c r="M950" t="s">
        <v>54</v>
      </c>
      <c r="N950" t="s">
        <v>41</v>
      </c>
      <c r="O950" s="2">
        <v>45238</v>
      </c>
      <c r="P950" s="2">
        <v>45268.125</v>
      </c>
      <c r="Q950" s="38">
        <f t="shared" si="14"/>
        <v>30.125</v>
      </c>
      <c r="R950" t="s">
        <v>55</v>
      </c>
      <c r="S950" t="s">
        <v>29</v>
      </c>
      <c r="T950" t="s">
        <v>47</v>
      </c>
      <c r="U950">
        <v>6</v>
      </c>
      <c r="V950">
        <v>10</v>
      </c>
      <c r="W950" s="18">
        <f>IFERROR(Table1[[#This Row],[Staff Hours Worked]]/Table1[[#This Row],[Staff Available Hours]],0)</f>
        <v>0.6</v>
      </c>
      <c r="X950" t="s">
        <v>68</v>
      </c>
    </row>
    <row r="951" spans="1:24">
      <c r="A951" t="s">
        <v>1008</v>
      </c>
      <c r="B951">
        <v>2</v>
      </c>
      <c r="C951" t="str" cm="1">
        <f t="array" ref="C951">_xlfn.IFS(B951&lt;=18,"0-18",B951&lt;=35,"19-35",B951&lt;=50,"36-50",B951&lt;=65,"51-65","True","65+")</f>
        <v>0-18</v>
      </c>
      <c r="D951" t="s">
        <v>52</v>
      </c>
      <c r="E951" s="6">
        <v>45121</v>
      </c>
      <c r="F951" s="6">
        <v>45123</v>
      </c>
      <c r="G951">
        <v>2</v>
      </c>
      <c r="H951" t="s">
        <v>23</v>
      </c>
      <c r="I951">
        <v>2</v>
      </c>
      <c r="J951" t="s">
        <v>24</v>
      </c>
      <c r="K951">
        <v>17500</v>
      </c>
      <c r="L951" t="s">
        <v>60</v>
      </c>
      <c r="M951" t="s">
        <v>54</v>
      </c>
      <c r="N951" t="s">
        <v>27</v>
      </c>
      <c r="O951" s="2">
        <v>45267</v>
      </c>
      <c r="P951" s="2">
        <v>45267.333333333336</v>
      </c>
      <c r="Q951" s="38">
        <f t="shared" si="14"/>
        <v>0.33333333333575865</v>
      </c>
      <c r="R951" t="s">
        <v>55</v>
      </c>
      <c r="S951" t="s">
        <v>29</v>
      </c>
      <c r="T951" t="s">
        <v>43</v>
      </c>
      <c r="U951">
        <v>8</v>
      </c>
      <c r="V951">
        <v>12</v>
      </c>
      <c r="W951" s="18">
        <f>IFERROR(Table1[[#This Row],[Staff Hours Worked]]/Table1[[#This Row],[Staff Available Hours]],0)</f>
        <v>0.66666666666666663</v>
      </c>
      <c r="X951" t="s">
        <v>31</v>
      </c>
    </row>
    <row r="952" spans="1:24">
      <c r="A952" t="s">
        <v>1009</v>
      </c>
      <c r="B952">
        <v>84</v>
      </c>
      <c r="C952" t="str" cm="1">
        <f t="array" ref="C952">_xlfn.IFS(B952&lt;=18,"0-18",B952&lt;=35,"19-35",B952&lt;=50,"36-50",B952&lt;=65,"51-65","True","65+")</f>
        <v>65+</v>
      </c>
      <c r="D952" t="s">
        <v>62</v>
      </c>
      <c r="E952" s="6">
        <v>45183</v>
      </c>
      <c r="F952" s="6">
        <v>45185</v>
      </c>
      <c r="G952">
        <v>2</v>
      </c>
      <c r="H952" t="s">
        <v>34</v>
      </c>
      <c r="I952">
        <v>1</v>
      </c>
      <c r="J952" t="s">
        <v>24</v>
      </c>
      <c r="K952">
        <v>16545</v>
      </c>
      <c r="L952" t="s">
        <v>53</v>
      </c>
      <c r="M952" t="s">
        <v>26</v>
      </c>
      <c r="N952" t="s">
        <v>27</v>
      </c>
      <c r="O952" s="2">
        <v>45269</v>
      </c>
      <c r="P952" s="2">
        <v>45182.458333333336</v>
      </c>
      <c r="Q952" s="38">
        <f t="shared" si="14"/>
        <v>86.541666666664241</v>
      </c>
      <c r="R952" t="s">
        <v>55</v>
      </c>
      <c r="S952" t="s">
        <v>29</v>
      </c>
      <c r="T952" t="s">
        <v>47</v>
      </c>
      <c r="U952">
        <v>5</v>
      </c>
      <c r="V952">
        <v>8</v>
      </c>
      <c r="W952" s="18">
        <f>IFERROR(Table1[[#This Row],[Staff Hours Worked]]/Table1[[#This Row],[Staff Available Hours]],0)</f>
        <v>0.625</v>
      </c>
      <c r="X952" t="s">
        <v>68</v>
      </c>
    </row>
    <row r="953" spans="1:24">
      <c r="A953" t="s">
        <v>1010</v>
      </c>
      <c r="B953">
        <v>65</v>
      </c>
      <c r="C953" t="str" cm="1">
        <f t="array" ref="C953">_xlfn.IFS(B953&lt;=18,"0-18",B953&lt;=35,"19-35",B953&lt;=50,"36-50",B953&lt;=65,"51-65","True","65+")</f>
        <v>51-65</v>
      </c>
      <c r="D953" t="s">
        <v>41</v>
      </c>
      <c r="E953" s="6">
        <v>45067</v>
      </c>
      <c r="F953" s="6">
        <v>45073</v>
      </c>
      <c r="G953">
        <v>6</v>
      </c>
      <c r="H953" t="s">
        <v>50</v>
      </c>
      <c r="I953">
        <v>1</v>
      </c>
      <c r="J953" t="s">
        <v>71</v>
      </c>
      <c r="K953">
        <v>10241</v>
      </c>
      <c r="L953" t="s">
        <v>67</v>
      </c>
      <c r="M953" t="s">
        <v>26</v>
      </c>
      <c r="N953" t="s">
        <v>41</v>
      </c>
      <c r="O953" s="2">
        <v>45064</v>
      </c>
      <c r="P953" s="2">
        <v>45064.958333333336</v>
      </c>
      <c r="Q953" s="38">
        <f t="shared" si="14"/>
        <v>0.95833333333575865</v>
      </c>
      <c r="R953" t="s">
        <v>28</v>
      </c>
      <c r="S953" t="s">
        <v>29</v>
      </c>
      <c r="T953" t="s">
        <v>30</v>
      </c>
      <c r="U953">
        <v>10</v>
      </c>
      <c r="V953">
        <v>10</v>
      </c>
      <c r="W953" s="18">
        <f>IFERROR(Table1[[#This Row],[Staff Hours Worked]]/Table1[[#This Row],[Staff Available Hours]],0)</f>
        <v>1</v>
      </c>
      <c r="X953" t="s">
        <v>68</v>
      </c>
    </row>
    <row r="954" spans="1:24">
      <c r="A954" t="s">
        <v>1011</v>
      </c>
      <c r="B954">
        <v>63</v>
      </c>
      <c r="C954" t="str" cm="1">
        <f t="array" ref="C954">_xlfn.IFS(B954&lt;=18,"0-18",B954&lt;=35,"19-35",B954&lt;=50,"36-50",B954&lt;=65,"51-65","True","65+")</f>
        <v>51-65</v>
      </c>
      <c r="D954" t="s">
        <v>22</v>
      </c>
      <c r="E954" s="6">
        <v>45203</v>
      </c>
      <c r="F954" s="6">
        <v>45037</v>
      </c>
      <c r="G954">
        <v>11</v>
      </c>
      <c r="H954" t="s">
        <v>63</v>
      </c>
      <c r="I954">
        <v>5</v>
      </c>
      <c r="J954" t="s">
        <v>71</v>
      </c>
      <c r="K954">
        <v>28778</v>
      </c>
      <c r="L954" t="s">
        <v>53</v>
      </c>
      <c r="M954" t="s">
        <v>54</v>
      </c>
      <c r="N954" t="s">
        <v>41</v>
      </c>
      <c r="O954" s="2">
        <v>45203</v>
      </c>
      <c r="P954" s="2">
        <v>45203.583333333336</v>
      </c>
      <c r="Q954" s="38">
        <f t="shared" si="14"/>
        <v>0.58333333333575865</v>
      </c>
      <c r="R954" t="s">
        <v>64</v>
      </c>
      <c r="S954" t="s">
        <v>38</v>
      </c>
      <c r="T954" t="s">
        <v>43</v>
      </c>
      <c r="U954">
        <v>6</v>
      </c>
      <c r="V954">
        <v>10</v>
      </c>
      <c r="W954" s="18">
        <f>IFERROR(Table1[[#This Row],[Staff Hours Worked]]/Table1[[#This Row],[Staff Available Hours]],0)</f>
        <v>0.6</v>
      </c>
      <c r="X954" t="s">
        <v>68</v>
      </c>
    </row>
    <row r="955" spans="1:24">
      <c r="A955" t="s">
        <v>1012</v>
      </c>
      <c r="B955">
        <v>73</v>
      </c>
      <c r="C955" t="str" cm="1">
        <f t="array" ref="C955">_xlfn.IFS(B955&lt;=18,"0-18",B955&lt;=35,"19-35",B955&lt;=50,"36-50",B955&lt;=65,"51-65","True","65+")</f>
        <v>65+</v>
      </c>
      <c r="D955" t="s">
        <v>62</v>
      </c>
      <c r="E955" s="6">
        <v>45201</v>
      </c>
      <c r="F955" s="6">
        <v>44972</v>
      </c>
      <c r="G955">
        <v>5</v>
      </c>
      <c r="H955" t="s">
        <v>50</v>
      </c>
      <c r="I955">
        <v>1</v>
      </c>
      <c r="J955" t="s">
        <v>66</v>
      </c>
      <c r="K955">
        <v>27821</v>
      </c>
      <c r="L955" t="s">
        <v>36</v>
      </c>
      <c r="M955" t="s">
        <v>26</v>
      </c>
      <c r="N955" t="s">
        <v>27</v>
      </c>
      <c r="O955" s="2">
        <v>45140</v>
      </c>
      <c r="P955" s="2">
        <v>45171.208333333336</v>
      </c>
      <c r="Q955" s="38">
        <f t="shared" si="14"/>
        <v>31.208333333335759</v>
      </c>
      <c r="R955" t="s">
        <v>42</v>
      </c>
      <c r="S955" t="s">
        <v>29</v>
      </c>
      <c r="T955" t="s">
        <v>30</v>
      </c>
      <c r="U955">
        <v>4</v>
      </c>
      <c r="V955">
        <v>8</v>
      </c>
      <c r="W955" s="18">
        <f>IFERROR(Table1[[#This Row],[Staff Hours Worked]]/Table1[[#This Row],[Staff Available Hours]],0)</f>
        <v>0.5</v>
      </c>
      <c r="X955" t="s">
        <v>68</v>
      </c>
    </row>
    <row r="956" spans="1:24">
      <c r="A956" t="s">
        <v>1013</v>
      </c>
      <c r="B956">
        <v>17</v>
      </c>
      <c r="C956" t="str" cm="1">
        <f t="array" ref="C956">_xlfn.IFS(B956&lt;=18,"0-18",B956&lt;=35,"19-35",B956&lt;=50,"36-50",B956&lt;=65,"51-65","True","65+")</f>
        <v>0-18</v>
      </c>
      <c r="D956" t="s">
        <v>45</v>
      </c>
      <c r="E956" s="6">
        <v>45243</v>
      </c>
      <c r="F956" s="6">
        <v>45248</v>
      </c>
      <c r="G956">
        <v>5</v>
      </c>
      <c r="H956" t="s">
        <v>63</v>
      </c>
      <c r="I956">
        <v>3</v>
      </c>
      <c r="J956" t="s">
        <v>46</v>
      </c>
      <c r="K956">
        <v>9695</v>
      </c>
      <c r="L956" t="s">
        <v>25</v>
      </c>
      <c r="M956" t="s">
        <v>54</v>
      </c>
      <c r="N956" t="s">
        <v>27</v>
      </c>
      <c r="O956" s="2">
        <v>45210</v>
      </c>
      <c r="P956" s="2">
        <v>45210.833333333336</v>
      </c>
      <c r="Q956" s="38">
        <f t="shared" si="14"/>
        <v>0.83333333333575865</v>
      </c>
      <c r="R956" t="s">
        <v>42</v>
      </c>
      <c r="S956" t="s">
        <v>29</v>
      </c>
      <c r="T956" t="s">
        <v>30</v>
      </c>
      <c r="U956">
        <v>9</v>
      </c>
      <c r="V956">
        <v>10</v>
      </c>
      <c r="W956" s="18">
        <f>IFERROR(Table1[[#This Row],[Staff Hours Worked]]/Table1[[#This Row],[Staff Available Hours]],0)</f>
        <v>0.9</v>
      </c>
      <c r="X956" t="s">
        <v>31</v>
      </c>
    </row>
    <row r="957" spans="1:24">
      <c r="A957" t="s">
        <v>1014</v>
      </c>
      <c r="B957">
        <v>9</v>
      </c>
      <c r="C957" t="str" cm="1">
        <f t="array" ref="C957">_xlfn.IFS(B957&lt;=18,"0-18",B957&lt;=35,"19-35",B957&lt;=50,"36-50",B957&lt;=65,"51-65","True","65+")</f>
        <v>0-18</v>
      </c>
      <c r="D957" t="s">
        <v>33</v>
      </c>
      <c r="E957" s="6">
        <v>45378</v>
      </c>
      <c r="F957" s="6">
        <v>45386</v>
      </c>
      <c r="G957">
        <v>8</v>
      </c>
      <c r="H957" t="s">
        <v>23</v>
      </c>
      <c r="I957">
        <v>3</v>
      </c>
      <c r="J957" t="s">
        <v>66</v>
      </c>
      <c r="K957">
        <v>16530</v>
      </c>
      <c r="L957" t="s">
        <v>36</v>
      </c>
      <c r="M957" t="s">
        <v>54</v>
      </c>
      <c r="N957" t="s">
        <v>27</v>
      </c>
      <c r="O957" s="2">
        <v>45375</v>
      </c>
      <c r="P957" s="2">
        <v>45376.25</v>
      </c>
      <c r="Q957" s="38">
        <f t="shared" si="14"/>
        <v>1.25</v>
      </c>
      <c r="R957" t="s">
        <v>42</v>
      </c>
      <c r="S957" t="s">
        <v>38</v>
      </c>
      <c r="T957" t="s">
        <v>43</v>
      </c>
      <c r="U957">
        <v>11</v>
      </c>
      <c r="V957">
        <v>10</v>
      </c>
      <c r="W957" s="18">
        <f>IFERROR(Table1[[#This Row],[Staff Hours Worked]]/Table1[[#This Row],[Staff Available Hours]],0)</f>
        <v>1.1000000000000001</v>
      </c>
      <c r="X957" t="s">
        <v>68</v>
      </c>
    </row>
    <row r="958" spans="1:24">
      <c r="A958" t="s">
        <v>1015</v>
      </c>
      <c r="B958">
        <v>75</v>
      </c>
      <c r="C958" t="str" cm="1">
        <f t="array" ref="C958">_xlfn.IFS(B958&lt;=18,"0-18",B958&lt;=35,"19-35",B958&lt;=50,"36-50",B958&lt;=65,"51-65","True","65+")</f>
        <v>65+</v>
      </c>
      <c r="D958" t="s">
        <v>22</v>
      </c>
      <c r="E958" s="6">
        <v>45018</v>
      </c>
      <c r="F958" s="6">
        <v>44971</v>
      </c>
      <c r="G958">
        <v>10</v>
      </c>
      <c r="H958" t="s">
        <v>23</v>
      </c>
      <c r="I958">
        <v>3</v>
      </c>
      <c r="J958" t="s">
        <v>46</v>
      </c>
      <c r="K958">
        <v>19318</v>
      </c>
      <c r="L958" t="s">
        <v>25</v>
      </c>
      <c r="M958" t="s">
        <v>54</v>
      </c>
      <c r="N958" t="s">
        <v>27</v>
      </c>
      <c r="O958" s="2">
        <v>44957</v>
      </c>
      <c r="P958" s="2">
        <v>44957.708333333336</v>
      </c>
      <c r="Q958" s="38">
        <f t="shared" si="14"/>
        <v>0.70833333333575865</v>
      </c>
      <c r="R958" t="s">
        <v>55</v>
      </c>
      <c r="S958" t="s">
        <v>29</v>
      </c>
      <c r="T958" t="s">
        <v>30</v>
      </c>
      <c r="U958">
        <v>11</v>
      </c>
      <c r="V958">
        <v>12</v>
      </c>
      <c r="W958" s="18">
        <f>IFERROR(Table1[[#This Row],[Staff Hours Worked]]/Table1[[#This Row],[Staff Available Hours]],0)</f>
        <v>0.91666666666666663</v>
      </c>
      <c r="X958" t="s">
        <v>48</v>
      </c>
    </row>
    <row r="959" spans="1:24">
      <c r="A959" t="s">
        <v>1016</v>
      </c>
      <c r="B959">
        <v>15</v>
      </c>
      <c r="C959" t="str" cm="1">
        <f t="array" ref="C959">_xlfn.IFS(B959&lt;=18,"0-18",B959&lt;=35,"19-35",B959&lt;=50,"36-50",B959&lt;=65,"51-65","True","65+")</f>
        <v>0-18</v>
      </c>
      <c r="D959" t="s">
        <v>22</v>
      </c>
      <c r="E959" s="6">
        <v>45536</v>
      </c>
      <c r="F959" s="6">
        <v>45312</v>
      </c>
      <c r="G959">
        <v>12</v>
      </c>
      <c r="H959" t="s">
        <v>40</v>
      </c>
      <c r="I959">
        <v>5</v>
      </c>
      <c r="J959" t="s">
        <v>24</v>
      </c>
      <c r="K959">
        <v>27331</v>
      </c>
      <c r="L959" t="s">
        <v>60</v>
      </c>
      <c r="M959" t="s">
        <v>54</v>
      </c>
      <c r="N959" t="s">
        <v>27</v>
      </c>
      <c r="O959" s="2">
        <v>45505</v>
      </c>
      <c r="P959" s="2">
        <v>45505.333333333336</v>
      </c>
      <c r="Q959" s="38">
        <f t="shared" si="14"/>
        <v>0.33333333333575865</v>
      </c>
      <c r="R959" t="s">
        <v>64</v>
      </c>
      <c r="S959" t="s">
        <v>29</v>
      </c>
      <c r="T959" t="s">
        <v>43</v>
      </c>
      <c r="U959">
        <v>6</v>
      </c>
      <c r="V959">
        <v>12</v>
      </c>
      <c r="W959" s="18">
        <f>IFERROR(Table1[[#This Row],[Staff Hours Worked]]/Table1[[#This Row],[Staff Available Hours]],0)</f>
        <v>0.5</v>
      </c>
      <c r="X959" t="s">
        <v>31</v>
      </c>
    </row>
    <row r="960" spans="1:24">
      <c r="A960" t="s">
        <v>1017</v>
      </c>
      <c r="B960">
        <v>24</v>
      </c>
      <c r="C960" t="str" cm="1">
        <f t="array" ref="C960">_xlfn.IFS(B960&lt;=18,"0-18",B960&lt;=35,"19-35",B960&lt;=50,"36-50",B960&lt;=65,"51-65","True","65+")</f>
        <v>19-35</v>
      </c>
      <c r="D960" t="s">
        <v>45</v>
      </c>
      <c r="E960" s="6">
        <v>45061</v>
      </c>
      <c r="F960" s="6">
        <v>45068</v>
      </c>
      <c r="G960">
        <v>7</v>
      </c>
      <c r="H960" t="s">
        <v>50</v>
      </c>
      <c r="I960">
        <v>2</v>
      </c>
      <c r="J960" t="s">
        <v>35</v>
      </c>
      <c r="K960">
        <v>31355</v>
      </c>
      <c r="L960" t="s">
        <v>67</v>
      </c>
      <c r="M960" t="s">
        <v>54</v>
      </c>
      <c r="N960" t="s">
        <v>41</v>
      </c>
      <c r="O960" s="2">
        <v>45204</v>
      </c>
      <c r="P960" s="2">
        <v>45204.25</v>
      </c>
      <c r="Q960" s="38">
        <f t="shared" si="14"/>
        <v>0.25</v>
      </c>
      <c r="R960" t="s">
        <v>37</v>
      </c>
      <c r="S960" t="s">
        <v>29</v>
      </c>
      <c r="T960" t="s">
        <v>30</v>
      </c>
      <c r="U960">
        <v>8</v>
      </c>
      <c r="V960">
        <v>10</v>
      </c>
      <c r="W960" s="18">
        <f>IFERROR(Table1[[#This Row],[Staff Hours Worked]]/Table1[[#This Row],[Staff Available Hours]],0)</f>
        <v>0.8</v>
      </c>
      <c r="X960" t="s">
        <v>68</v>
      </c>
    </row>
    <row r="961" spans="1:24">
      <c r="A961" t="s">
        <v>1018</v>
      </c>
      <c r="B961">
        <v>38</v>
      </c>
      <c r="C961" t="str" cm="1">
        <f t="array" ref="C961">_xlfn.IFS(B961&lt;=18,"0-18",B961&lt;=35,"19-35",B961&lt;=50,"36-50",B961&lt;=65,"51-65","True","65+")</f>
        <v>36-50</v>
      </c>
      <c r="D961" t="s">
        <v>41</v>
      </c>
      <c r="E961" s="6">
        <v>44989</v>
      </c>
      <c r="F961" s="6">
        <v>45081</v>
      </c>
      <c r="G961">
        <v>3</v>
      </c>
      <c r="H961" t="s">
        <v>57</v>
      </c>
      <c r="I961">
        <v>4</v>
      </c>
      <c r="J961" t="s">
        <v>66</v>
      </c>
      <c r="K961">
        <v>16324</v>
      </c>
      <c r="L961" t="s">
        <v>60</v>
      </c>
      <c r="M961" t="s">
        <v>26</v>
      </c>
      <c r="N961" t="s">
        <v>27</v>
      </c>
      <c r="O961" s="2">
        <v>44961</v>
      </c>
      <c r="P961" s="2">
        <v>44961.458333333336</v>
      </c>
      <c r="Q961" s="38">
        <f t="shared" si="14"/>
        <v>0.45833333333575865</v>
      </c>
      <c r="R961" t="s">
        <v>42</v>
      </c>
      <c r="S961" t="s">
        <v>29</v>
      </c>
      <c r="T961" t="s">
        <v>43</v>
      </c>
      <c r="U961">
        <v>10</v>
      </c>
      <c r="V961">
        <v>10</v>
      </c>
      <c r="W961" s="18">
        <f>IFERROR(Table1[[#This Row],[Staff Hours Worked]]/Table1[[#This Row],[Staff Available Hours]],0)</f>
        <v>1</v>
      </c>
      <c r="X961" t="s">
        <v>31</v>
      </c>
    </row>
    <row r="962" spans="1:24">
      <c r="A962" t="s">
        <v>1019</v>
      </c>
      <c r="B962">
        <v>35</v>
      </c>
      <c r="C962" t="str" cm="1">
        <f t="array" ref="C962">_xlfn.IFS(B962&lt;=18,"0-18",B962&lt;=35,"19-35",B962&lt;=50,"36-50",B962&lt;=65,"51-65","True","65+")</f>
        <v>19-35</v>
      </c>
      <c r="D962" t="s">
        <v>52</v>
      </c>
      <c r="E962" s="6">
        <v>45229</v>
      </c>
      <c r="F962" s="6">
        <v>45241</v>
      </c>
      <c r="G962">
        <v>12</v>
      </c>
      <c r="H962" t="s">
        <v>23</v>
      </c>
      <c r="I962">
        <v>1</v>
      </c>
      <c r="J962" t="s">
        <v>66</v>
      </c>
      <c r="K962">
        <v>33149</v>
      </c>
      <c r="L962" t="s">
        <v>25</v>
      </c>
      <c r="M962" t="s">
        <v>54</v>
      </c>
      <c r="N962" t="s">
        <v>27</v>
      </c>
      <c r="O962" s="2">
        <v>45227</v>
      </c>
      <c r="P962" s="2">
        <v>45228.833333333336</v>
      </c>
      <c r="Q962" s="38">
        <f t="shared" ref="Q962:Q1025" si="15">IF(OR(O962="",P962=""),"",ABS(P962-O962))</f>
        <v>1.8333333333357587</v>
      </c>
      <c r="R962" t="s">
        <v>64</v>
      </c>
      <c r="S962" t="s">
        <v>29</v>
      </c>
      <c r="T962" t="s">
        <v>47</v>
      </c>
      <c r="U962">
        <v>4</v>
      </c>
      <c r="V962">
        <v>8</v>
      </c>
      <c r="W962" s="18">
        <f>IFERROR(Table1[[#This Row],[Staff Hours Worked]]/Table1[[#This Row],[Staff Available Hours]],0)</f>
        <v>0.5</v>
      </c>
      <c r="X962" t="s">
        <v>48</v>
      </c>
    </row>
    <row r="963" spans="1:24">
      <c r="A963" t="s">
        <v>1020</v>
      </c>
      <c r="B963">
        <v>49</v>
      </c>
      <c r="C963" t="str" cm="1">
        <f t="array" ref="C963">_xlfn.IFS(B963&lt;=18,"0-18",B963&lt;=35,"19-35",B963&lt;=50,"36-50",B963&lt;=65,"51-65","True","65+")</f>
        <v>36-50</v>
      </c>
      <c r="D963" t="s">
        <v>33</v>
      </c>
      <c r="E963" s="6">
        <v>44938</v>
      </c>
      <c r="F963" s="6">
        <v>45181</v>
      </c>
      <c r="G963">
        <v>8</v>
      </c>
      <c r="H963" t="s">
        <v>23</v>
      </c>
      <c r="I963">
        <v>4</v>
      </c>
      <c r="J963" t="s">
        <v>46</v>
      </c>
      <c r="K963">
        <v>8218</v>
      </c>
      <c r="L963" t="s">
        <v>25</v>
      </c>
      <c r="M963" t="s">
        <v>54</v>
      </c>
      <c r="N963" t="s">
        <v>27</v>
      </c>
      <c r="O963" s="2">
        <v>45256</v>
      </c>
      <c r="P963" s="2">
        <v>45256.833333333336</v>
      </c>
      <c r="Q963" s="38">
        <f t="shared" si="15"/>
        <v>0.83333333333575865</v>
      </c>
      <c r="R963" t="s">
        <v>64</v>
      </c>
      <c r="S963" t="s">
        <v>38</v>
      </c>
      <c r="T963" t="s">
        <v>47</v>
      </c>
      <c r="U963">
        <v>11</v>
      </c>
      <c r="V963">
        <v>12</v>
      </c>
      <c r="W963" s="18">
        <f>IFERROR(Table1[[#This Row],[Staff Hours Worked]]/Table1[[#This Row],[Staff Available Hours]],0)</f>
        <v>0.91666666666666663</v>
      </c>
      <c r="X963" t="s">
        <v>68</v>
      </c>
    </row>
    <row r="964" spans="1:24">
      <c r="A964" t="s">
        <v>1021</v>
      </c>
      <c r="B964">
        <v>69</v>
      </c>
      <c r="C964" t="str" cm="1">
        <f t="array" ref="C964">_xlfn.IFS(B964&lt;=18,"0-18",B964&lt;=35,"19-35",B964&lt;=50,"36-50",B964&lt;=65,"51-65","True","65+")</f>
        <v>65+</v>
      </c>
      <c r="D964" t="s">
        <v>22</v>
      </c>
      <c r="E964" s="6">
        <v>45294</v>
      </c>
      <c r="F964" s="6">
        <v>45476</v>
      </c>
      <c r="G964">
        <v>6</v>
      </c>
      <c r="H964" t="s">
        <v>40</v>
      </c>
      <c r="I964">
        <v>2</v>
      </c>
      <c r="J964" t="s">
        <v>24</v>
      </c>
      <c r="K964">
        <v>25141</v>
      </c>
      <c r="L964" t="s">
        <v>25</v>
      </c>
      <c r="M964" t="s">
        <v>54</v>
      </c>
      <c r="N964" t="s">
        <v>27</v>
      </c>
      <c r="O964" s="2">
        <v>45294</v>
      </c>
      <c r="P964" s="2">
        <v>45325.916666666664</v>
      </c>
      <c r="Q964" s="38">
        <f t="shared" si="15"/>
        <v>31.916666666664241</v>
      </c>
      <c r="R964" t="s">
        <v>28</v>
      </c>
      <c r="S964" t="s">
        <v>29</v>
      </c>
      <c r="T964" t="s">
        <v>30</v>
      </c>
      <c r="U964">
        <v>6</v>
      </c>
      <c r="V964">
        <v>8</v>
      </c>
      <c r="W964" s="18">
        <f>IFERROR(Table1[[#This Row],[Staff Hours Worked]]/Table1[[#This Row],[Staff Available Hours]],0)</f>
        <v>0.75</v>
      </c>
      <c r="X964" t="s">
        <v>48</v>
      </c>
    </row>
    <row r="965" spans="1:24">
      <c r="A965" t="s">
        <v>1022</v>
      </c>
      <c r="B965">
        <v>62</v>
      </c>
      <c r="C965" t="str" cm="1">
        <f t="array" ref="C965">_xlfn.IFS(B965&lt;=18,"0-18",B965&lt;=35,"19-35",B965&lt;=50,"36-50",B965&lt;=65,"51-65","True","65+")</f>
        <v>51-65</v>
      </c>
      <c r="D965" t="s">
        <v>33</v>
      </c>
      <c r="E965" s="6">
        <v>45106</v>
      </c>
      <c r="F965" s="6">
        <v>45114</v>
      </c>
      <c r="G965">
        <v>8</v>
      </c>
      <c r="H965" t="s">
        <v>63</v>
      </c>
      <c r="I965">
        <v>2</v>
      </c>
      <c r="J965" t="s">
        <v>24</v>
      </c>
      <c r="K965">
        <v>41784</v>
      </c>
      <c r="L965" t="s">
        <v>53</v>
      </c>
      <c r="M965" t="s">
        <v>26</v>
      </c>
      <c r="N965" t="s">
        <v>41</v>
      </c>
      <c r="O965" s="2">
        <v>45101</v>
      </c>
      <c r="P965" s="2">
        <v>45102.875</v>
      </c>
      <c r="Q965" s="38">
        <f t="shared" si="15"/>
        <v>1.875</v>
      </c>
      <c r="R965" t="s">
        <v>42</v>
      </c>
      <c r="S965" t="s">
        <v>29</v>
      </c>
      <c r="T965" t="s">
        <v>47</v>
      </c>
      <c r="U965">
        <v>10</v>
      </c>
      <c r="V965">
        <v>10</v>
      </c>
      <c r="W965" s="18">
        <f>IFERROR(Table1[[#This Row],[Staff Hours Worked]]/Table1[[#This Row],[Staff Available Hours]],0)</f>
        <v>1</v>
      </c>
      <c r="X965" t="s">
        <v>68</v>
      </c>
    </row>
    <row r="966" spans="1:24">
      <c r="A966" t="s">
        <v>1023</v>
      </c>
      <c r="B966">
        <v>60</v>
      </c>
      <c r="C966" t="str" cm="1">
        <f t="array" ref="C966">_xlfn.IFS(B966&lt;=18,"0-18",B966&lt;=35,"19-35",B966&lt;=50,"36-50",B966&lt;=65,"51-65","True","65+")</f>
        <v>51-65</v>
      </c>
      <c r="D966" t="s">
        <v>22</v>
      </c>
      <c r="E966" s="6">
        <v>45132</v>
      </c>
      <c r="F966" s="6">
        <v>45133</v>
      </c>
      <c r="G966">
        <v>1</v>
      </c>
      <c r="H966" t="s">
        <v>40</v>
      </c>
      <c r="I966">
        <v>5</v>
      </c>
      <c r="J966" t="s">
        <v>46</v>
      </c>
      <c r="K966">
        <v>7837</v>
      </c>
      <c r="L966" t="s">
        <v>67</v>
      </c>
      <c r="M966" t="s">
        <v>54</v>
      </c>
      <c r="N966" t="s">
        <v>41</v>
      </c>
      <c r="O966" s="2">
        <v>45127</v>
      </c>
      <c r="P966" s="2">
        <v>45128.625</v>
      </c>
      <c r="Q966" s="38">
        <f t="shared" si="15"/>
        <v>1.625</v>
      </c>
      <c r="R966" t="s">
        <v>55</v>
      </c>
      <c r="S966" t="s">
        <v>29</v>
      </c>
      <c r="T966" t="s">
        <v>43</v>
      </c>
      <c r="U966">
        <v>8</v>
      </c>
      <c r="V966">
        <v>8</v>
      </c>
      <c r="W966" s="18">
        <f>IFERROR(Table1[[#This Row],[Staff Hours Worked]]/Table1[[#This Row],[Staff Available Hours]],0)</f>
        <v>1</v>
      </c>
      <c r="X966" t="s">
        <v>48</v>
      </c>
    </row>
    <row r="967" spans="1:24">
      <c r="A967" t="s">
        <v>1024</v>
      </c>
      <c r="B967">
        <v>50</v>
      </c>
      <c r="C967" t="str" cm="1">
        <f t="array" ref="C967">_xlfn.IFS(B967&lt;=18,"0-18",B967&lt;=35,"19-35",B967&lt;=50,"36-50",B967&lt;=65,"51-65","True","65+")</f>
        <v>36-50</v>
      </c>
      <c r="D967" t="s">
        <v>33</v>
      </c>
      <c r="E967" s="6">
        <v>45062</v>
      </c>
      <c r="F967" s="6">
        <v>45074</v>
      </c>
      <c r="G967">
        <v>12</v>
      </c>
      <c r="H967" t="s">
        <v>50</v>
      </c>
      <c r="I967">
        <v>3</v>
      </c>
      <c r="J967" t="s">
        <v>24</v>
      </c>
      <c r="K967">
        <v>44802</v>
      </c>
      <c r="L967" t="s">
        <v>60</v>
      </c>
      <c r="M967" t="s">
        <v>26</v>
      </c>
      <c r="N967" t="s">
        <v>27</v>
      </c>
      <c r="O967" s="2">
        <v>45062</v>
      </c>
      <c r="P967" s="2">
        <v>45062.125</v>
      </c>
      <c r="Q967" s="38">
        <f t="shared" si="15"/>
        <v>0.125</v>
      </c>
      <c r="R967" t="s">
        <v>64</v>
      </c>
      <c r="S967" t="s">
        <v>29</v>
      </c>
      <c r="T967" t="s">
        <v>30</v>
      </c>
      <c r="U967">
        <v>5</v>
      </c>
      <c r="V967">
        <v>10</v>
      </c>
      <c r="W967" s="18">
        <f>IFERROR(Table1[[#This Row],[Staff Hours Worked]]/Table1[[#This Row],[Staff Available Hours]],0)</f>
        <v>0.5</v>
      </c>
      <c r="X967" t="s">
        <v>68</v>
      </c>
    </row>
    <row r="968" spans="1:24">
      <c r="A968" t="s">
        <v>1025</v>
      </c>
      <c r="B968">
        <v>78</v>
      </c>
      <c r="C968" t="str" cm="1">
        <f t="array" ref="C968">_xlfn.IFS(B968&lt;=18,"0-18",B968&lt;=35,"19-35",B968&lt;=50,"36-50",B968&lt;=65,"51-65","True","65+")</f>
        <v>65+</v>
      </c>
      <c r="D968" t="s">
        <v>62</v>
      </c>
      <c r="E968" s="6">
        <v>45566</v>
      </c>
      <c r="F968" s="6">
        <v>45315</v>
      </c>
      <c r="G968">
        <v>14</v>
      </c>
      <c r="H968" t="s">
        <v>34</v>
      </c>
      <c r="I968">
        <v>3</v>
      </c>
      <c r="J968" t="s">
        <v>71</v>
      </c>
      <c r="K968">
        <v>45077</v>
      </c>
      <c r="L968" t="s">
        <v>60</v>
      </c>
      <c r="M968" t="s">
        <v>26</v>
      </c>
      <c r="N968" t="s">
        <v>41</v>
      </c>
      <c r="O968" s="2">
        <v>45566</v>
      </c>
      <c r="P968" s="2">
        <v>45566.583333333336</v>
      </c>
      <c r="Q968" s="38">
        <f t="shared" si="15"/>
        <v>0.58333333333575865</v>
      </c>
      <c r="R968" t="s">
        <v>64</v>
      </c>
      <c r="S968" t="s">
        <v>29</v>
      </c>
      <c r="T968" t="s">
        <v>47</v>
      </c>
      <c r="U968">
        <v>8</v>
      </c>
      <c r="V968">
        <v>12</v>
      </c>
      <c r="W968" s="18">
        <f>IFERROR(Table1[[#This Row],[Staff Hours Worked]]/Table1[[#This Row],[Staff Available Hours]],0)</f>
        <v>0.66666666666666663</v>
      </c>
      <c r="X968" t="s">
        <v>31</v>
      </c>
    </row>
    <row r="969" spans="1:24">
      <c r="A969" t="s">
        <v>1026</v>
      </c>
      <c r="B969">
        <v>75</v>
      </c>
      <c r="C969" t="str" cm="1">
        <f t="array" ref="C969">_xlfn.IFS(B969&lt;=18,"0-18",B969&lt;=35,"19-35",B969&lt;=50,"36-50",B969&lt;=65,"51-65","True","65+")</f>
        <v>65+</v>
      </c>
      <c r="D969" t="s">
        <v>22</v>
      </c>
      <c r="E969" s="6">
        <v>45440</v>
      </c>
      <c r="F969" s="6">
        <v>45632</v>
      </c>
      <c r="G969">
        <v>15</v>
      </c>
      <c r="H969" t="s">
        <v>34</v>
      </c>
      <c r="I969">
        <v>2</v>
      </c>
      <c r="J969" t="s">
        <v>35</v>
      </c>
      <c r="K969">
        <v>19379</v>
      </c>
      <c r="L969" t="s">
        <v>36</v>
      </c>
      <c r="M969" t="s">
        <v>26</v>
      </c>
      <c r="N969" t="s">
        <v>41</v>
      </c>
      <c r="O969" s="2">
        <v>45437</v>
      </c>
      <c r="P969" s="2">
        <v>45437.875</v>
      </c>
      <c r="Q969" s="38">
        <f t="shared" si="15"/>
        <v>0.875</v>
      </c>
      <c r="R969" t="s">
        <v>37</v>
      </c>
      <c r="S969" t="s">
        <v>29</v>
      </c>
      <c r="T969" t="s">
        <v>47</v>
      </c>
      <c r="U969">
        <v>5</v>
      </c>
      <c r="V969">
        <v>12</v>
      </c>
      <c r="W969" s="18">
        <f>IFERROR(Table1[[#This Row],[Staff Hours Worked]]/Table1[[#This Row],[Staff Available Hours]],0)</f>
        <v>0.41666666666666669</v>
      </c>
      <c r="X969" t="s">
        <v>68</v>
      </c>
    </row>
    <row r="970" spans="1:24">
      <c r="A970" t="s">
        <v>1027</v>
      </c>
      <c r="B970">
        <v>9</v>
      </c>
      <c r="C970" t="str" cm="1">
        <f t="array" ref="C970">_xlfn.IFS(B970&lt;=18,"0-18",B970&lt;=35,"19-35",B970&lt;=50,"36-50",B970&lt;=65,"51-65","True","65+")</f>
        <v>0-18</v>
      </c>
      <c r="D970" t="s">
        <v>33</v>
      </c>
      <c r="E970" s="6">
        <v>45117</v>
      </c>
      <c r="F970" s="6">
        <v>45212</v>
      </c>
      <c r="G970">
        <v>6</v>
      </c>
      <c r="H970" t="s">
        <v>63</v>
      </c>
      <c r="I970">
        <v>5</v>
      </c>
      <c r="J970" t="s">
        <v>66</v>
      </c>
      <c r="K970">
        <v>9239</v>
      </c>
      <c r="L970" t="s">
        <v>25</v>
      </c>
      <c r="M970" t="s">
        <v>26</v>
      </c>
      <c r="N970" t="s">
        <v>41</v>
      </c>
      <c r="O970" s="2">
        <v>45026</v>
      </c>
      <c r="P970" s="2">
        <v>45026.416666666664</v>
      </c>
      <c r="Q970" s="38">
        <f t="shared" si="15"/>
        <v>0.41666666666424135</v>
      </c>
      <c r="R970" t="s">
        <v>28</v>
      </c>
      <c r="S970" t="s">
        <v>29</v>
      </c>
      <c r="T970" t="s">
        <v>30</v>
      </c>
      <c r="U970">
        <v>11</v>
      </c>
      <c r="V970">
        <v>10</v>
      </c>
      <c r="W970" s="18">
        <f>IFERROR(Table1[[#This Row],[Staff Hours Worked]]/Table1[[#This Row],[Staff Available Hours]],0)</f>
        <v>1.1000000000000001</v>
      </c>
      <c r="X970" t="s">
        <v>31</v>
      </c>
    </row>
    <row r="971" spans="1:24">
      <c r="A971" t="s">
        <v>1028</v>
      </c>
      <c r="B971">
        <v>34</v>
      </c>
      <c r="C971" t="str" cm="1">
        <f t="array" ref="C971">_xlfn.IFS(B971&lt;=18,"0-18",B971&lt;=35,"19-35",B971&lt;=50,"36-50",B971&lt;=65,"51-65","True","65+")</f>
        <v>19-35</v>
      </c>
      <c r="D971" t="s">
        <v>52</v>
      </c>
      <c r="E971" s="6">
        <v>45095</v>
      </c>
      <c r="F971" s="6">
        <v>45105</v>
      </c>
      <c r="G971">
        <v>10</v>
      </c>
      <c r="H971" t="s">
        <v>23</v>
      </c>
      <c r="I971">
        <v>5</v>
      </c>
      <c r="J971" t="s">
        <v>35</v>
      </c>
      <c r="K971">
        <v>49896</v>
      </c>
      <c r="L971" t="s">
        <v>25</v>
      </c>
      <c r="M971" t="s">
        <v>54</v>
      </c>
      <c r="N971" t="s">
        <v>41</v>
      </c>
      <c r="O971" s="2">
        <v>45092</v>
      </c>
      <c r="P971" s="2">
        <v>45092.25</v>
      </c>
      <c r="Q971" s="38">
        <f t="shared" si="15"/>
        <v>0.25</v>
      </c>
      <c r="R971" t="s">
        <v>64</v>
      </c>
      <c r="S971" t="s">
        <v>29</v>
      </c>
      <c r="T971" t="s">
        <v>47</v>
      </c>
      <c r="U971">
        <v>10</v>
      </c>
      <c r="V971">
        <v>12</v>
      </c>
      <c r="W971" s="18">
        <f>IFERROR(Table1[[#This Row],[Staff Hours Worked]]/Table1[[#This Row],[Staff Available Hours]],0)</f>
        <v>0.83333333333333337</v>
      </c>
      <c r="X971" t="s">
        <v>68</v>
      </c>
    </row>
    <row r="972" spans="1:24">
      <c r="A972" t="s">
        <v>1029</v>
      </c>
      <c r="B972">
        <v>76</v>
      </c>
      <c r="C972" t="str" cm="1">
        <f t="array" ref="C972">_xlfn.IFS(B972&lt;=18,"0-18",B972&lt;=35,"19-35",B972&lt;=50,"36-50",B972&lt;=65,"51-65","True","65+")</f>
        <v>65+</v>
      </c>
      <c r="D972" t="s">
        <v>62</v>
      </c>
      <c r="E972" s="6">
        <v>45190</v>
      </c>
      <c r="F972" s="6">
        <v>45197</v>
      </c>
      <c r="G972">
        <v>7</v>
      </c>
      <c r="H972" t="s">
        <v>63</v>
      </c>
      <c r="I972">
        <v>1</v>
      </c>
      <c r="J972" t="s">
        <v>66</v>
      </c>
      <c r="K972">
        <v>25812</v>
      </c>
      <c r="L972" t="s">
        <v>25</v>
      </c>
      <c r="M972" t="s">
        <v>26</v>
      </c>
      <c r="N972" t="s">
        <v>27</v>
      </c>
      <c r="O972" s="2">
        <v>45186</v>
      </c>
      <c r="P972" s="2">
        <v>45187.916666666664</v>
      </c>
      <c r="Q972" s="38">
        <f t="shared" si="15"/>
        <v>1.9166666666642413</v>
      </c>
      <c r="R972" t="s">
        <v>64</v>
      </c>
      <c r="S972" t="s">
        <v>38</v>
      </c>
      <c r="T972" t="s">
        <v>47</v>
      </c>
      <c r="U972">
        <v>10</v>
      </c>
      <c r="V972">
        <v>10</v>
      </c>
      <c r="W972" s="18">
        <f>IFERROR(Table1[[#This Row],[Staff Hours Worked]]/Table1[[#This Row],[Staff Available Hours]],0)</f>
        <v>1</v>
      </c>
      <c r="X972" t="s">
        <v>68</v>
      </c>
    </row>
    <row r="973" spans="1:24">
      <c r="A973" t="s">
        <v>1030</v>
      </c>
      <c r="B973">
        <v>35</v>
      </c>
      <c r="C973" t="str" cm="1">
        <f t="array" ref="C973">_xlfn.IFS(B973&lt;=18,"0-18",B973&lt;=35,"19-35",B973&lt;=50,"36-50",B973&lt;=65,"51-65","True","65+")</f>
        <v>19-35</v>
      </c>
      <c r="D973" t="s">
        <v>62</v>
      </c>
      <c r="E973" s="6">
        <v>45509</v>
      </c>
      <c r="F973" s="6">
        <v>45425</v>
      </c>
      <c r="G973">
        <v>5</v>
      </c>
      <c r="H973" t="s">
        <v>23</v>
      </c>
      <c r="I973">
        <v>3</v>
      </c>
      <c r="J973" t="s">
        <v>71</v>
      </c>
      <c r="K973">
        <v>34669</v>
      </c>
      <c r="L973" t="s">
        <v>60</v>
      </c>
      <c r="M973" t="s">
        <v>54</v>
      </c>
      <c r="N973" t="s">
        <v>41</v>
      </c>
      <c r="O973" s="2">
        <v>45417</v>
      </c>
      <c r="P973" s="2">
        <v>45417.666666666664</v>
      </c>
      <c r="Q973" s="38">
        <f t="shared" si="15"/>
        <v>0.66666666666424135</v>
      </c>
      <c r="R973" t="s">
        <v>55</v>
      </c>
      <c r="S973" t="s">
        <v>29</v>
      </c>
      <c r="T973" t="s">
        <v>30</v>
      </c>
      <c r="U973">
        <v>4</v>
      </c>
      <c r="V973">
        <v>8</v>
      </c>
      <c r="W973" s="18">
        <f>IFERROR(Table1[[#This Row],[Staff Hours Worked]]/Table1[[#This Row],[Staff Available Hours]],0)</f>
        <v>0.5</v>
      </c>
      <c r="X973" t="s">
        <v>48</v>
      </c>
    </row>
    <row r="974" spans="1:24">
      <c r="A974" t="s">
        <v>1031</v>
      </c>
      <c r="B974">
        <v>1</v>
      </c>
      <c r="C974" t="str" cm="1">
        <f t="array" ref="C974">_xlfn.IFS(B974&lt;=18,"0-18",B974&lt;=35,"19-35",B974&lt;=50,"36-50",B974&lt;=65,"51-65","True","65+")</f>
        <v>0-18</v>
      </c>
      <c r="D974" t="s">
        <v>52</v>
      </c>
      <c r="E974" s="6">
        <v>45229</v>
      </c>
      <c r="F974" s="6">
        <v>45210</v>
      </c>
      <c r="G974">
        <v>11</v>
      </c>
      <c r="H974" t="s">
        <v>23</v>
      </c>
      <c r="I974">
        <v>2</v>
      </c>
      <c r="J974" t="s">
        <v>24</v>
      </c>
      <c r="K974">
        <v>14611</v>
      </c>
      <c r="L974" t="s">
        <v>36</v>
      </c>
      <c r="M974" t="s">
        <v>26</v>
      </c>
      <c r="N974" t="s">
        <v>27</v>
      </c>
      <c r="O974" s="2">
        <v>45229</v>
      </c>
      <c r="P974" s="2">
        <v>45229.958333333336</v>
      </c>
      <c r="Q974" s="38">
        <f t="shared" si="15"/>
        <v>0.95833333333575865</v>
      </c>
      <c r="R974" t="s">
        <v>55</v>
      </c>
      <c r="S974" t="s">
        <v>29</v>
      </c>
      <c r="T974" t="s">
        <v>47</v>
      </c>
      <c r="U974">
        <v>8</v>
      </c>
      <c r="V974">
        <v>10</v>
      </c>
      <c r="W974" s="18">
        <f>IFERROR(Table1[[#This Row],[Staff Hours Worked]]/Table1[[#This Row],[Staff Available Hours]],0)</f>
        <v>0.8</v>
      </c>
      <c r="X974" t="s">
        <v>48</v>
      </c>
    </row>
    <row r="975" spans="1:24">
      <c r="A975" t="s">
        <v>1032</v>
      </c>
      <c r="B975">
        <v>40</v>
      </c>
      <c r="C975" t="str" cm="1">
        <f t="array" ref="C975">_xlfn.IFS(B975&lt;=18,"0-18",B975&lt;=35,"19-35",B975&lt;=50,"36-50",B975&lt;=65,"51-65","True","65+")</f>
        <v>36-50</v>
      </c>
      <c r="D975" t="s">
        <v>33</v>
      </c>
      <c r="E975" s="6">
        <v>45273</v>
      </c>
      <c r="F975" s="6">
        <v>45286</v>
      </c>
      <c r="G975">
        <v>13</v>
      </c>
      <c r="H975" t="s">
        <v>34</v>
      </c>
      <c r="I975">
        <v>4</v>
      </c>
      <c r="J975" t="s">
        <v>46</v>
      </c>
      <c r="K975">
        <v>9150</v>
      </c>
      <c r="L975" t="s">
        <v>53</v>
      </c>
      <c r="M975" t="s">
        <v>26</v>
      </c>
      <c r="N975" t="s">
        <v>27</v>
      </c>
      <c r="O975" s="2">
        <v>45150</v>
      </c>
      <c r="P975" s="2">
        <v>45181.083333333336</v>
      </c>
      <c r="Q975" s="38">
        <f t="shared" si="15"/>
        <v>31.083333333335759</v>
      </c>
      <c r="R975" t="s">
        <v>37</v>
      </c>
      <c r="S975" t="s">
        <v>29</v>
      </c>
      <c r="T975" t="s">
        <v>47</v>
      </c>
      <c r="U975">
        <v>7</v>
      </c>
      <c r="V975">
        <v>8</v>
      </c>
      <c r="W975" s="18">
        <f>IFERROR(Table1[[#This Row],[Staff Hours Worked]]/Table1[[#This Row],[Staff Available Hours]],0)</f>
        <v>0.875</v>
      </c>
      <c r="X975" t="s">
        <v>48</v>
      </c>
    </row>
    <row r="976" spans="1:24">
      <c r="A976" t="s">
        <v>1033</v>
      </c>
      <c r="B976">
        <v>64</v>
      </c>
      <c r="C976" t="str" cm="1">
        <f t="array" ref="C976">_xlfn.IFS(B976&lt;=18,"0-18",B976&lt;=35,"19-35",B976&lt;=50,"36-50",B976&lt;=65,"51-65","True","65+")</f>
        <v>51-65</v>
      </c>
      <c r="D976" t="s">
        <v>45</v>
      </c>
      <c r="E976" s="6">
        <v>45044</v>
      </c>
      <c r="F976" s="6">
        <v>45045</v>
      </c>
      <c r="G976">
        <v>1</v>
      </c>
      <c r="H976" t="s">
        <v>63</v>
      </c>
      <c r="I976">
        <v>3</v>
      </c>
      <c r="J976" t="s">
        <v>71</v>
      </c>
      <c r="K976">
        <v>16109</v>
      </c>
      <c r="L976" t="s">
        <v>67</v>
      </c>
      <c r="M976" t="s">
        <v>26</v>
      </c>
      <c r="N976" t="s">
        <v>27</v>
      </c>
      <c r="O976" s="2">
        <v>45044</v>
      </c>
      <c r="P976" s="2">
        <v>45045.375</v>
      </c>
      <c r="Q976" s="38">
        <f t="shared" si="15"/>
        <v>1.375</v>
      </c>
      <c r="R976" t="s">
        <v>37</v>
      </c>
      <c r="S976" t="s">
        <v>29</v>
      </c>
      <c r="T976" t="s">
        <v>47</v>
      </c>
      <c r="U976">
        <v>11</v>
      </c>
      <c r="V976">
        <v>10</v>
      </c>
      <c r="W976" s="18">
        <f>IFERROR(Table1[[#This Row],[Staff Hours Worked]]/Table1[[#This Row],[Staff Available Hours]],0)</f>
        <v>1.1000000000000001</v>
      </c>
      <c r="X976" t="s">
        <v>68</v>
      </c>
    </row>
    <row r="977" spans="1:24">
      <c r="A977" t="s">
        <v>1034</v>
      </c>
      <c r="B977">
        <v>22</v>
      </c>
      <c r="C977" t="str" cm="1">
        <f t="array" ref="C977">_xlfn.IFS(B977&lt;=18,"0-18",B977&lt;=35,"19-35",B977&lt;=50,"36-50",B977&lt;=65,"51-65","True","65+")</f>
        <v>19-35</v>
      </c>
      <c r="D977" t="s">
        <v>52</v>
      </c>
      <c r="E977" s="6">
        <v>45406</v>
      </c>
      <c r="F977" s="6">
        <v>45408</v>
      </c>
      <c r="G977">
        <v>2</v>
      </c>
      <c r="H977" t="s">
        <v>40</v>
      </c>
      <c r="I977">
        <v>1</v>
      </c>
      <c r="J977" t="s">
        <v>35</v>
      </c>
      <c r="K977">
        <v>39214</v>
      </c>
      <c r="L977" t="s">
        <v>53</v>
      </c>
      <c r="M977" t="s">
        <v>54</v>
      </c>
      <c r="N977" t="s">
        <v>41</v>
      </c>
      <c r="O977" s="2">
        <v>45401</v>
      </c>
      <c r="P977" s="2">
        <v>45401.166666666664</v>
      </c>
      <c r="Q977" s="38">
        <f t="shared" si="15"/>
        <v>0.16666666666424135</v>
      </c>
      <c r="R977" t="s">
        <v>37</v>
      </c>
      <c r="S977" t="s">
        <v>29</v>
      </c>
      <c r="T977" t="s">
        <v>47</v>
      </c>
      <c r="U977">
        <v>9</v>
      </c>
      <c r="V977">
        <v>12</v>
      </c>
      <c r="W977" s="18">
        <f>IFERROR(Table1[[#This Row],[Staff Hours Worked]]/Table1[[#This Row],[Staff Available Hours]],0)</f>
        <v>0.75</v>
      </c>
      <c r="X977" t="s">
        <v>68</v>
      </c>
    </row>
    <row r="978" spans="1:24">
      <c r="A978" t="s">
        <v>1035</v>
      </c>
      <c r="B978">
        <v>60</v>
      </c>
      <c r="C978" t="str" cm="1">
        <f t="array" ref="C978">_xlfn.IFS(B978&lt;=18,"0-18",B978&lt;=35,"19-35",B978&lt;=50,"36-50",B978&lt;=65,"51-65","True","65+")</f>
        <v>51-65</v>
      </c>
      <c r="D978" t="s">
        <v>33</v>
      </c>
      <c r="E978" s="6">
        <v>45004</v>
      </c>
      <c r="F978" s="6">
        <v>45015</v>
      </c>
      <c r="G978">
        <v>11</v>
      </c>
      <c r="H978" t="s">
        <v>23</v>
      </c>
      <c r="I978">
        <v>5</v>
      </c>
      <c r="J978" t="s">
        <v>46</v>
      </c>
      <c r="K978">
        <v>31016</v>
      </c>
      <c r="L978" t="s">
        <v>60</v>
      </c>
      <c r="M978" t="s">
        <v>54</v>
      </c>
      <c r="N978" t="s">
        <v>27</v>
      </c>
      <c r="O978" s="2">
        <v>45003</v>
      </c>
      <c r="P978" s="2">
        <v>45004.833333333336</v>
      </c>
      <c r="Q978" s="38">
        <f t="shared" si="15"/>
        <v>1.8333333333357587</v>
      </c>
      <c r="R978" t="s">
        <v>55</v>
      </c>
      <c r="S978" t="s">
        <v>29</v>
      </c>
      <c r="T978" t="s">
        <v>30</v>
      </c>
      <c r="U978">
        <v>7</v>
      </c>
      <c r="V978">
        <v>10</v>
      </c>
      <c r="W978" s="18">
        <f>IFERROR(Table1[[#This Row],[Staff Hours Worked]]/Table1[[#This Row],[Staff Available Hours]],0)</f>
        <v>0.7</v>
      </c>
      <c r="X978" t="s">
        <v>68</v>
      </c>
    </row>
    <row r="979" spans="1:24">
      <c r="A979" t="s">
        <v>1036</v>
      </c>
      <c r="B979">
        <v>64</v>
      </c>
      <c r="C979" t="str" cm="1">
        <f t="array" ref="C979">_xlfn.IFS(B979&lt;=18,"0-18",B979&lt;=35,"19-35",B979&lt;=50,"36-50",B979&lt;=65,"51-65","True","65+")</f>
        <v>51-65</v>
      </c>
      <c r="D979" t="s">
        <v>52</v>
      </c>
      <c r="E979" s="6">
        <v>45071</v>
      </c>
      <c r="F979" s="6">
        <v>45052</v>
      </c>
      <c r="G979">
        <v>11</v>
      </c>
      <c r="H979" t="s">
        <v>57</v>
      </c>
      <c r="I979">
        <v>2</v>
      </c>
      <c r="J979" t="s">
        <v>24</v>
      </c>
      <c r="K979">
        <v>16936</v>
      </c>
      <c r="L979" t="s">
        <v>25</v>
      </c>
      <c r="M979" t="s">
        <v>26</v>
      </c>
      <c r="N979" t="s">
        <v>41</v>
      </c>
      <c r="O979" s="2">
        <v>45071</v>
      </c>
      <c r="P979" s="2">
        <v>45071.833333333336</v>
      </c>
      <c r="Q979" s="38">
        <f t="shared" si="15"/>
        <v>0.83333333333575865</v>
      </c>
      <c r="R979" t="s">
        <v>55</v>
      </c>
      <c r="S979" t="s">
        <v>29</v>
      </c>
      <c r="T979" t="s">
        <v>43</v>
      </c>
      <c r="U979">
        <v>11</v>
      </c>
      <c r="V979">
        <v>10</v>
      </c>
      <c r="W979" s="18">
        <f>IFERROR(Table1[[#This Row],[Staff Hours Worked]]/Table1[[#This Row],[Staff Available Hours]],0)</f>
        <v>1.1000000000000001</v>
      </c>
      <c r="X979" t="s">
        <v>31</v>
      </c>
    </row>
    <row r="980" spans="1:24">
      <c r="A980" t="s">
        <v>1037</v>
      </c>
      <c r="B980">
        <v>72</v>
      </c>
      <c r="C980" t="str" cm="1">
        <f t="array" ref="C980">_xlfn.IFS(B980&lt;=18,"0-18",B980&lt;=35,"19-35",B980&lt;=50,"36-50",B980&lt;=65,"51-65","True","65+")</f>
        <v>65+</v>
      </c>
      <c r="D980" t="s">
        <v>52</v>
      </c>
      <c r="E980" s="6">
        <v>45158</v>
      </c>
      <c r="F980" s="6">
        <v>45165</v>
      </c>
      <c r="G980">
        <v>7</v>
      </c>
      <c r="H980" t="s">
        <v>57</v>
      </c>
      <c r="I980">
        <v>3</v>
      </c>
      <c r="J980" t="s">
        <v>71</v>
      </c>
      <c r="K980">
        <v>16036</v>
      </c>
      <c r="L980" t="s">
        <v>67</v>
      </c>
      <c r="M980" t="s">
        <v>54</v>
      </c>
      <c r="N980" t="s">
        <v>27</v>
      </c>
      <c r="O980" s="2">
        <v>45155</v>
      </c>
      <c r="P980" s="2">
        <v>45155.708333333336</v>
      </c>
      <c r="Q980" s="38">
        <f t="shared" si="15"/>
        <v>0.70833333333575865</v>
      </c>
      <c r="R980" t="s">
        <v>28</v>
      </c>
      <c r="S980" t="s">
        <v>29</v>
      </c>
      <c r="T980" t="s">
        <v>43</v>
      </c>
      <c r="U980">
        <v>7</v>
      </c>
      <c r="V980">
        <v>10</v>
      </c>
      <c r="W980" s="18">
        <f>IFERROR(Table1[[#This Row],[Staff Hours Worked]]/Table1[[#This Row],[Staff Available Hours]],0)</f>
        <v>0.7</v>
      </c>
      <c r="X980" t="s">
        <v>31</v>
      </c>
    </row>
    <row r="981" spans="1:24">
      <c r="A981" t="s">
        <v>1038</v>
      </c>
      <c r="B981">
        <v>11</v>
      </c>
      <c r="C981" t="str" cm="1">
        <f t="array" ref="C981">_xlfn.IFS(B981&lt;=18,"0-18",B981&lt;=35,"19-35",B981&lt;=50,"36-50",B981&lt;=65,"51-65","True","65+")</f>
        <v>0-18</v>
      </c>
      <c r="D981" t="s">
        <v>22</v>
      </c>
      <c r="E981" s="6">
        <v>45598</v>
      </c>
      <c r="F981" s="6">
        <v>45339</v>
      </c>
      <c r="G981">
        <v>6</v>
      </c>
      <c r="H981" t="s">
        <v>40</v>
      </c>
      <c r="I981">
        <v>4</v>
      </c>
      <c r="J981" t="s">
        <v>46</v>
      </c>
      <c r="K981">
        <v>44236</v>
      </c>
      <c r="L981" t="s">
        <v>60</v>
      </c>
      <c r="M981" t="s">
        <v>54</v>
      </c>
      <c r="N981" t="s">
        <v>27</v>
      </c>
      <c r="O981" s="2">
        <v>45506</v>
      </c>
      <c r="P981" s="2">
        <v>45506.5</v>
      </c>
      <c r="Q981" s="38">
        <f t="shared" si="15"/>
        <v>0.5</v>
      </c>
      <c r="R981" t="s">
        <v>42</v>
      </c>
      <c r="S981" t="s">
        <v>38</v>
      </c>
      <c r="T981" t="s">
        <v>47</v>
      </c>
      <c r="U981">
        <v>7</v>
      </c>
      <c r="V981">
        <v>12</v>
      </c>
      <c r="W981" s="18">
        <f>IFERROR(Table1[[#This Row],[Staff Hours Worked]]/Table1[[#This Row],[Staff Available Hours]],0)</f>
        <v>0.58333333333333337</v>
      </c>
      <c r="X981" t="s">
        <v>68</v>
      </c>
    </row>
    <row r="982" spans="1:24">
      <c r="A982" t="s">
        <v>1039</v>
      </c>
      <c r="B982">
        <v>14</v>
      </c>
      <c r="C982" t="str" cm="1">
        <f t="array" ref="C982">_xlfn.IFS(B982&lt;=18,"0-18",B982&lt;=35,"19-35",B982&lt;=50,"36-50",B982&lt;=65,"51-65","True","65+")</f>
        <v>0-18</v>
      </c>
      <c r="D982" t="s">
        <v>33</v>
      </c>
      <c r="E982" s="6">
        <v>45566</v>
      </c>
      <c r="F982" s="6">
        <v>45310</v>
      </c>
      <c r="G982">
        <v>9</v>
      </c>
      <c r="H982" t="s">
        <v>57</v>
      </c>
      <c r="I982">
        <v>1</v>
      </c>
      <c r="J982" t="s">
        <v>71</v>
      </c>
      <c r="K982">
        <v>19021</v>
      </c>
      <c r="L982" t="s">
        <v>60</v>
      </c>
      <c r="M982" t="s">
        <v>54</v>
      </c>
      <c r="N982" t="s">
        <v>27</v>
      </c>
      <c r="O982" s="2">
        <v>45413</v>
      </c>
      <c r="P982" s="2">
        <v>45413.083333333336</v>
      </c>
      <c r="Q982" s="38">
        <f t="shared" si="15"/>
        <v>8.3333333335758653E-2</v>
      </c>
      <c r="R982" t="s">
        <v>42</v>
      </c>
      <c r="S982" t="s">
        <v>29</v>
      </c>
      <c r="T982" t="s">
        <v>47</v>
      </c>
      <c r="U982">
        <v>9</v>
      </c>
      <c r="V982">
        <v>10</v>
      </c>
      <c r="W982" s="18">
        <f>IFERROR(Table1[[#This Row],[Staff Hours Worked]]/Table1[[#This Row],[Staff Available Hours]],0)</f>
        <v>0.9</v>
      </c>
      <c r="X982" t="s">
        <v>48</v>
      </c>
    </row>
    <row r="983" spans="1:24">
      <c r="A983" t="s">
        <v>1040</v>
      </c>
      <c r="B983">
        <v>60</v>
      </c>
      <c r="C983" t="str" cm="1">
        <f t="array" ref="C983">_xlfn.IFS(B983&lt;=18,"0-18",B983&lt;=35,"19-35",B983&lt;=50,"36-50",B983&lt;=65,"51-65","True","65+")</f>
        <v>51-65</v>
      </c>
      <c r="D983" t="s">
        <v>45</v>
      </c>
      <c r="E983" s="6">
        <v>44989</v>
      </c>
      <c r="F983" s="6">
        <v>45032</v>
      </c>
      <c r="G983">
        <v>13</v>
      </c>
      <c r="H983" t="s">
        <v>50</v>
      </c>
      <c r="I983">
        <v>1</v>
      </c>
      <c r="J983" t="s">
        <v>71</v>
      </c>
      <c r="K983">
        <v>41943</v>
      </c>
      <c r="L983" t="s">
        <v>60</v>
      </c>
      <c r="M983" t="s">
        <v>26</v>
      </c>
      <c r="N983" t="s">
        <v>27</v>
      </c>
      <c r="O983" s="2">
        <v>44930</v>
      </c>
      <c r="P983" s="2">
        <v>44961.083333333336</v>
      </c>
      <c r="Q983" s="38">
        <f t="shared" si="15"/>
        <v>31.083333333335759</v>
      </c>
      <c r="R983" t="s">
        <v>28</v>
      </c>
      <c r="S983" t="s">
        <v>38</v>
      </c>
      <c r="T983" t="s">
        <v>43</v>
      </c>
      <c r="U983">
        <v>7</v>
      </c>
      <c r="V983">
        <v>12</v>
      </c>
      <c r="W983" s="18">
        <f>IFERROR(Table1[[#This Row],[Staff Hours Worked]]/Table1[[#This Row],[Staff Available Hours]],0)</f>
        <v>0.58333333333333337</v>
      </c>
      <c r="X983" t="s">
        <v>48</v>
      </c>
    </row>
    <row r="984" spans="1:24">
      <c r="A984" t="s">
        <v>1041</v>
      </c>
      <c r="B984">
        <v>30</v>
      </c>
      <c r="C984" t="str" cm="1">
        <f t="array" ref="C984">_xlfn.IFS(B984&lt;=18,"0-18",B984&lt;=35,"19-35",B984&lt;=50,"36-50",B984&lt;=65,"51-65","True","65+")</f>
        <v>19-35</v>
      </c>
      <c r="D984" t="s">
        <v>22</v>
      </c>
      <c r="E984" s="6">
        <v>45537</v>
      </c>
      <c r="F984" s="6">
        <v>45343</v>
      </c>
      <c r="G984">
        <v>12</v>
      </c>
      <c r="H984" t="s">
        <v>23</v>
      </c>
      <c r="I984">
        <v>3</v>
      </c>
      <c r="J984" t="s">
        <v>24</v>
      </c>
      <c r="K984">
        <v>42848</v>
      </c>
      <c r="L984" t="s">
        <v>67</v>
      </c>
      <c r="M984" t="s">
        <v>54</v>
      </c>
      <c r="N984" t="s">
        <v>27</v>
      </c>
      <c r="O984" s="2">
        <v>45414</v>
      </c>
      <c r="P984" s="2">
        <v>45445.208333333336</v>
      </c>
      <c r="Q984" s="38">
        <f t="shared" si="15"/>
        <v>31.208333333335759</v>
      </c>
      <c r="R984" t="s">
        <v>42</v>
      </c>
      <c r="S984" t="s">
        <v>29</v>
      </c>
      <c r="T984" t="s">
        <v>47</v>
      </c>
      <c r="U984">
        <v>5</v>
      </c>
      <c r="V984">
        <v>10</v>
      </c>
      <c r="W984" s="18">
        <f>IFERROR(Table1[[#This Row],[Staff Hours Worked]]/Table1[[#This Row],[Staff Available Hours]],0)</f>
        <v>0.5</v>
      </c>
      <c r="X984" t="s">
        <v>48</v>
      </c>
    </row>
    <row r="985" spans="1:24">
      <c r="A985" t="s">
        <v>1042</v>
      </c>
      <c r="B985">
        <v>35</v>
      </c>
      <c r="C985" t="str" cm="1">
        <f t="array" ref="C985">_xlfn.IFS(B985&lt;=18,"0-18",B985&lt;=35,"19-35",B985&lt;=50,"36-50",B985&lt;=65,"51-65","True","65+")</f>
        <v>19-35</v>
      </c>
      <c r="D985" t="s">
        <v>52</v>
      </c>
      <c r="E985" s="6">
        <v>44941</v>
      </c>
      <c r="F985" s="6">
        <v>44952</v>
      </c>
      <c r="G985">
        <v>11</v>
      </c>
      <c r="H985" t="s">
        <v>40</v>
      </c>
      <c r="I985">
        <v>4</v>
      </c>
      <c r="J985" t="s">
        <v>66</v>
      </c>
      <c r="K985">
        <v>20471</v>
      </c>
      <c r="L985" t="s">
        <v>67</v>
      </c>
      <c r="M985" t="s">
        <v>54</v>
      </c>
      <c r="N985" t="s">
        <v>27</v>
      </c>
      <c r="O985" s="2">
        <v>44941</v>
      </c>
      <c r="P985" s="2">
        <v>44942.5</v>
      </c>
      <c r="Q985" s="38">
        <f t="shared" si="15"/>
        <v>1.5</v>
      </c>
      <c r="R985" t="s">
        <v>55</v>
      </c>
      <c r="S985" t="s">
        <v>29</v>
      </c>
      <c r="T985" t="s">
        <v>43</v>
      </c>
      <c r="U985">
        <v>8</v>
      </c>
      <c r="V985">
        <v>8</v>
      </c>
      <c r="W985" s="18">
        <f>IFERROR(Table1[[#This Row],[Staff Hours Worked]]/Table1[[#This Row],[Staff Available Hours]],0)</f>
        <v>1</v>
      </c>
      <c r="X985" t="s">
        <v>68</v>
      </c>
    </row>
    <row r="986" spans="1:24">
      <c r="A986" t="s">
        <v>1043</v>
      </c>
      <c r="B986">
        <v>85</v>
      </c>
      <c r="C986" t="str" cm="1">
        <f t="array" ref="C986">_xlfn.IFS(B986&lt;=18,"0-18",B986&lt;=35,"19-35",B986&lt;=50,"36-50",B986&lt;=65,"51-65","True","65+")</f>
        <v>65+</v>
      </c>
      <c r="D986" t="s">
        <v>41</v>
      </c>
      <c r="E986" s="6">
        <v>45197</v>
      </c>
      <c r="F986" s="6">
        <v>44936</v>
      </c>
      <c r="G986">
        <v>3</v>
      </c>
      <c r="H986" t="s">
        <v>63</v>
      </c>
      <c r="I986">
        <v>1</v>
      </c>
      <c r="J986" t="s">
        <v>46</v>
      </c>
      <c r="K986">
        <v>28244</v>
      </c>
      <c r="L986" t="s">
        <v>36</v>
      </c>
      <c r="M986" t="s">
        <v>54</v>
      </c>
      <c r="N986" t="s">
        <v>27</v>
      </c>
      <c r="O986" s="2">
        <v>45193</v>
      </c>
      <c r="P986" s="2">
        <v>45195</v>
      </c>
      <c r="Q986" s="38">
        <f t="shared" si="15"/>
        <v>2</v>
      </c>
      <c r="R986" t="s">
        <v>42</v>
      </c>
      <c r="S986" t="s">
        <v>29</v>
      </c>
      <c r="T986" t="s">
        <v>30</v>
      </c>
      <c r="U986">
        <v>10</v>
      </c>
      <c r="V986">
        <v>10</v>
      </c>
      <c r="W986" s="18">
        <f>IFERROR(Table1[[#This Row],[Staff Hours Worked]]/Table1[[#This Row],[Staff Available Hours]],0)</f>
        <v>1</v>
      </c>
      <c r="X986" t="s">
        <v>48</v>
      </c>
    </row>
    <row r="987" spans="1:24">
      <c r="A987" t="s">
        <v>1044</v>
      </c>
      <c r="B987">
        <v>37</v>
      </c>
      <c r="C987" t="str" cm="1">
        <f t="array" ref="C987">_xlfn.IFS(B987&lt;=18,"0-18",B987&lt;=35,"19-35",B987&lt;=50,"36-50",B987&lt;=65,"51-65","True","65+")</f>
        <v>36-50</v>
      </c>
      <c r="D987" t="s">
        <v>52</v>
      </c>
      <c r="E987" s="6">
        <v>45112</v>
      </c>
      <c r="F987" s="6">
        <v>45143</v>
      </c>
      <c r="G987">
        <v>1</v>
      </c>
      <c r="H987" t="s">
        <v>23</v>
      </c>
      <c r="I987">
        <v>2</v>
      </c>
      <c r="J987" t="s">
        <v>24</v>
      </c>
      <c r="K987">
        <v>43985</v>
      </c>
      <c r="L987" t="s">
        <v>36</v>
      </c>
      <c r="M987" t="s">
        <v>54</v>
      </c>
      <c r="N987" t="s">
        <v>27</v>
      </c>
      <c r="O987" s="2">
        <v>45112</v>
      </c>
      <c r="P987" s="2">
        <v>45143.5</v>
      </c>
      <c r="Q987" s="38">
        <f t="shared" si="15"/>
        <v>31.5</v>
      </c>
      <c r="R987" t="s">
        <v>55</v>
      </c>
      <c r="S987" t="s">
        <v>29</v>
      </c>
      <c r="T987" t="s">
        <v>30</v>
      </c>
      <c r="U987">
        <v>4</v>
      </c>
      <c r="V987">
        <v>8</v>
      </c>
      <c r="W987" s="18">
        <f>IFERROR(Table1[[#This Row],[Staff Hours Worked]]/Table1[[#This Row],[Staff Available Hours]],0)</f>
        <v>0.5</v>
      </c>
      <c r="X987" t="s">
        <v>68</v>
      </c>
    </row>
    <row r="988" spans="1:24">
      <c r="A988" t="s">
        <v>1045</v>
      </c>
      <c r="B988">
        <v>5</v>
      </c>
      <c r="C988" t="str" cm="1">
        <f t="array" ref="C988">_xlfn.IFS(B988&lt;=18,"0-18",B988&lt;=35,"19-35",B988&lt;=50,"36-50",B988&lt;=65,"51-65","True","65+")</f>
        <v>0-18</v>
      </c>
      <c r="D988" t="s">
        <v>52</v>
      </c>
      <c r="E988" s="6">
        <v>45569</v>
      </c>
      <c r="F988" s="6">
        <v>45395</v>
      </c>
      <c r="G988">
        <v>3</v>
      </c>
      <c r="H988" t="s">
        <v>40</v>
      </c>
      <c r="I988">
        <v>1</v>
      </c>
      <c r="J988" t="s">
        <v>71</v>
      </c>
      <c r="K988">
        <v>43440</v>
      </c>
      <c r="L988" t="s">
        <v>53</v>
      </c>
      <c r="M988" t="s">
        <v>26</v>
      </c>
      <c r="N988" t="s">
        <v>27</v>
      </c>
      <c r="O988" s="2">
        <v>45539</v>
      </c>
      <c r="P988" s="2">
        <v>45539.666666666664</v>
      </c>
      <c r="Q988" s="38">
        <f t="shared" si="15"/>
        <v>0.66666666666424135</v>
      </c>
      <c r="R988" t="s">
        <v>28</v>
      </c>
      <c r="S988" t="s">
        <v>29</v>
      </c>
      <c r="T988" t="s">
        <v>30</v>
      </c>
      <c r="U988">
        <v>7</v>
      </c>
      <c r="V988">
        <v>12</v>
      </c>
      <c r="W988" s="18">
        <f>IFERROR(Table1[[#This Row],[Staff Hours Worked]]/Table1[[#This Row],[Staff Available Hours]],0)</f>
        <v>0.58333333333333337</v>
      </c>
      <c r="X988" t="s">
        <v>31</v>
      </c>
    </row>
    <row r="989" spans="1:24">
      <c r="A989" t="s">
        <v>1046</v>
      </c>
      <c r="B989">
        <v>83</v>
      </c>
      <c r="C989" t="str" cm="1">
        <f t="array" ref="C989">_xlfn.IFS(B989&lt;=18,"0-18",B989&lt;=35,"19-35",B989&lt;=50,"36-50",B989&lt;=65,"51-65","True","65+")</f>
        <v>65+</v>
      </c>
      <c r="D989" t="s">
        <v>33</v>
      </c>
      <c r="E989" s="6">
        <v>45304</v>
      </c>
      <c r="F989" s="6">
        <v>45318</v>
      </c>
      <c r="G989">
        <v>14</v>
      </c>
      <c r="H989" t="s">
        <v>34</v>
      </c>
      <c r="I989">
        <v>4</v>
      </c>
      <c r="J989" t="s">
        <v>24</v>
      </c>
      <c r="K989">
        <v>6502</v>
      </c>
      <c r="L989" t="s">
        <v>67</v>
      </c>
      <c r="M989" t="s">
        <v>26</v>
      </c>
      <c r="N989" t="s">
        <v>27</v>
      </c>
      <c r="O989" s="2">
        <v>45627</v>
      </c>
      <c r="P989" s="2">
        <v>45627.291666666664</v>
      </c>
      <c r="Q989" s="38">
        <f t="shared" si="15"/>
        <v>0.29166666666424135</v>
      </c>
      <c r="R989" t="s">
        <v>37</v>
      </c>
      <c r="S989" t="s">
        <v>29</v>
      </c>
      <c r="T989" t="s">
        <v>30</v>
      </c>
      <c r="U989">
        <v>10</v>
      </c>
      <c r="V989">
        <v>12</v>
      </c>
      <c r="W989" s="18">
        <f>IFERROR(Table1[[#This Row],[Staff Hours Worked]]/Table1[[#This Row],[Staff Available Hours]],0)</f>
        <v>0.83333333333333337</v>
      </c>
      <c r="X989" t="s">
        <v>48</v>
      </c>
    </row>
    <row r="990" spans="1:24">
      <c r="A990" t="s">
        <v>1047</v>
      </c>
      <c r="B990">
        <v>78</v>
      </c>
      <c r="C990" t="str" cm="1">
        <f t="array" ref="C990">_xlfn.IFS(B990&lt;=18,"0-18",B990&lt;=35,"19-35",B990&lt;=50,"36-50",B990&lt;=65,"51-65","True","65+")</f>
        <v>65+</v>
      </c>
      <c r="D990" t="s">
        <v>33</v>
      </c>
      <c r="E990" s="6">
        <v>45195</v>
      </c>
      <c r="F990" s="6">
        <v>45087</v>
      </c>
      <c r="G990">
        <v>10</v>
      </c>
      <c r="H990" t="s">
        <v>63</v>
      </c>
      <c r="I990">
        <v>5</v>
      </c>
      <c r="J990" t="s">
        <v>66</v>
      </c>
      <c r="K990">
        <v>39178</v>
      </c>
      <c r="L990" t="s">
        <v>67</v>
      </c>
      <c r="M990" t="s">
        <v>26</v>
      </c>
      <c r="N990" t="s">
        <v>27</v>
      </c>
      <c r="O990" s="2">
        <v>45190</v>
      </c>
      <c r="P990" s="2">
        <v>45191.25</v>
      </c>
      <c r="Q990" s="38">
        <f t="shared" si="15"/>
        <v>1.25</v>
      </c>
      <c r="R990" t="s">
        <v>28</v>
      </c>
      <c r="S990" t="s">
        <v>29</v>
      </c>
      <c r="T990" t="s">
        <v>30</v>
      </c>
      <c r="U990">
        <v>7</v>
      </c>
      <c r="V990">
        <v>10</v>
      </c>
      <c r="W990" s="18">
        <f>IFERROR(Table1[[#This Row],[Staff Hours Worked]]/Table1[[#This Row],[Staff Available Hours]],0)</f>
        <v>0.7</v>
      </c>
      <c r="X990" t="s">
        <v>31</v>
      </c>
    </row>
    <row r="991" spans="1:24">
      <c r="A991" t="s">
        <v>1048</v>
      </c>
      <c r="B991">
        <v>26</v>
      </c>
      <c r="C991" t="str" cm="1">
        <f t="array" ref="C991">_xlfn.IFS(B991&lt;=18,"0-18",B991&lt;=35,"19-35",B991&lt;=50,"36-50",B991&lt;=65,"51-65","True","65+")</f>
        <v>19-35</v>
      </c>
      <c r="D991" t="s">
        <v>22</v>
      </c>
      <c r="E991" s="6">
        <v>45317</v>
      </c>
      <c r="F991" s="6">
        <v>45445</v>
      </c>
      <c r="G991">
        <v>11</v>
      </c>
      <c r="H991" t="s">
        <v>34</v>
      </c>
      <c r="I991">
        <v>5</v>
      </c>
      <c r="J991" t="s">
        <v>46</v>
      </c>
      <c r="K991">
        <v>8770</v>
      </c>
      <c r="L991" t="s">
        <v>67</v>
      </c>
      <c r="M991" t="s">
        <v>54</v>
      </c>
      <c r="N991" t="s">
        <v>27</v>
      </c>
      <c r="O991" s="2">
        <v>45313</v>
      </c>
      <c r="P991" s="2">
        <v>45313.291666666664</v>
      </c>
      <c r="Q991" s="38">
        <f t="shared" si="15"/>
        <v>0.29166666666424135</v>
      </c>
      <c r="R991" t="s">
        <v>42</v>
      </c>
      <c r="S991" t="s">
        <v>38</v>
      </c>
      <c r="T991" t="s">
        <v>30</v>
      </c>
      <c r="U991">
        <v>11</v>
      </c>
      <c r="V991">
        <v>12</v>
      </c>
      <c r="W991" s="18">
        <f>IFERROR(Table1[[#This Row],[Staff Hours Worked]]/Table1[[#This Row],[Staff Available Hours]],0)</f>
        <v>0.91666666666666663</v>
      </c>
      <c r="X991" t="s">
        <v>48</v>
      </c>
    </row>
    <row r="992" spans="1:24">
      <c r="A992" t="s">
        <v>1049</v>
      </c>
      <c r="B992">
        <v>62</v>
      </c>
      <c r="C992" t="str" cm="1">
        <f t="array" ref="C992">_xlfn.IFS(B992&lt;=18,"0-18",B992&lt;=35,"19-35",B992&lt;=50,"36-50",B992&lt;=65,"51-65","True","65+")</f>
        <v>51-65</v>
      </c>
      <c r="D992" t="s">
        <v>45</v>
      </c>
      <c r="E992" s="6">
        <v>45307</v>
      </c>
      <c r="F992" s="6">
        <v>45320</v>
      </c>
      <c r="G992">
        <v>13</v>
      </c>
      <c r="H992" t="s">
        <v>23</v>
      </c>
      <c r="I992">
        <v>3</v>
      </c>
      <c r="J992" t="s">
        <v>66</v>
      </c>
      <c r="K992">
        <v>47865</v>
      </c>
      <c r="L992" t="s">
        <v>36</v>
      </c>
      <c r="M992" t="s">
        <v>26</v>
      </c>
      <c r="N992" t="s">
        <v>27</v>
      </c>
      <c r="O992" s="2">
        <v>45304</v>
      </c>
      <c r="P992" s="2">
        <v>45304.375</v>
      </c>
      <c r="Q992" s="38">
        <f t="shared" si="15"/>
        <v>0.375</v>
      </c>
      <c r="R992" t="s">
        <v>55</v>
      </c>
      <c r="S992" t="s">
        <v>29</v>
      </c>
      <c r="T992" t="s">
        <v>43</v>
      </c>
      <c r="U992">
        <v>4</v>
      </c>
      <c r="V992">
        <v>10</v>
      </c>
      <c r="W992" s="18">
        <f>IFERROR(Table1[[#This Row],[Staff Hours Worked]]/Table1[[#This Row],[Staff Available Hours]],0)</f>
        <v>0.4</v>
      </c>
      <c r="X992" t="s">
        <v>68</v>
      </c>
    </row>
    <row r="993" spans="1:24">
      <c r="A993" t="s">
        <v>1050</v>
      </c>
      <c r="B993">
        <v>4</v>
      </c>
      <c r="C993" t="str" cm="1">
        <f t="array" ref="C993">_xlfn.IFS(B993&lt;=18,"0-18",B993&lt;=35,"19-35",B993&lt;=50,"36-50",B993&lt;=65,"51-65","True","65+")</f>
        <v>0-18</v>
      </c>
      <c r="D993" t="s">
        <v>22</v>
      </c>
      <c r="E993" s="6">
        <v>45037</v>
      </c>
      <c r="F993" s="6">
        <v>45045</v>
      </c>
      <c r="G993">
        <v>8</v>
      </c>
      <c r="H993" t="s">
        <v>63</v>
      </c>
      <c r="I993">
        <v>4</v>
      </c>
      <c r="J993" t="s">
        <v>35</v>
      </c>
      <c r="K993">
        <v>9001</v>
      </c>
      <c r="L993" t="s">
        <v>60</v>
      </c>
      <c r="M993" t="s">
        <v>54</v>
      </c>
      <c r="N993" t="s">
        <v>27</v>
      </c>
      <c r="O993" s="2">
        <v>45035</v>
      </c>
      <c r="P993" s="2">
        <v>45035.333333333336</v>
      </c>
      <c r="Q993" s="38">
        <f t="shared" si="15"/>
        <v>0.33333333333575865</v>
      </c>
      <c r="R993" t="s">
        <v>42</v>
      </c>
      <c r="S993" t="s">
        <v>29</v>
      </c>
      <c r="T993" t="s">
        <v>47</v>
      </c>
      <c r="U993">
        <v>11</v>
      </c>
      <c r="V993">
        <v>12</v>
      </c>
      <c r="W993" s="18">
        <f>IFERROR(Table1[[#This Row],[Staff Hours Worked]]/Table1[[#This Row],[Staff Available Hours]],0)</f>
        <v>0.91666666666666663</v>
      </c>
      <c r="X993" t="s">
        <v>68</v>
      </c>
    </row>
    <row r="994" spans="1:24">
      <c r="A994" t="s">
        <v>1051</v>
      </c>
      <c r="B994">
        <v>89</v>
      </c>
      <c r="C994" t="str" cm="1">
        <f t="array" ref="C994">_xlfn.IFS(B994&lt;=18,"0-18",B994&lt;=35,"19-35",B994&lt;=50,"36-50",B994&lt;=65,"51-65","True","65+")</f>
        <v>65+</v>
      </c>
      <c r="D994" t="s">
        <v>62</v>
      </c>
      <c r="E994" s="6">
        <v>45166</v>
      </c>
      <c r="F994" s="6">
        <v>45167</v>
      </c>
      <c r="G994">
        <v>1</v>
      </c>
      <c r="H994" t="s">
        <v>57</v>
      </c>
      <c r="I994">
        <v>1</v>
      </c>
      <c r="J994" t="s">
        <v>46</v>
      </c>
      <c r="K994">
        <v>25946</v>
      </c>
      <c r="L994" t="s">
        <v>25</v>
      </c>
      <c r="M994" t="s">
        <v>54</v>
      </c>
      <c r="N994" t="s">
        <v>41</v>
      </c>
      <c r="O994" s="2">
        <v>45166</v>
      </c>
      <c r="P994" s="2">
        <v>45166.041666666664</v>
      </c>
      <c r="Q994" s="38">
        <f t="shared" si="15"/>
        <v>4.1666666664241347E-2</v>
      </c>
      <c r="R994" t="s">
        <v>42</v>
      </c>
      <c r="S994" t="s">
        <v>29</v>
      </c>
      <c r="T994" t="s">
        <v>43</v>
      </c>
      <c r="U994">
        <v>4</v>
      </c>
      <c r="V994">
        <v>8</v>
      </c>
      <c r="W994" s="18">
        <f>IFERROR(Table1[[#This Row],[Staff Hours Worked]]/Table1[[#This Row],[Staff Available Hours]],0)</f>
        <v>0.5</v>
      </c>
      <c r="X994" t="s">
        <v>68</v>
      </c>
    </row>
    <row r="995" spans="1:24">
      <c r="A995" t="s">
        <v>1052</v>
      </c>
      <c r="B995">
        <v>42</v>
      </c>
      <c r="C995" t="str" cm="1">
        <f t="array" ref="C995">_xlfn.IFS(B995&lt;=18,"0-18",B995&lt;=35,"19-35",B995&lt;=50,"36-50",B995&lt;=65,"51-65","True","65+")</f>
        <v>36-50</v>
      </c>
      <c r="D995" t="s">
        <v>52</v>
      </c>
      <c r="E995" s="6">
        <v>45409</v>
      </c>
      <c r="F995" s="6">
        <v>45412</v>
      </c>
      <c r="G995">
        <v>3</v>
      </c>
      <c r="H995" t="s">
        <v>40</v>
      </c>
      <c r="I995">
        <v>1</v>
      </c>
      <c r="J995" t="s">
        <v>66</v>
      </c>
      <c r="K995">
        <v>5598</v>
      </c>
      <c r="L995" t="s">
        <v>36</v>
      </c>
      <c r="M995" t="s">
        <v>54</v>
      </c>
      <c r="N995" t="s">
        <v>27</v>
      </c>
      <c r="O995" s="2">
        <v>45409</v>
      </c>
      <c r="P995" s="2">
        <v>45409.166666666664</v>
      </c>
      <c r="Q995" s="38">
        <f t="shared" si="15"/>
        <v>0.16666666666424135</v>
      </c>
      <c r="R995" t="s">
        <v>37</v>
      </c>
      <c r="S995" t="s">
        <v>29</v>
      </c>
      <c r="T995" t="s">
        <v>30</v>
      </c>
      <c r="U995">
        <v>7</v>
      </c>
      <c r="V995">
        <v>12</v>
      </c>
      <c r="W995" s="18">
        <f>IFERROR(Table1[[#This Row],[Staff Hours Worked]]/Table1[[#This Row],[Staff Available Hours]],0)</f>
        <v>0.58333333333333337</v>
      </c>
      <c r="X995" t="s">
        <v>68</v>
      </c>
    </row>
    <row r="996" spans="1:24">
      <c r="A996" t="s">
        <v>1053</v>
      </c>
      <c r="B996">
        <v>89</v>
      </c>
      <c r="C996" t="str" cm="1">
        <f t="array" ref="C996">_xlfn.IFS(B996&lt;=18,"0-18",B996&lt;=35,"19-35",B996&lt;=50,"36-50",B996&lt;=65,"51-65","True","65+")</f>
        <v>65+</v>
      </c>
      <c r="D996" t="s">
        <v>41</v>
      </c>
      <c r="E996" s="6">
        <v>44952</v>
      </c>
      <c r="F996" s="6">
        <v>44954</v>
      </c>
      <c r="G996">
        <v>2</v>
      </c>
      <c r="H996" t="s">
        <v>23</v>
      </c>
      <c r="I996">
        <v>5</v>
      </c>
      <c r="J996" t="s">
        <v>71</v>
      </c>
      <c r="K996">
        <v>35316</v>
      </c>
      <c r="L996" t="s">
        <v>67</v>
      </c>
      <c r="M996" t="s">
        <v>54</v>
      </c>
      <c r="N996" t="s">
        <v>41</v>
      </c>
      <c r="O996" s="2">
        <v>44947</v>
      </c>
      <c r="P996" s="2">
        <v>44947.625</v>
      </c>
      <c r="Q996" s="38">
        <f t="shared" si="15"/>
        <v>0.625</v>
      </c>
      <c r="R996" t="s">
        <v>42</v>
      </c>
      <c r="S996" t="s">
        <v>29</v>
      </c>
      <c r="T996" t="s">
        <v>47</v>
      </c>
      <c r="U996">
        <v>5</v>
      </c>
      <c r="V996">
        <v>8</v>
      </c>
      <c r="W996" s="18">
        <f>IFERROR(Table1[[#This Row],[Staff Hours Worked]]/Table1[[#This Row],[Staff Available Hours]],0)</f>
        <v>0.625</v>
      </c>
      <c r="X996" t="s">
        <v>48</v>
      </c>
    </row>
    <row r="997" spans="1:24">
      <c r="A997" t="s">
        <v>1054</v>
      </c>
      <c r="B997">
        <v>18</v>
      </c>
      <c r="C997" t="str" cm="1">
        <f t="array" ref="C997">_xlfn.IFS(B997&lt;=18,"0-18",B997&lt;=35,"19-35",B997&lt;=50,"36-50",B997&lt;=65,"51-65","True","65+")</f>
        <v>0-18</v>
      </c>
      <c r="D997" t="s">
        <v>52</v>
      </c>
      <c r="E997" s="6">
        <v>44969</v>
      </c>
      <c r="F997" s="6">
        <v>45089</v>
      </c>
      <c r="G997">
        <v>4</v>
      </c>
      <c r="H997" t="s">
        <v>50</v>
      </c>
      <c r="I997">
        <v>5</v>
      </c>
      <c r="J997" t="s">
        <v>46</v>
      </c>
      <c r="K997">
        <v>30567</v>
      </c>
      <c r="L997" t="s">
        <v>36</v>
      </c>
      <c r="M997" t="s">
        <v>54</v>
      </c>
      <c r="N997" t="s">
        <v>27</v>
      </c>
      <c r="O997" s="2">
        <v>45260</v>
      </c>
      <c r="P997" s="2">
        <v>45260.375</v>
      </c>
      <c r="Q997" s="38">
        <f t="shared" si="15"/>
        <v>0.375</v>
      </c>
      <c r="R997" t="s">
        <v>37</v>
      </c>
      <c r="S997" t="s">
        <v>29</v>
      </c>
      <c r="T997" t="s">
        <v>47</v>
      </c>
      <c r="U997">
        <v>10</v>
      </c>
      <c r="V997">
        <v>10</v>
      </c>
      <c r="W997" s="18">
        <f>IFERROR(Table1[[#This Row],[Staff Hours Worked]]/Table1[[#This Row],[Staff Available Hours]],0)</f>
        <v>1</v>
      </c>
      <c r="X997" t="s">
        <v>31</v>
      </c>
    </row>
    <row r="998" spans="1:24">
      <c r="A998" t="s">
        <v>1055</v>
      </c>
      <c r="B998">
        <v>40</v>
      </c>
      <c r="C998" t="str" cm="1">
        <f t="array" ref="C998">_xlfn.IFS(B998&lt;=18,"0-18",B998&lt;=35,"19-35",B998&lt;=50,"36-50",B998&lt;=65,"51-65","True","65+")</f>
        <v>36-50</v>
      </c>
      <c r="D998" t="s">
        <v>52</v>
      </c>
      <c r="E998" s="6">
        <v>45153</v>
      </c>
      <c r="F998" s="6">
        <v>45166</v>
      </c>
      <c r="G998">
        <v>13</v>
      </c>
      <c r="H998" t="s">
        <v>63</v>
      </c>
      <c r="I998">
        <v>2</v>
      </c>
      <c r="J998" t="s">
        <v>46</v>
      </c>
      <c r="K998">
        <v>31508</v>
      </c>
      <c r="L998" t="s">
        <v>53</v>
      </c>
      <c r="M998" t="s">
        <v>54</v>
      </c>
      <c r="N998" t="s">
        <v>41</v>
      </c>
      <c r="O998" s="2">
        <v>45238</v>
      </c>
      <c r="P998" s="2">
        <v>45238.541666666664</v>
      </c>
      <c r="Q998" s="38">
        <f t="shared" si="15"/>
        <v>0.54166666666424135</v>
      </c>
      <c r="R998" t="s">
        <v>55</v>
      </c>
      <c r="S998" t="s">
        <v>29</v>
      </c>
      <c r="T998" t="s">
        <v>30</v>
      </c>
      <c r="U998">
        <v>4</v>
      </c>
      <c r="V998">
        <v>10</v>
      </c>
      <c r="W998" s="18">
        <f>IFERROR(Table1[[#This Row],[Staff Hours Worked]]/Table1[[#This Row],[Staff Available Hours]],0)</f>
        <v>0.4</v>
      </c>
      <c r="X998" t="s">
        <v>68</v>
      </c>
    </row>
    <row r="999" spans="1:24">
      <c r="A999" t="s">
        <v>1056</v>
      </c>
      <c r="B999">
        <v>72</v>
      </c>
      <c r="C999" t="str" cm="1">
        <f t="array" ref="C999">_xlfn.IFS(B999&lt;=18,"0-18",B999&lt;=35,"19-35",B999&lt;=50,"36-50",B999&lt;=65,"51-65","True","65+")</f>
        <v>65+</v>
      </c>
      <c r="D999" t="s">
        <v>22</v>
      </c>
      <c r="E999" s="6">
        <v>45080</v>
      </c>
      <c r="F999" s="6">
        <v>45002</v>
      </c>
      <c r="G999">
        <v>11</v>
      </c>
      <c r="H999" t="s">
        <v>63</v>
      </c>
      <c r="I999">
        <v>5</v>
      </c>
      <c r="J999" t="s">
        <v>24</v>
      </c>
      <c r="K999">
        <v>48744</v>
      </c>
      <c r="L999" t="s">
        <v>67</v>
      </c>
      <c r="M999" t="s">
        <v>54</v>
      </c>
      <c r="N999" t="s">
        <v>41</v>
      </c>
      <c r="O999" s="2">
        <v>44960</v>
      </c>
      <c r="P999" s="2">
        <v>44988.083333333336</v>
      </c>
      <c r="Q999" s="38">
        <f t="shared" si="15"/>
        <v>28.083333333335759</v>
      </c>
      <c r="R999" t="s">
        <v>55</v>
      </c>
      <c r="S999" t="s">
        <v>29</v>
      </c>
      <c r="T999" t="s">
        <v>30</v>
      </c>
      <c r="U999">
        <v>8</v>
      </c>
      <c r="V999">
        <v>10</v>
      </c>
      <c r="W999" s="18">
        <f>IFERROR(Table1[[#This Row],[Staff Hours Worked]]/Table1[[#This Row],[Staff Available Hours]],0)</f>
        <v>0.8</v>
      </c>
      <c r="X999" t="s">
        <v>48</v>
      </c>
    </row>
    <row r="1000" spans="1:24">
      <c r="A1000" t="s">
        <v>1057</v>
      </c>
      <c r="B1000">
        <v>39</v>
      </c>
      <c r="C1000" t="str" cm="1">
        <f t="array" ref="C1000">_xlfn.IFS(B1000&lt;=18,"0-18",B1000&lt;=35,"19-35",B1000&lt;=50,"36-50",B1000&lt;=65,"51-65","True","65+")</f>
        <v>36-50</v>
      </c>
      <c r="D1000" t="s">
        <v>41</v>
      </c>
      <c r="E1000" s="6">
        <v>45402</v>
      </c>
      <c r="F1000" s="6">
        <v>45408</v>
      </c>
      <c r="G1000">
        <v>6</v>
      </c>
      <c r="H1000" t="s">
        <v>23</v>
      </c>
      <c r="I1000">
        <v>2</v>
      </c>
      <c r="J1000" t="s">
        <v>71</v>
      </c>
      <c r="K1000">
        <v>44159</v>
      </c>
      <c r="L1000" t="s">
        <v>53</v>
      </c>
      <c r="M1000" t="s">
        <v>54</v>
      </c>
      <c r="N1000" t="s">
        <v>27</v>
      </c>
      <c r="O1000" s="2">
        <v>45397</v>
      </c>
      <c r="P1000" s="2">
        <v>45398</v>
      </c>
      <c r="Q1000" s="38">
        <f t="shared" si="15"/>
        <v>1</v>
      </c>
      <c r="R1000" t="s">
        <v>37</v>
      </c>
      <c r="S1000" t="s">
        <v>29</v>
      </c>
      <c r="T1000" t="s">
        <v>30</v>
      </c>
      <c r="U1000">
        <v>10</v>
      </c>
      <c r="V1000">
        <v>8</v>
      </c>
      <c r="W1000" s="18">
        <f>IFERROR(Table1[[#This Row],[Staff Hours Worked]]/Table1[[#This Row],[Staff Available Hours]],0)</f>
        <v>1.25</v>
      </c>
      <c r="X1000" t="s">
        <v>31</v>
      </c>
    </row>
    <row r="1001" spans="1:24">
      <c r="A1001" t="s">
        <v>1058</v>
      </c>
      <c r="B1001">
        <v>14</v>
      </c>
      <c r="C1001" t="str" cm="1">
        <f t="array" ref="C1001">_xlfn.IFS(B1001&lt;=18,"0-18",B1001&lt;=35,"19-35",B1001&lt;=50,"36-50",B1001&lt;=65,"51-65","True","65+")</f>
        <v>0-18</v>
      </c>
      <c r="D1001" t="s">
        <v>41</v>
      </c>
      <c r="E1001" s="6">
        <v>45088</v>
      </c>
      <c r="F1001" s="6">
        <v>45271</v>
      </c>
      <c r="G1001">
        <v>6</v>
      </c>
      <c r="H1001" t="s">
        <v>23</v>
      </c>
      <c r="I1001">
        <v>1</v>
      </c>
      <c r="J1001" t="s">
        <v>35</v>
      </c>
      <c r="K1001">
        <v>35276</v>
      </c>
      <c r="L1001" t="s">
        <v>67</v>
      </c>
      <c r="M1001" t="s">
        <v>26</v>
      </c>
      <c r="N1001" t="s">
        <v>27</v>
      </c>
      <c r="O1001" s="2">
        <v>45088</v>
      </c>
      <c r="P1001" s="2">
        <v>45118.833333333336</v>
      </c>
      <c r="Q1001" s="38">
        <f t="shared" si="15"/>
        <v>30.833333333335759</v>
      </c>
      <c r="R1001" t="s">
        <v>28</v>
      </c>
      <c r="S1001" t="s">
        <v>29</v>
      </c>
      <c r="T1001" t="s">
        <v>30</v>
      </c>
      <c r="U1001">
        <v>8</v>
      </c>
      <c r="V1001">
        <v>10</v>
      </c>
      <c r="W1001" s="18">
        <f>IFERROR(Table1[[#This Row],[Staff Hours Worked]]/Table1[[#This Row],[Staff Available Hours]],0)</f>
        <v>0.8</v>
      </c>
      <c r="X1001" t="s">
        <v>68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9ABC-7C95-4FFB-9B27-6CA1920C775C}">
  <dimension ref="A1:X52"/>
  <sheetViews>
    <sheetView topLeftCell="P1" zoomScale="99" zoomScaleNormal="99" workbookViewId="0">
      <selection activeCell="V17" sqref="V17"/>
    </sheetView>
  </sheetViews>
  <sheetFormatPr defaultRowHeight="13.8"/>
  <cols>
    <col min="1" max="1" width="19.09765625" bestFit="1" customWidth="1"/>
    <col min="2" max="2" width="29.3984375" bestFit="1" customWidth="1"/>
    <col min="3" max="3" width="8.09765625" bestFit="1" customWidth="1"/>
    <col min="4" max="4" width="7.19921875" bestFit="1" customWidth="1"/>
    <col min="5" max="5" width="11.09765625" bestFit="1" customWidth="1"/>
    <col min="6" max="6" width="19.09765625" bestFit="1" customWidth="1"/>
    <col min="7" max="7" width="25" bestFit="1" customWidth="1"/>
    <col min="8" max="8" width="17.59765625" bestFit="1" customWidth="1"/>
    <col min="9" max="9" width="23.09765625" bestFit="1" customWidth="1"/>
    <col min="10" max="10" width="17.59765625" bestFit="1" customWidth="1"/>
    <col min="11" max="11" width="15.59765625" bestFit="1" customWidth="1"/>
    <col min="12" max="12" width="21.3984375" bestFit="1" customWidth="1"/>
    <col min="13" max="13" width="4.09765625" bestFit="1" customWidth="1"/>
    <col min="14" max="14" width="3.5" bestFit="1" customWidth="1"/>
    <col min="15" max="15" width="19.09765625" bestFit="1" customWidth="1"/>
    <col min="16" max="16" width="22.19921875" bestFit="1" customWidth="1"/>
    <col min="17" max="17" width="17.59765625" bestFit="1" customWidth="1"/>
    <col min="18" max="18" width="11.09765625" bestFit="1" customWidth="1"/>
    <col min="19" max="19" width="15.296875" bestFit="1" customWidth="1"/>
    <col min="20" max="20" width="20.796875" bestFit="1" customWidth="1"/>
    <col min="21" max="21" width="22.796875" bestFit="1" customWidth="1"/>
    <col min="22" max="22" width="13.19921875" bestFit="1" customWidth="1"/>
    <col min="23" max="23" width="19.59765625" bestFit="1" customWidth="1"/>
    <col min="24" max="24" width="13.3984375" bestFit="1" customWidth="1"/>
    <col min="25" max="25" width="11.09765625" bestFit="1" customWidth="1"/>
    <col min="26" max="26" width="4.19921875" bestFit="1" customWidth="1"/>
    <col min="27" max="27" width="9.19921875" bestFit="1" customWidth="1"/>
    <col min="28" max="28" width="10.5" bestFit="1" customWidth="1"/>
    <col min="29" max="29" width="6.19921875" bestFit="1" customWidth="1"/>
    <col min="30" max="30" width="11.09765625" bestFit="1" customWidth="1"/>
    <col min="31" max="1014" width="16.296875" bestFit="1" customWidth="1"/>
    <col min="1015" max="1015" width="11.09765625" bestFit="1" customWidth="1"/>
  </cols>
  <sheetData>
    <row r="1" spans="1:24">
      <c r="A1" s="14" t="s">
        <v>1083</v>
      </c>
      <c r="B1" s="11"/>
      <c r="C1" s="16"/>
      <c r="E1" s="42" t="s">
        <v>1084</v>
      </c>
      <c r="F1" s="40"/>
      <c r="G1" s="40"/>
      <c r="H1" s="40"/>
      <c r="I1" s="40"/>
      <c r="J1" s="40"/>
      <c r="K1" s="40"/>
      <c r="L1" s="40"/>
      <c r="M1" s="40"/>
      <c r="N1" s="40"/>
      <c r="O1" s="40"/>
      <c r="P1" s="40"/>
      <c r="Q1" s="40"/>
      <c r="R1" s="44"/>
    </row>
    <row r="3" spans="1:24">
      <c r="A3" s="8" t="s">
        <v>1059</v>
      </c>
      <c r="B3" s="8" t="s">
        <v>1066</v>
      </c>
      <c r="E3" s="8" t="s">
        <v>1079</v>
      </c>
      <c r="F3" s="8" t="s">
        <v>1080</v>
      </c>
      <c r="G3" s="8"/>
      <c r="H3" s="8"/>
      <c r="I3" s="8"/>
      <c r="J3" s="8"/>
      <c r="K3" s="8"/>
      <c r="L3" s="8"/>
      <c r="M3" s="8"/>
      <c r="N3" s="8"/>
      <c r="O3" s="8"/>
      <c r="P3" s="8"/>
      <c r="Q3" s="8"/>
      <c r="R3" s="8"/>
    </row>
    <row r="4" spans="1:24">
      <c r="A4" s="3" t="s">
        <v>1060</v>
      </c>
      <c r="B4" s="5">
        <v>7.7422222222222219</v>
      </c>
      <c r="E4" s="8" t="s">
        <v>2</v>
      </c>
      <c r="F4" s="10" t="s">
        <v>1067</v>
      </c>
      <c r="G4" s="12" t="s">
        <v>1068</v>
      </c>
      <c r="H4" s="12" t="s">
        <v>1069</v>
      </c>
      <c r="I4" s="12" t="s">
        <v>1070</v>
      </c>
      <c r="J4" s="12" t="s">
        <v>1071</v>
      </c>
      <c r="K4" s="12" t="s">
        <v>1072</v>
      </c>
      <c r="L4" s="12" t="s">
        <v>1073</v>
      </c>
      <c r="M4" s="12" t="s">
        <v>1074</v>
      </c>
      <c r="N4" s="12" t="s">
        <v>1075</v>
      </c>
      <c r="O4" s="12" t="s">
        <v>1076</v>
      </c>
      <c r="P4" s="12" t="s">
        <v>1077</v>
      </c>
      <c r="Q4" s="12" t="s">
        <v>1078</v>
      </c>
      <c r="R4" s="12" t="s">
        <v>1065</v>
      </c>
    </row>
    <row r="5" spans="1:24">
      <c r="A5" s="3" t="s">
        <v>1061</v>
      </c>
      <c r="B5" s="5">
        <v>7.7295918367346941</v>
      </c>
      <c r="E5" s="3" t="s">
        <v>52</v>
      </c>
      <c r="F5" s="4">
        <v>14</v>
      </c>
      <c r="G5" s="4">
        <v>18</v>
      </c>
      <c r="H5" s="4">
        <v>14</v>
      </c>
      <c r="I5" s="4">
        <v>20</v>
      </c>
      <c r="J5" s="4">
        <v>13</v>
      </c>
      <c r="K5" s="4">
        <v>18</v>
      </c>
      <c r="L5" s="4">
        <v>9</v>
      </c>
      <c r="M5" s="4">
        <v>8</v>
      </c>
      <c r="N5" s="4">
        <v>11</v>
      </c>
      <c r="O5" s="4">
        <v>16</v>
      </c>
      <c r="P5" s="4">
        <v>15</v>
      </c>
      <c r="Q5" s="4">
        <v>9</v>
      </c>
      <c r="R5" s="4">
        <v>165</v>
      </c>
    </row>
    <row r="6" spans="1:24">
      <c r="A6" s="3" t="s">
        <v>1062</v>
      </c>
      <c r="B6" s="5">
        <v>7.375</v>
      </c>
      <c r="E6" s="3" t="s">
        <v>41</v>
      </c>
      <c r="F6" s="4">
        <v>19</v>
      </c>
      <c r="G6" s="4">
        <v>16</v>
      </c>
      <c r="H6" s="4">
        <v>23</v>
      </c>
      <c r="I6" s="4">
        <v>15</v>
      </c>
      <c r="J6" s="4">
        <v>14</v>
      </c>
      <c r="K6" s="4">
        <v>16</v>
      </c>
      <c r="L6" s="4">
        <v>12</v>
      </c>
      <c r="M6" s="4">
        <v>13</v>
      </c>
      <c r="N6" s="4">
        <v>6</v>
      </c>
      <c r="O6" s="4">
        <v>9</v>
      </c>
      <c r="P6" s="4">
        <v>9</v>
      </c>
      <c r="Q6" s="4">
        <v>14</v>
      </c>
      <c r="R6" s="4">
        <v>166</v>
      </c>
      <c r="T6" s="2"/>
    </row>
    <row r="7" spans="1:24">
      <c r="A7" s="3" t="s">
        <v>1063</v>
      </c>
      <c r="B7" s="5">
        <v>8.2072538860103634</v>
      </c>
      <c r="E7" s="3" t="s">
        <v>45</v>
      </c>
      <c r="F7" s="4">
        <v>21</v>
      </c>
      <c r="G7" s="4">
        <v>14</v>
      </c>
      <c r="H7" s="4">
        <v>20</v>
      </c>
      <c r="I7" s="4">
        <v>22</v>
      </c>
      <c r="J7" s="4">
        <v>16</v>
      </c>
      <c r="K7" s="4">
        <v>11</v>
      </c>
      <c r="L7" s="4">
        <v>7</v>
      </c>
      <c r="M7" s="4">
        <v>13</v>
      </c>
      <c r="N7" s="4">
        <v>13</v>
      </c>
      <c r="O7" s="4">
        <v>16</v>
      </c>
      <c r="P7" s="4">
        <v>11</v>
      </c>
      <c r="Q7" s="4">
        <v>17</v>
      </c>
      <c r="R7" s="4">
        <v>181</v>
      </c>
    </row>
    <row r="8" spans="1:24">
      <c r="A8" s="3" t="s">
        <v>1064</v>
      </c>
      <c r="B8" s="5">
        <v>8.1410256410256405</v>
      </c>
      <c r="E8" s="3" t="s">
        <v>33</v>
      </c>
      <c r="F8" s="4">
        <v>18</v>
      </c>
      <c r="G8" s="4">
        <v>23</v>
      </c>
      <c r="H8" s="4">
        <v>21</v>
      </c>
      <c r="I8" s="4">
        <v>19</v>
      </c>
      <c r="J8" s="4">
        <v>14</v>
      </c>
      <c r="K8" s="4">
        <v>15</v>
      </c>
      <c r="L8" s="4">
        <v>11</v>
      </c>
      <c r="M8" s="4">
        <v>11</v>
      </c>
      <c r="N8" s="4">
        <v>16</v>
      </c>
      <c r="O8" s="4">
        <v>19</v>
      </c>
      <c r="P8" s="4">
        <v>8</v>
      </c>
      <c r="Q8" s="4">
        <v>4</v>
      </c>
      <c r="R8" s="4">
        <v>179</v>
      </c>
    </row>
    <row r="9" spans="1:24">
      <c r="A9" s="9" t="s">
        <v>1065</v>
      </c>
      <c r="B9" s="10">
        <v>7.867</v>
      </c>
      <c r="E9" s="3" t="s">
        <v>22</v>
      </c>
      <c r="F9" s="4">
        <v>19</v>
      </c>
      <c r="G9" s="4">
        <v>14</v>
      </c>
      <c r="H9" s="4">
        <v>21</v>
      </c>
      <c r="I9" s="4">
        <v>18</v>
      </c>
      <c r="J9" s="4">
        <v>10</v>
      </c>
      <c r="K9" s="4">
        <v>13</v>
      </c>
      <c r="L9" s="4">
        <v>15</v>
      </c>
      <c r="M9" s="4">
        <v>16</v>
      </c>
      <c r="N9" s="4">
        <v>14</v>
      </c>
      <c r="O9" s="4">
        <v>12</v>
      </c>
      <c r="P9" s="4">
        <v>12</v>
      </c>
      <c r="Q9" s="4">
        <v>9</v>
      </c>
      <c r="R9" s="4">
        <v>173</v>
      </c>
    </row>
    <row r="10" spans="1:24">
      <c r="E10" s="3" t="s">
        <v>62</v>
      </c>
      <c r="F10" s="4">
        <v>9</v>
      </c>
      <c r="G10" s="4">
        <v>9</v>
      </c>
      <c r="H10" s="4">
        <v>15</v>
      </c>
      <c r="I10" s="4">
        <v>18</v>
      </c>
      <c r="J10" s="4">
        <v>17</v>
      </c>
      <c r="K10" s="4">
        <v>7</v>
      </c>
      <c r="L10" s="4">
        <v>6</v>
      </c>
      <c r="M10" s="4">
        <v>13</v>
      </c>
      <c r="N10" s="4">
        <v>10</v>
      </c>
      <c r="O10" s="4">
        <v>7</v>
      </c>
      <c r="P10" s="4">
        <v>13</v>
      </c>
      <c r="Q10" s="4">
        <v>12</v>
      </c>
      <c r="R10" s="4">
        <v>136</v>
      </c>
    </row>
    <row r="11" spans="1:24">
      <c r="E11" s="9" t="s">
        <v>1065</v>
      </c>
      <c r="F11" s="13">
        <v>100</v>
      </c>
      <c r="G11" s="13">
        <v>94</v>
      </c>
      <c r="H11" s="13">
        <v>114</v>
      </c>
      <c r="I11" s="13">
        <v>112</v>
      </c>
      <c r="J11" s="13">
        <v>84</v>
      </c>
      <c r="K11" s="13">
        <v>80</v>
      </c>
      <c r="L11" s="13">
        <v>60</v>
      </c>
      <c r="M11" s="13">
        <v>74</v>
      </c>
      <c r="N11" s="13">
        <v>70</v>
      </c>
      <c r="O11" s="13">
        <v>79</v>
      </c>
      <c r="P11" s="13">
        <v>68</v>
      </c>
      <c r="Q11" s="13">
        <v>65</v>
      </c>
      <c r="R11" s="13">
        <v>1000</v>
      </c>
    </row>
    <row r="12" spans="1:24">
      <c r="X12" s="18"/>
    </row>
    <row r="13" spans="1:24">
      <c r="X13" s="18"/>
    </row>
    <row r="14" spans="1:24" ht="15.6">
      <c r="A14" s="42" t="s">
        <v>1085</v>
      </c>
      <c r="B14" s="43"/>
      <c r="F14" s="42" t="s">
        <v>1086</v>
      </c>
      <c r="G14" s="43"/>
      <c r="K14" s="42" t="s">
        <v>1088</v>
      </c>
      <c r="L14" s="43"/>
      <c r="O14" s="45" t="s">
        <v>1103</v>
      </c>
      <c r="P14" s="46"/>
      <c r="Q14" s="46"/>
      <c r="R14" s="46"/>
      <c r="S14" s="46"/>
      <c r="T14" s="46"/>
    </row>
    <row r="15" spans="1:24">
      <c r="P15" t="s">
        <v>1100</v>
      </c>
    </row>
    <row r="16" spans="1:24">
      <c r="A16" s="8" t="s">
        <v>6</v>
      </c>
      <c r="B16" s="8" t="s">
        <v>1081</v>
      </c>
      <c r="F16" s="8" t="s">
        <v>6</v>
      </c>
      <c r="G16" s="8" t="s">
        <v>1082</v>
      </c>
      <c r="K16" s="8" t="s">
        <v>1080</v>
      </c>
      <c r="L16" s="8" t="s">
        <v>1087</v>
      </c>
      <c r="O16" s="25" t="s">
        <v>1097</v>
      </c>
      <c r="P16" s="25" t="s">
        <v>1098</v>
      </c>
      <c r="Q16" s="25" t="s">
        <v>1079</v>
      </c>
      <c r="S16" s="24" t="s">
        <v>2</v>
      </c>
      <c r="T16" s="24" t="s">
        <v>1099</v>
      </c>
    </row>
    <row r="17" spans="1:21">
      <c r="A17" s="3" t="s">
        <v>34</v>
      </c>
      <c r="B17" s="4">
        <v>185</v>
      </c>
      <c r="F17" s="3" t="s">
        <v>50</v>
      </c>
      <c r="G17" s="5">
        <v>25417.352601156068</v>
      </c>
      <c r="K17" s="17" t="s">
        <v>1067</v>
      </c>
      <c r="L17" s="4">
        <v>100</v>
      </c>
      <c r="O17" s="3" t="s">
        <v>52</v>
      </c>
      <c r="P17" s="4">
        <v>5</v>
      </c>
      <c r="Q17" s="4">
        <v>165</v>
      </c>
      <c r="S17" s="3" t="s">
        <v>52</v>
      </c>
      <c r="T17" s="23">
        <f>GETPIVOTDATA("[Measures].[Count of Patient ID]",$O$16,"[Table1].[Department]","[Table1].[Department].&amp;[Cardiology]")/GETPIVOTDATA("[Measures].[Distinct Count of Doctor]",$O$16,"[Table1].[Department]","[Table1].[Department].&amp;[Cardiology]")</f>
        <v>33</v>
      </c>
    </row>
    <row r="18" spans="1:21">
      <c r="A18" s="3" t="s">
        <v>50</v>
      </c>
      <c r="B18" s="4">
        <v>173</v>
      </c>
      <c r="F18" s="3" t="s">
        <v>57</v>
      </c>
      <c r="G18" s="5">
        <v>26497.3</v>
      </c>
      <c r="K18" s="17" t="s">
        <v>1068</v>
      </c>
      <c r="L18" s="4">
        <v>94</v>
      </c>
      <c r="O18" s="3" t="s">
        <v>41</v>
      </c>
      <c r="P18" s="4">
        <v>5</v>
      </c>
      <c r="Q18" s="4">
        <v>166</v>
      </c>
      <c r="S18" s="3" t="s">
        <v>41</v>
      </c>
      <c r="T18" s="23">
        <f>GETPIVOTDATA("[Measures].[Count of Patient ID]",$O$16,"[Table1].[Department]","[Table1].[Department].&amp;[Emergency]")/GETPIVOTDATA("[Measures].[Distinct Count of Doctor]",$O$16,"[Table1].[Department]","[Table1].[Department].&amp;[Emergency]")</f>
        <v>33.200000000000003</v>
      </c>
    </row>
    <row r="19" spans="1:21">
      <c r="A19" s="3" t="s">
        <v>57</v>
      </c>
      <c r="B19" s="4">
        <v>170</v>
      </c>
      <c r="F19" s="3" t="s">
        <v>34</v>
      </c>
      <c r="G19" s="5">
        <v>28021.789189189189</v>
      </c>
      <c r="K19" s="17" t="s">
        <v>1069</v>
      </c>
      <c r="L19" s="4">
        <v>114</v>
      </c>
      <c r="O19" s="3" t="s">
        <v>45</v>
      </c>
      <c r="P19" s="4">
        <v>5</v>
      </c>
      <c r="Q19" s="4">
        <v>181</v>
      </c>
      <c r="S19" s="3" t="s">
        <v>45</v>
      </c>
      <c r="T19" s="23">
        <f>GETPIVOTDATA("[Measures].[Count of Patient ID]",$O$16,"[Table1].[Department]","[Table1].[Department].&amp;[General Medicine]")/GETPIVOTDATA("[Measures].[Distinct Count of Doctor]",$O$16,"[Table1].[Department]","[Table1].[Department].&amp;[General Medicine]")</f>
        <v>36.200000000000003</v>
      </c>
    </row>
    <row r="20" spans="1:21">
      <c r="A20" s="3" t="s">
        <v>23</v>
      </c>
      <c r="B20" s="4">
        <v>167</v>
      </c>
      <c r="F20" s="3" t="s">
        <v>23</v>
      </c>
      <c r="G20" s="5">
        <v>27130.820359281439</v>
      </c>
      <c r="K20" s="17" t="s">
        <v>1070</v>
      </c>
      <c r="L20" s="4">
        <v>112</v>
      </c>
      <c r="O20" s="3" t="s">
        <v>33</v>
      </c>
      <c r="P20" s="4">
        <v>5</v>
      </c>
      <c r="Q20" s="4">
        <v>179</v>
      </c>
      <c r="S20" s="3" t="s">
        <v>33</v>
      </c>
      <c r="T20" s="23">
        <f>GETPIVOTDATA("[Measures].[Count of Patient ID]",$O$16,"[Table1].[Department]","[Table1].[Department].&amp;[ICU]")/GETPIVOTDATA("[Measures].[Distinct Count of Doctor]",$O$16,"[Table1].[Department]","[Table1].[Department].&amp;[ICU]")</f>
        <v>35.799999999999997</v>
      </c>
    </row>
    <row r="21" spans="1:21">
      <c r="A21" s="3" t="s">
        <v>40</v>
      </c>
      <c r="B21" s="4">
        <v>157</v>
      </c>
      <c r="F21" s="3" t="s">
        <v>40</v>
      </c>
      <c r="G21" s="5">
        <v>27084.993630573248</v>
      </c>
      <c r="K21" s="17" t="s">
        <v>1071</v>
      </c>
      <c r="L21" s="4">
        <v>84</v>
      </c>
      <c r="O21" s="3" t="s">
        <v>22</v>
      </c>
      <c r="P21" s="4">
        <v>5</v>
      </c>
      <c r="Q21" s="4">
        <v>173</v>
      </c>
      <c r="S21" s="3" t="s">
        <v>22</v>
      </c>
      <c r="T21" s="23">
        <f>GETPIVOTDATA("[Measures].[Count of Patient ID]",$O$16,"[Table1].[Department]","[Table1].[Department].&amp;[Neurology]")/GETPIVOTDATA("[Measures].[Distinct Count of Doctor]",$O$16,"[Table1].[Department]","[Table1].[Department].&amp;[Neurology]")</f>
        <v>34.6</v>
      </c>
    </row>
    <row r="22" spans="1:21">
      <c r="A22" s="3" t="s">
        <v>63</v>
      </c>
      <c r="B22" s="4">
        <v>148</v>
      </c>
      <c r="F22" s="3" t="s">
        <v>63</v>
      </c>
      <c r="G22" s="5">
        <v>26460.027027027027</v>
      </c>
      <c r="K22" s="17" t="s">
        <v>1072</v>
      </c>
      <c r="L22" s="4">
        <v>80</v>
      </c>
      <c r="O22" s="3" t="s">
        <v>62</v>
      </c>
      <c r="P22" s="4">
        <v>5</v>
      </c>
      <c r="Q22" s="4">
        <v>136</v>
      </c>
      <c r="S22" s="3" t="s">
        <v>62</v>
      </c>
      <c r="T22" s="23">
        <f>GETPIVOTDATA("[Measures].[Count of Patient ID]",$O$16,"[Table1].[Department]","[Table1].[Department].&amp;[Orthopedics]")/GETPIVOTDATA("[Measures].[Distinct Count of Doctor]",$O$16,"[Table1].[Department]","[Table1].[Department].&amp;[Orthopedics]")</f>
        <v>27.2</v>
      </c>
    </row>
    <row r="23" spans="1:21">
      <c r="A23" s="9" t="s">
        <v>1065</v>
      </c>
      <c r="B23" s="13">
        <v>1000</v>
      </c>
      <c r="F23" s="9" t="s">
        <v>1065</v>
      </c>
      <c r="G23" s="15">
        <v>26785.048999999999</v>
      </c>
      <c r="K23" s="17" t="s">
        <v>1073</v>
      </c>
      <c r="L23" s="4">
        <v>60</v>
      </c>
      <c r="O23" s="25" t="s">
        <v>1065</v>
      </c>
      <c r="P23" s="25">
        <v>5</v>
      </c>
      <c r="Q23" s="25">
        <v>1000</v>
      </c>
      <c r="S23" s="3"/>
    </row>
    <row r="24" spans="1:21">
      <c r="K24" s="17" t="s">
        <v>1074</v>
      </c>
      <c r="L24" s="4">
        <v>74</v>
      </c>
      <c r="S24" s="3"/>
    </row>
    <row r="25" spans="1:21">
      <c r="K25" s="17" t="s">
        <v>1075</v>
      </c>
      <c r="L25" s="4">
        <v>70</v>
      </c>
    </row>
    <row r="26" spans="1:21">
      <c r="K26" s="17" t="s">
        <v>1076</v>
      </c>
      <c r="L26" s="4">
        <v>79</v>
      </c>
    </row>
    <row r="27" spans="1:21">
      <c r="K27" s="17" t="s">
        <v>1077</v>
      </c>
      <c r="L27" s="4">
        <v>68</v>
      </c>
    </row>
    <row r="28" spans="1:21" ht="15.6">
      <c r="K28" s="17" t="s">
        <v>1078</v>
      </c>
      <c r="L28" s="4">
        <v>65</v>
      </c>
      <c r="O28" s="45" t="s">
        <v>1104</v>
      </c>
      <c r="P28" s="46"/>
      <c r="Q28" s="46"/>
      <c r="R28" s="46"/>
      <c r="S28" s="46"/>
      <c r="T28" s="46"/>
      <c r="U28" s="46"/>
    </row>
    <row r="29" spans="1:21">
      <c r="A29" s="39" t="s">
        <v>1091</v>
      </c>
      <c r="B29" s="40"/>
      <c r="C29" s="40"/>
      <c r="D29" s="40"/>
      <c r="E29" s="40"/>
      <c r="F29" s="40"/>
      <c r="G29" s="41"/>
      <c r="K29" s="13" t="s">
        <v>1065</v>
      </c>
      <c r="L29" s="13">
        <v>1000</v>
      </c>
      <c r="P29" t="s">
        <v>1100</v>
      </c>
    </row>
    <row r="30" spans="1:21">
      <c r="O30" s="26" t="s">
        <v>1095</v>
      </c>
      <c r="P30" s="26" t="s">
        <v>16</v>
      </c>
      <c r="Q30" s="26"/>
      <c r="R30" s="26"/>
      <c r="T30" s="30" t="s">
        <v>1095</v>
      </c>
      <c r="U30" s="31" t="s">
        <v>1102</v>
      </c>
    </row>
    <row r="31" spans="1:21">
      <c r="O31" s="26" t="s">
        <v>1094</v>
      </c>
      <c r="P31" s="26" t="s">
        <v>29</v>
      </c>
      <c r="Q31" s="26" t="s">
        <v>38</v>
      </c>
      <c r="R31" s="26" t="s">
        <v>1065</v>
      </c>
      <c r="T31" s="32" t="s">
        <v>1094</v>
      </c>
      <c r="U31" s="33" t="s">
        <v>1101</v>
      </c>
    </row>
    <row r="32" spans="1:21">
      <c r="A32" s="8" t="s">
        <v>1090</v>
      </c>
      <c r="B32" s="8" t="s">
        <v>1089</v>
      </c>
      <c r="C32" s="8"/>
      <c r="D32" s="8"/>
      <c r="E32" s="8"/>
      <c r="F32" s="8"/>
      <c r="G32" s="8"/>
      <c r="K32" s="42" t="s">
        <v>1093</v>
      </c>
      <c r="L32" s="43"/>
      <c r="O32" s="3" t="s">
        <v>37</v>
      </c>
      <c r="P32" s="18">
        <v>0.92972972972972978</v>
      </c>
      <c r="Q32" s="18">
        <v>7.0270270270270274E-2</v>
      </c>
      <c r="R32" s="18">
        <v>1</v>
      </c>
      <c r="T32" s="34" t="s">
        <v>37</v>
      </c>
      <c r="U32" s="35">
        <v>7.0270270270270274E-2</v>
      </c>
    </row>
    <row r="33" spans="1:21">
      <c r="A33" s="8" t="s">
        <v>2</v>
      </c>
      <c r="B33" s="8" t="s">
        <v>53</v>
      </c>
      <c r="C33" s="8" t="s">
        <v>67</v>
      </c>
      <c r="D33" s="8" t="s">
        <v>25</v>
      </c>
      <c r="E33" s="8" t="s">
        <v>60</v>
      </c>
      <c r="F33" s="8" t="s">
        <v>36</v>
      </c>
      <c r="G33" s="8" t="s">
        <v>1065</v>
      </c>
      <c r="O33" s="3" t="s">
        <v>42</v>
      </c>
      <c r="P33" s="18">
        <v>0.92272727272727273</v>
      </c>
      <c r="Q33" s="18">
        <v>7.7272727272727271E-2</v>
      </c>
      <c r="R33" s="18">
        <v>1</v>
      </c>
      <c r="T33" s="34" t="s">
        <v>42</v>
      </c>
      <c r="U33" s="35">
        <v>7.7272727272727271E-2</v>
      </c>
    </row>
    <row r="34" spans="1:21">
      <c r="A34" s="3" t="s">
        <v>52</v>
      </c>
      <c r="B34" s="4">
        <v>31</v>
      </c>
      <c r="C34" s="4">
        <v>31</v>
      </c>
      <c r="D34" s="4">
        <v>34</v>
      </c>
      <c r="E34" s="4">
        <v>35</v>
      </c>
      <c r="F34" s="4">
        <v>34</v>
      </c>
      <c r="G34" s="4">
        <v>165</v>
      </c>
      <c r="O34" s="3" t="s">
        <v>64</v>
      </c>
      <c r="P34" s="18">
        <v>0.88297872340425532</v>
      </c>
      <c r="Q34" s="18">
        <v>0.11702127659574468</v>
      </c>
      <c r="R34" s="18">
        <v>1</v>
      </c>
      <c r="T34" s="34" t="s">
        <v>64</v>
      </c>
      <c r="U34" s="35">
        <v>0.11702127659574468</v>
      </c>
    </row>
    <row r="35" spans="1:21">
      <c r="A35" s="3" t="s">
        <v>41</v>
      </c>
      <c r="B35" s="4">
        <v>35</v>
      </c>
      <c r="C35" s="4">
        <v>29</v>
      </c>
      <c r="D35" s="4">
        <v>39</v>
      </c>
      <c r="E35" s="4">
        <v>29</v>
      </c>
      <c r="F35" s="4">
        <v>34</v>
      </c>
      <c r="G35" s="4">
        <v>166</v>
      </c>
      <c r="K35" s="8" t="s">
        <v>11</v>
      </c>
      <c r="L35" s="8" t="s">
        <v>1092</v>
      </c>
      <c r="O35" s="3" t="s">
        <v>55</v>
      </c>
      <c r="P35" s="18">
        <v>0.91284403669724767</v>
      </c>
      <c r="Q35" s="18">
        <v>8.7155963302752298E-2</v>
      </c>
      <c r="R35" s="18">
        <v>1</v>
      </c>
      <c r="T35" s="34" t="s">
        <v>55</v>
      </c>
      <c r="U35" s="35">
        <v>8.7155963302752298E-2</v>
      </c>
    </row>
    <row r="36" spans="1:21">
      <c r="A36" s="3" t="s">
        <v>45</v>
      </c>
      <c r="B36" s="4">
        <v>26</v>
      </c>
      <c r="C36" s="4">
        <v>37</v>
      </c>
      <c r="D36" s="4">
        <v>39</v>
      </c>
      <c r="E36" s="4">
        <v>39</v>
      </c>
      <c r="F36" s="4">
        <v>40</v>
      </c>
      <c r="G36" s="4">
        <v>181</v>
      </c>
      <c r="K36" s="3" t="s">
        <v>54</v>
      </c>
      <c r="L36" s="18">
        <v>0.61699999999999999</v>
      </c>
      <c r="O36" s="3" t="s">
        <v>28</v>
      </c>
      <c r="P36" s="18">
        <v>0.90476190476190477</v>
      </c>
      <c r="Q36" s="18">
        <v>9.5238095238095233E-2</v>
      </c>
      <c r="R36" s="18">
        <v>1</v>
      </c>
      <c r="S36" s="18"/>
      <c r="T36" s="36" t="s">
        <v>28</v>
      </c>
      <c r="U36" s="37">
        <v>9.5238095238095233E-2</v>
      </c>
    </row>
    <row r="37" spans="1:21">
      <c r="A37" s="3" t="s">
        <v>33</v>
      </c>
      <c r="B37" s="4">
        <v>45</v>
      </c>
      <c r="C37" s="4">
        <v>35</v>
      </c>
      <c r="D37" s="4">
        <v>27</v>
      </c>
      <c r="E37" s="4">
        <v>35</v>
      </c>
      <c r="F37" s="4">
        <v>37</v>
      </c>
      <c r="G37" s="4">
        <v>179</v>
      </c>
      <c r="K37" s="3" t="s">
        <v>26</v>
      </c>
      <c r="L37" s="18">
        <v>0.38300000000000001</v>
      </c>
      <c r="O37" s="27" t="s">
        <v>1065</v>
      </c>
      <c r="P37" s="28">
        <v>0.91100000000000003</v>
      </c>
      <c r="Q37" s="28">
        <v>8.8999999999999996E-2</v>
      </c>
      <c r="R37" s="28">
        <v>1</v>
      </c>
      <c r="S37" s="18"/>
      <c r="T37" s="29"/>
    </row>
    <row r="38" spans="1:21">
      <c r="A38" s="3" t="s">
        <v>22</v>
      </c>
      <c r="B38" s="4">
        <v>25</v>
      </c>
      <c r="C38" s="4">
        <v>40</v>
      </c>
      <c r="D38" s="4">
        <v>36</v>
      </c>
      <c r="E38" s="4">
        <v>44</v>
      </c>
      <c r="F38" s="4">
        <v>28</v>
      </c>
      <c r="G38" s="4">
        <v>173</v>
      </c>
      <c r="K38" s="20" t="s">
        <v>1065</v>
      </c>
      <c r="L38" s="19">
        <v>1</v>
      </c>
      <c r="S38" s="18"/>
    </row>
    <row r="39" spans="1:21">
      <c r="A39" s="3" t="s">
        <v>62</v>
      </c>
      <c r="B39" s="4">
        <v>24</v>
      </c>
      <c r="C39" s="4">
        <v>25</v>
      </c>
      <c r="D39" s="4">
        <v>23</v>
      </c>
      <c r="E39" s="4">
        <v>37</v>
      </c>
      <c r="F39" s="4">
        <v>27</v>
      </c>
      <c r="G39" s="4">
        <v>136</v>
      </c>
    </row>
    <row r="40" spans="1:21">
      <c r="A40" s="20" t="s">
        <v>1065</v>
      </c>
      <c r="B40" s="10">
        <v>186</v>
      </c>
      <c r="C40" s="10">
        <v>197</v>
      </c>
      <c r="D40" s="10">
        <v>198</v>
      </c>
      <c r="E40" s="10">
        <v>219</v>
      </c>
      <c r="F40" s="10">
        <v>200</v>
      </c>
      <c r="G40" s="10">
        <v>1000</v>
      </c>
    </row>
    <row r="42" spans="1:21">
      <c r="A42" s="39" t="s">
        <v>1108</v>
      </c>
      <c r="B42" s="40"/>
      <c r="C42" s="40"/>
      <c r="D42" s="40"/>
      <c r="E42" s="40"/>
      <c r="G42" s="39" t="s">
        <v>1110</v>
      </c>
      <c r="H42" s="40"/>
    </row>
    <row r="44" spans="1:21">
      <c r="A44" s="8" t="s">
        <v>1107</v>
      </c>
      <c r="B44" s="8" t="s">
        <v>1105</v>
      </c>
      <c r="C44" s="8"/>
      <c r="D44" s="8"/>
      <c r="E44" s="8"/>
      <c r="G44" s="8" t="s">
        <v>3</v>
      </c>
      <c r="H44" s="8" t="s">
        <v>1109</v>
      </c>
    </row>
    <row r="45" spans="1:21">
      <c r="A45" s="8" t="s">
        <v>2</v>
      </c>
      <c r="B45" s="8" t="s">
        <v>30</v>
      </c>
      <c r="C45" s="8" t="s">
        <v>43</v>
      </c>
      <c r="D45" s="8" t="s">
        <v>47</v>
      </c>
      <c r="E45" s="8" t="s">
        <v>1065</v>
      </c>
    </row>
    <row r="46" spans="1:21">
      <c r="A46" s="3" t="s">
        <v>52</v>
      </c>
      <c r="B46" s="18">
        <v>0.74897660818713452</v>
      </c>
      <c r="C46" s="18">
        <v>0.78741830065359475</v>
      </c>
      <c r="D46" s="18">
        <v>0.83976608187134505</v>
      </c>
      <c r="E46" s="18">
        <v>0.79222222222222261</v>
      </c>
      <c r="G46" s="8" t="s">
        <v>12</v>
      </c>
      <c r="H46" s="8" t="s">
        <v>1079</v>
      </c>
    </row>
    <row r="47" spans="1:21">
      <c r="A47" s="3" t="s">
        <v>41</v>
      </c>
      <c r="B47" s="18">
        <v>0.8035714285714286</v>
      </c>
      <c r="C47" s="18">
        <v>0.83236111111111133</v>
      </c>
      <c r="D47" s="18">
        <v>0.77800000000000025</v>
      </c>
      <c r="E47" s="18">
        <v>0.80627510040160666</v>
      </c>
      <c r="G47" s="3" t="s">
        <v>41</v>
      </c>
      <c r="H47" s="4">
        <v>299</v>
      </c>
    </row>
    <row r="48" spans="1:21">
      <c r="A48" s="3" t="s">
        <v>45</v>
      </c>
      <c r="B48" s="18">
        <v>0.79291666666666649</v>
      </c>
      <c r="C48" s="18">
        <v>0.82103825136612008</v>
      </c>
      <c r="D48" s="18">
        <v>0.76263888888888887</v>
      </c>
      <c r="E48" s="18">
        <v>0.7923572744014733</v>
      </c>
      <c r="G48" s="9" t="s">
        <v>1065</v>
      </c>
      <c r="H48" s="13">
        <v>299</v>
      </c>
    </row>
    <row r="49" spans="1:5">
      <c r="A49" s="3" t="s">
        <v>33</v>
      </c>
      <c r="B49" s="18">
        <v>0.75736111111111115</v>
      </c>
      <c r="C49" s="18">
        <v>0.79523809523809508</v>
      </c>
      <c r="D49" s="18">
        <v>0.73637566137566124</v>
      </c>
      <c r="E49" s="18">
        <v>0.76182495344506551</v>
      </c>
    </row>
    <row r="50" spans="1:5">
      <c r="A50" s="3" t="s">
        <v>22</v>
      </c>
      <c r="B50" s="18">
        <v>0.73917748917748904</v>
      </c>
      <c r="C50" s="18">
        <v>0.77898550724637661</v>
      </c>
      <c r="D50" s="18">
        <v>0.76950000000000007</v>
      </c>
      <c r="E50" s="18">
        <v>0.75852601156069344</v>
      </c>
    </row>
    <row r="51" spans="1:5">
      <c r="A51" s="3" t="s">
        <v>62</v>
      </c>
      <c r="B51" s="18">
        <v>0.83405172413793105</v>
      </c>
      <c r="C51" s="18">
        <v>0.69573170731707334</v>
      </c>
      <c r="D51" s="18">
        <v>0.77837837837837831</v>
      </c>
      <c r="E51" s="18">
        <v>0.77720588235294119</v>
      </c>
    </row>
    <row r="52" spans="1:5">
      <c r="A52" s="9" t="s">
        <v>1065</v>
      </c>
      <c r="B52" s="21">
        <v>0.77717391304347827</v>
      </c>
      <c r="C52" s="21">
        <v>0.79071428571428592</v>
      </c>
      <c r="D52" s="21">
        <v>0.77662986330178763</v>
      </c>
      <c r="E52" s="21">
        <v>0.78126666666666666</v>
      </c>
    </row>
  </sheetData>
  <mergeCells count="10">
    <mergeCell ref="A42:E42"/>
    <mergeCell ref="A29:G29"/>
    <mergeCell ref="K32:L32"/>
    <mergeCell ref="E1:R1"/>
    <mergeCell ref="A14:B14"/>
    <mergeCell ref="F14:G14"/>
    <mergeCell ref="K14:L14"/>
    <mergeCell ref="O14:T14"/>
    <mergeCell ref="O28:U28"/>
    <mergeCell ref="G42:H42"/>
  </mergeCells>
  <pageMargins left="0.7" right="0.7" top="0.75" bottom="0.75" header="0.3" footer="0.3"/>
  <pageSetup orientation="portrait" r:id="rId12"/>
  <drawing r:id="rId13"/>
  <tableParts count="1">
    <tablePart r:id="rId14"/>
  </tableParts>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651CC-601F-4427-940A-98EA1168A759}">
  <dimension ref="A1"/>
  <sheetViews>
    <sheetView topLeftCell="A31" zoomScale="62" zoomScaleNormal="62" workbookViewId="0">
      <selection activeCell="AA60" sqref="AA60"/>
    </sheetView>
  </sheetViews>
  <sheetFormatPr defaultRowHeight="13.8"/>
  <cols>
    <col min="2" max="2" width="13.19921875" bestFit="1" customWidth="1"/>
    <col min="3" max="8" width="16.296875" bestFit="1" customWidth="1"/>
    <col min="9" max="9" width="11.09765625" bestFit="1" customWidth="1"/>
    <col min="24" max="24" width="15.296875" bestFit="1" customWidth="1"/>
    <col min="25" max="25" width="13.3984375" bestFit="1"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HealthCare</vt:lpstr>
      <vt:lpstr>Pivot table</vt:lpstr>
      <vt:lpstr>Pivot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dc:creator>
  <cp:lastModifiedBy>dhruvivora08@gmail.com</cp:lastModifiedBy>
  <dcterms:created xsi:type="dcterms:W3CDTF">2025-07-18T10:46:53Z</dcterms:created>
  <dcterms:modified xsi:type="dcterms:W3CDTF">2026-02-13T23:49:19Z</dcterms:modified>
</cp:coreProperties>
</file>