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C:\Users\ADMIN\Desktop\excel\Assignment-excel\"/>
    </mc:Choice>
  </mc:AlternateContent>
  <xr:revisionPtr revIDLastSave="0" documentId="8_{2FCA087B-6237-41A8-9605-0583D1A7583F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DATA" sheetId="1" r:id="rId1"/>
    <sheet name="MACRO-DATA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26" i="2" l="1"/>
  <c r="H26" i="2" s="1"/>
  <c r="G25" i="2"/>
  <c r="H25" i="2" s="1"/>
  <c r="G24" i="2"/>
  <c r="H24" i="2" s="1"/>
  <c r="G23" i="2"/>
  <c r="H23" i="2" s="1"/>
  <c r="G22" i="2"/>
  <c r="H22" i="2" s="1"/>
  <c r="G21" i="2"/>
  <c r="H21" i="2" s="1"/>
  <c r="G20" i="2"/>
  <c r="H20" i="2" s="1"/>
  <c r="G19" i="2"/>
  <c r="H19" i="2" s="1"/>
  <c r="G18" i="2"/>
  <c r="H18" i="2" s="1"/>
  <c r="G17" i="2"/>
  <c r="H17" i="2" s="1"/>
  <c r="G16" i="2"/>
  <c r="H16" i="2" s="1"/>
  <c r="G15" i="2"/>
  <c r="H15" i="2" s="1"/>
  <c r="G14" i="2"/>
  <c r="H14" i="2" s="1"/>
  <c r="G13" i="2"/>
  <c r="H13" i="2" s="1"/>
  <c r="G12" i="2"/>
  <c r="H12" i="2" s="1"/>
  <c r="G11" i="2"/>
  <c r="H11" i="2" s="1"/>
  <c r="G10" i="2"/>
  <c r="H10" i="2" s="1"/>
  <c r="G9" i="2"/>
  <c r="H9" i="2" s="1"/>
  <c r="G2" i="2"/>
  <c r="H2" i="2" s="1"/>
</calcChain>
</file>

<file path=xl/sharedStrings.xml><?xml version="1.0" encoding="utf-8"?>
<sst xmlns="http://schemas.openxmlformats.org/spreadsheetml/2006/main" count="96" uniqueCount="38">
  <si>
    <t>OrderID</t>
  </si>
  <si>
    <t>Name</t>
  </si>
  <si>
    <t>Product</t>
  </si>
  <si>
    <t>Quantity</t>
  </si>
  <si>
    <t>Price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</si>
  <si>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</si>
  <si>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</si>
  <si>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</si>
  <si>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</si>
  <si>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</si>
  <si>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</si>
  <si>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</si>
  <si>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</si>
  <si>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</si>
  <si>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</si>
  <si>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</si>
  <si>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</si>
  <si>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</si>
  <si>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</si>
  <si>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</si>
  <si>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</si>
  <si>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</si>
  <si>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</si>
  <si>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</si>
  <si>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</si>
  <si>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</si>
  <si>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</si>
  <si>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</si>
  <si>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</si>
  <si>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</si>
  <si>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</si>
  <si>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</si>
  <si>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</si>
  <si>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</si>
  <si>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</si>
  <si>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</si>
  <si>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Discount</t>
  </si>
  <si>
    <t>Net Amt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</si>
</sst>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  <dxfs count="2">
    <dxf>
      <numFmt numFmtId="2" formatCode="0.00"/>
    </dxf>
    <dxf>
      <numFmt numFmtId="2" formatCode="0.0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2</xdr:row>
          <xdr:rowOff>38100</xdr:rowOff>
        </xdr:from>
        <xdr:to>
          <xdr:col>12</xdr:col>
          <xdr:colOff>365760</xdr:colOff>
          <xdr:row>5</xdr:row>
          <xdr:rowOff>7620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426720</xdr:colOff>
      <xdr:row>6</xdr:row>
      <xdr:rowOff>99060</xdr:rowOff>
    </xdr:from>
    <xdr:to>
      <xdr:col>14</xdr:col>
      <xdr:colOff>419100</xdr:colOff>
      <xdr:row>14</xdr:row>
      <xdr:rowOff>53340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6DB04CE-C9C5-4CDA-9DE9-D1232D459ECC}"/>
            </a:ext>
          </a:extLst>
        </xdr:cNvPr>
        <xdr:cNvSpPr/>
      </xdr:nvSpPr>
      <xdr:spPr>
        <a:xfrm>
          <a:off x="6903720" y="1196340"/>
          <a:ext cx="3040380" cy="1417320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2000"/>
            <a:t>Create a Function to give Discount of 20 % if Buying Quantity more than 20 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E7165AE-85C2-4FAD-BD54-70B24BB88375}" name="Table1" displayName="Table1" ref="A8:H26" totalsRowShown="0">
  <autoFilter ref="A8:H26" xr:uid="{9E7165AE-85C2-4FAD-BD54-70B24BB88375}"/>
  <sortState xmlns:xlrd2="http://schemas.microsoft.com/office/spreadsheetml/2017/richdata2" ref="A9:H26">
    <sortCondition ref="A8:A26"/>
  </sortState>
  <tableColumns count="8">
    <tableColumn id="1" xr3:uid="{9AECE0C6-96A3-4306-BCA7-4C106696B619}" name="OrderID"/>
    <tableColumn id="2" xr3:uid="{41851328-C331-4A25-A339-D9A683A2CD99}" name="Name"/>
    <tableColumn id="3" xr3:uid="{1A84DA8D-1A84-4372-B0F5-CF9F26C69D91}" name="Product"/>
    <tableColumn id="4" xr3:uid="{FF79D630-608F-4AA6-A7D5-3B3E670B051E}" name="Quantity"/>
    <tableColumn id="5" xr3:uid="{367A69FC-A037-4DA7-906F-F2407E2FE2C7}" name="Price"/>
    <tableColumn id="6" xr3:uid="{CE40B76B-48F5-40DB-8AD8-9EEDACD60822}" name="Total"/>
    <tableColumn id="7" xr3:uid="{15987B37-7F1D-4CC7-B8CB-1CE47A8F21E5}" name="Discount" dataDxfId="1">
      <calculatedColumnFormula>IF(D9&gt;20,F9*20%,0)</calculatedColumnFormula>
    </tableColumn>
    <tableColumn id="8" xr3:uid="{6627782E-B8D8-493E-AA41-F29C51B206F8}" name="Net Amt" dataDxfId="0">
      <calculatedColumnFormula>F9-G9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19"/>
  <sheetViews>
    <sheetView workbookViewId="0">
      <selection activeCell="C29" sqref="C29"/>
    </sheetView>
  </sheetViews>
  <sheetFormatPr defaultRowHeight="14.4" x14ac:dyDescent="0.3"/>
  <cols>
    <col min="1" max="1" width="7.44140625" bestFit="1" customWidth="1"/>
    <col min="2" max="2" width="14.21875" bestFit="1" customWidth="1"/>
    <col min="3" max="3" width="14.88671875" bestFit="1" customWidth="1"/>
    <col min="4" max="4" width="8" bestFit="1" customWidth="1"/>
    <col min="5" max="5" width="6" bestFit="1" customWidth="1"/>
    <col min="6" max="6" width="8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3">
      <c r="A2">
        <v>11280</v>
      </c>
      <c r="B2" t="s">
        <v>6</v>
      </c>
      <c r="C2" t="s">
        <v>7</v>
      </c>
      <c r="D2">
        <v>15</v>
      </c>
      <c r="E2">
        <v>30000</v>
      </c>
      <c r="F2">
        <v>450000</v>
      </c>
    </row>
    <row r="3" spans="1:6" x14ac:dyDescent="0.3">
      <c r="A3">
        <v>11281</v>
      </c>
      <c r="B3" t="s">
        <v>8</v>
      </c>
      <c r="C3" t="s">
        <v>9</v>
      </c>
      <c r="D3">
        <v>10</v>
      </c>
      <c r="E3">
        <v>25000</v>
      </c>
      <c r="F3">
        <v>250000</v>
      </c>
    </row>
    <row r="4" spans="1:6" x14ac:dyDescent="0.3">
      <c r="A4">
        <v>11282</v>
      </c>
      <c r="B4" t="s">
        <v>10</v>
      </c>
      <c r="C4" t="s">
        <v>11</v>
      </c>
      <c r="D4">
        <v>150</v>
      </c>
      <c r="E4">
        <v>28000</v>
      </c>
      <c r="F4">
        <v>4200000</v>
      </c>
    </row>
    <row r="5" spans="1:6" x14ac:dyDescent="0.3">
      <c r="A5">
        <v>11283</v>
      </c>
      <c r="B5" t="s">
        <v>12</v>
      </c>
      <c r="C5" t="s">
        <v>13</v>
      </c>
      <c r="D5">
        <v>12</v>
      </c>
      <c r="E5">
        <v>30000</v>
      </c>
      <c r="F5">
        <v>360000</v>
      </c>
    </row>
    <row r="6" spans="1:6" x14ac:dyDescent="0.3">
      <c r="A6">
        <v>11284</v>
      </c>
      <c r="B6" t="s">
        <v>14</v>
      </c>
      <c r="C6" t="s">
        <v>15</v>
      </c>
      <c r="D6">
        <v>20</v>
      </c>
      <c r="E6">
        <v>30000</v>
      </c>
      <c r="F6">
        <v>600000</v>
      </c>
    </row>
    <row r="7" spans="1:6" x14ac:dyDescent="0.3">
      <c r="A7">
        <v>11285</v>
      </c>
      <c r="B7" t="s">
        <v>16</v>
      </c>
      <c r="C7" t="s">
        <v>17</v>
      </c>
      <c r="D7">
        <v>20</v>
      </c>
      <c r="E7">
        <v>26000</v>
      </c>
      <c r="F7">
        <v>520000</v>
      </c>
    </row>
    <row r="8" spans="1:6" x14ac:dyDescent="0.3">
      <c r="A8">
        <v>11286</v>
      </c>
      <c r="B8" t="s">
        <v>18</v>
      </c>
      <c r="C8" t="s">
        <v>19</v>
      </c>
      <c r="D8">
        <v>2</v>
      </c>
      <c r="E8">
        <v>30000</v>
      </c>
      <c r="F8">
        <v>60000</v>
      </c>
    </row>
    <row r="9" spans="1:6" x14ac:dyDescent="0.3">
      <c r="A9">
        <v>11287</v>
      </c>
      <c r="B9" t="s">
        <v>20</v>
      </c>
      <c r="C9" t="s">
        <v>21</v>
      </c>
      <c r="D9">
        <v>5</v>
      </c>
      <c r="E9">
        <v>35000</v>
      </c>
      <c r="F9">
        <v>175000</v>
      </c>
    </row>
    <row r="10" spans="1:6" x14ac:dyDescent="0.3">
      <c r="A10">
        <v>11288</v>
      </c>
      <c r="B10" t="s">
        <v>22</v>
      </c>
      <c r="C10" t="s">
        <v>23</v>
      </c>
      <c r="D10">
        <v>80</v>
      </c>
      <c r="E10">
        <v>30000</v>
      </c>
      <c r="F10">
        <v>2400000</v>
      </c>
    </row>
    <row r="11" spans="1:6" x14ac:dyDescent="0.3">
      <c r="A11">
        <v>11289</v>
      </c>
      <c r="B11" t="s">
        <v>24</v>
      </c>
      <c r="C11" t="s">
        <v>25</v>
      </c>
      <c r="D11">
        <v>100</v>
      </c>
      <c r="E11">
        <v>26000</v>
      </c>
      <c r="F11">
        <v>2600000</v>
      </c>
    </row>
    <row r="12" spans="1:6" x14ac:dyDescent="0.3">
      <c r="A12">
        <v>11290</v>
      </c>
      <c r="B12" t="s">
        <v>26</v>
      </c>
      <c r="C12" t="s">
        <v>27</v>
      </c>
      <c r="D12">
        <v>20</v>
      </c>
      <c r="E12">
        <v>35000</v>
      </c>
      <c r="F12">
        <v>700000</v>
      </c>
    </row>
    <row r="13" spans="1:6" x14ac:dyDescent="0.3">
      <c r="A13">
        <v>11291</v>
      </c>
      <c r="B13" t="s">
        <v>28</v>
      </c>
      <c r="C13" t="s">
        <v>29</v>
      </c>
      <c r="D13">
        <v>25</v>
      </c>
      <c r="E13">
        <v>40000</v>
      </c>
      <c r="F13">
        <v>1000000</v>
      </c>
    </row>
    <row r="14" spans="1:6" x14ac:dyDescent="0.3">
      <c r="A14">
        <v>11292</v>
      </c>
      <c r="B14" t="s">
        <v>30</v>
      </c>
      <c r="C14" t="s">
        <v>11</v>
      </c>
      <c r="D14">
        <v>10</v>
      </c>
      <c r="E14">
        <v>28000</v>
      </c>
      <c r="F14">
        <v>280000</v>
      </c>
    </row>
    <row r="15" spans="1:6" x14ac:dyDescent="0.3">
      <c r="A15">
        <v>11293</v>
      </c>
      <c r="B15" t="s">
        <v>31</v>
      </c>
      <c r="C15" t="s">
        <v>13</v>
      </c>
      <c r="D15">
        <v>10</v>
      </c>
      <c r="E15">
        <v>30000</v>
      </c>
      <c r="F15">
        <v>300000</v>
      </c>
    </row>
    <row r="16" spans="1:6" x14ac:dyDescent="0.3">
      <c r="A16">
        <v>11294</v>
      </c>
      <c r="B16" t="s">
        <v>32</v>
      </c>
      <c r="C16" t="s">
        <v>15</v>
      </c>
      <c r="D16">
        <v>5</v>
      </c>
      <c r="E16">
        <v>30000</v>
      </c>
      <c r="F16">
        <v>150000</v>
      </c>
    </row>
    <row r="17" spans="1:6" x14ac:dyDescent="0.3">
      <c r="A17">
        <v>11295</v>
      </c>
      <c r="B17" t="s">
        <v>33</v>
      </c>
      <c r="C17" t="s">
        <v>17</v>
      </c>
      <c r="D17">
        <v>180</v>
      </c>
      <c r="E17">
        <v>26000</v>
      </c>
      <c r="F17">
        <v>4680000</v>
      </c>
    </row>
    <row r="18" spans="1:6" x14ac:dyDescent="0.3">
      <c r="A18">
        <v>11296</v>
      </c>
      <c r="B18" t="s">
        <v>34</v>
      </c>
      <c r="C18" t="s">
        <v>19</v>
      </c>
      <c r="D18">
        <v>5</v>
      </c>
      <c r="E18">
        <v>30000</v>
      </c>
      <c r="F18">
        <v>150000</v>
      </c>
    </row>
    <row r="19" spans="1:6" x14ac:dyDescent="0.3">
      <c r="A19">
        <v>11297</v>
      </c>
      <c r="B19" t="s">
        <v>35</v>
      </c>
      <c r="C19" t="s">
        <v>21</v>
      </c>
      <c r="D19">
        <v>250</v>
      </c>
      <c r="E19">
        <v>35000</v>
      </c>
      <c r="F19">
        <v>8750000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5D91B-5AFD-434B-8F17-41DC089DEAFA}">
  <dimension ref="A1:H26"/>
  <sheetViews>
    <sheetView tabSelected="1" workbookViewId="0">
      <selection activeCell="O19" sqref="O19"/>
    </sheetView>
  </sheetViews>
  <sheetFormatPr defaultRowHeight="14.4" x14ac:dyDescent="0.3"/>
  <cols>
    <col min="1" max="1" width="9.44140625" customWidth="1"/>
    <col min="2" max="2" width="14.21875" bestFit="1" customWidth="1"/>
    <col min="3" max="3" width="14.88671875" bestFit="1" customWidth="1"/>
    <col min="4" max="4" width="10.5546875" bestFit="1" customWidth="1"/>
    <col min="5" max="5" width="7.33203125" bestFit="1" customWidth="1"/>
    <col min="6" max="6" width="8" bestFit="1" customWidth="1"/>
    <col min="7" max="8" width="10.5546875" bestFit="1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36</v>
      </c>
      <c r="H1" t="s">
        <v>37</v>
      </c>
    </row>
    <row r="2" spans="1:8" x14ac:dyDescent="0.3">
      <c r="A2">
        <v>11297</v>
      </c>
      <c r="B2" t="s">
        <v>35</v>
      </c>
      <c r="C2" t="s">
        <v>21</v>
      </c>
      <c r="D2">
        <v>250</v>
      </c>
      <c r="E2">
        <v>35000</v>
      </c>
      <c r="F2">
        <v>8750000</v>
      </c>
      <c r="G2" s="1">
        <f>IF(D2&gt;20,F2*20%,0)</f>
        <v>1750000</v>
      </c>
      <c r="H2" s="1">
        <f>F2-G2</f>
        <v>7000000</v>
      </c>
    </row>
    <row r="8" spans="1:8" x14ac:dyDescent="0.3">
      <c r="A8" t="s">
        <v>0</v>
      </c>
      <c r="B8" t="s">
        <v>1</v>
      </c>
      <c r="C8" t="s">
        <v>2</v>
      </c>
      <c r="D8" t="s">
        <v>3</v>
      </c>
      <c r="E8" t="s">
        <v>4</v>
      </c>
      <c r="F8" t="s">
        <v>5</v>
      </c>
      <c r="G8" t="s">
        <v>36</v>
      </c>
      <c r="H8" t="s">
        <v>37</v>
      </c>
    </row>
    <row r="9" spans="1:8" x14ac:dyDescent="0.3">
      <c r="A9">
        <v>11280</v>
      </c>
      <c r="B9" t="s">
        <v>6</v>
      </c>
      <c r="C9" t="s">
        <v>7</v>
      </c>
      <c r="D9">
        <v>15</v>
      </c>
      <c r="E9">
        <v>30000</v>
      </c>
      <c r="F9">
        <v>450000</v>
      </c>
      <c r="G9" s="1">
        <f>IF(D9&gt;20,F9*20%,0)</f>
        <v>0</v>
      </c>
      <c r="H9" s="1">
        <f>F9-G9</f>
        <v>450000</v>
      </c>
    </row>
    <row r="10" spans="1:8" x14ac:dyDescent="0.3">
      <c r="A10">
        <v>11281</v>
      </c>
      <c r="B10" t="s">
        <v>8</v>
      </c>
      <c r="C10" t="s">
        <v>9</v>
      </c>
      <c r="D10">
        <v>10</v>
      </c>
      <c r="E10">
        <v>25000</v>
      </c>
      <c r="F10">
        <v>250000</v>
      </c>
      <c r="G10" s="1">
        <f>IF(D10&gt;20,F10*20%,0)</f>
        <v>0</v>
      </c>
      <c r="H10" s="1">
        <f>F10-G10</f>
        <v>250000</v>
      </c>
    </row>
    <row r="11" spans="1:8" x14ac:dyDescent="0.3">
      <c r="A11">
        <v>11282</v>
      </c>
      <c r="B11" t="s">
        <v>10</v>
      </c>
      <c r="C11" t="s">
        <v>11</v>
      </c>
      <c r="D11">
        <v>150</v>
      </c>
      <c r="E11">
        <v>28000</v>
      </c>
      <c r="F11">
        <v>4200000</v>
      </c>
      <c r="G11" s="1">
        <f>IF(D11&gt;20,F11*20%,0)</f>
        <v>840000</v>
      </c>
      <c r="H11" s="1">
        <f>F11-G11</f>
        <v>3360000</v>
      </c>
    </row>
    <row r="12" spans="1:8" x14ac:dyDescent="0.3">
      <c r="A12">
        <v>11283</v>
      </c>
      <c r="B12" t="s">
        <v>12</v>
      </c>
      <c r="C12" t="s">
        <v>13</v>
      </c>
      <c r="D12">
        <v>12</v>
      </c>
      <c r="E12">
        <v>30000</v>
      </c>
      <c r="F12">
        <v>360000</v>
      </c>
      <c r="G12" s="1">
        <f>IF(D12&gt;20,F12*20%,0)</f>
        <v>0</v>
      </c>
      <c r="H12" s="1">
        <f>F12-G12</f>
        <v>360000</v>
      </c>
    </row>
    <row r="13" spans="1:8" x14ac:dyDescent="0.3">
      <c r="A13">
        <v>11284</v>
      </c>
      <c r="B13" t="s">
        <v>14</v>
      </c>
      <c r="C13" t="s">
        <v>15</v>
      </c>
      <c r="D13">
        <v>20</v>
      </c>
      <c r="E13">
        <v>30000</v>
      </c>
      <c r="F13">
        <v>600000</v>
      </c>
      <c r="G13" s="1">
        <f>IF(D13&gt;20,F13*20%,0)</f>
        <v>0</v>
      </c>
      <c r="H13" s="1">
        <f>F13-G13</f>
        <v>600000</v>
      </c>
    </row>
    <row r="14" spans="1:8" x14ac:dyDescent="0.3">
      <c r="A14">
        <v>11285</v>
      </c>
      <c r="B14" t="s">
        <v>16</v>
      </c>
      <c r="C14" t="s">
        <v>17</v>
      </c>
      <c r="D14">
        <v>20</v>
      </c>
      <c r="E14">
        <v>26000</v>
      </c>
      <c r="F14">
        <v>520000</v>
      </c>
      <c r="G14" s="1">
        <f>IF(D14&gt;20,F14*20%,0)</f>
        <v>0</v>
      </c>
      <c r="H14" s="1">
        <f>F14-G14</f>
        <v>520000</v>
      </c>
    </row>
    <row r="15" spans="1:8" x14ac:dyDescent="0.3">
      <c r="A15">
        <v>11286</v>
      </c>
      <c r="B15" t="s">
        <v>18</v>
      </c>
      <c r="C15" t="s">
        <v>19</v>
      </c>
      <c r="D15">
        <v>2</v>
      </c>
      <c r="E15">
        <v>30000</v>
      </c>
      <c r="F15">
        <v>60000</v>
      </c>
      <c r="G15" s="1">
        <f>IF(D15&gt;20,F15*20%,0)</f>
        <v>0</v>
      </c>
      <c r="H15" s="1">
        <f>F15-G15</f>
        <v>60000</v>
      </c>
    </row>
    <row r="16" spans="1:8" x14ac:dyDescent="0.3">
      <c r="A16">
        <v>11287</v>
      </c>
      <c r="B16" t="s">
        <v>20</v>
      </c>
      <c r="C16" t="s">
        <v>21</v>
      </c>
      <c r="D16">
        <v>5</v>
      </c>
      <c r="E16">
        <v>35000</v>
      </c>
      <c r="F16">
        <v>175000</v>
      </c>
      <c r="G16" s="1">
        <f>IF(D16&gt;20,F16*20%,0)</f>
        <v>0</v>
      </c>
      <c r="H16" s="1">
        <f>F16-G16</f>
        <v>175000</v>
      </c>
    </row>
    <row r="17" spans="1:8" x14ac:dyDescent="0.3">
      <c r="A17">
        <v>11288</v>
      </c>
      <c r="B17" t="s">
        <v>22</v>
      </c>
      <c r="C17" t="s">
        <v>23</v>
      </c>
      <c r="D17">
        <v>80</v>
      </c>
      <c r="E17">
        <v>30000</v>
      </c>
      <c r="F17">
        <v>2400000</v>
      </c>
      <c r="G17" s="1">
        <f>IF(D17&gt;20,F17*20%,0)</f>
        <v>480000</v>
      </c>
      <c r="H17" s="1">
        <f>F17-G17</f>
        <v>1920000</v>
      </c>
    </row>
    <row r="18" spans="1:8" x14ac:dyDescent="0.3">
      <c r="A18">
        <v>11289</v>
      </c>
      <c r="B18" t="s">
        <v>24</v>
      </c>
      <c r="C18" t="s">
        <v>25</v>
      </c>
      <c r="D18">
        <v>100</v>
      </c>
      <c r="E18">
        <v>26000</v>
      </c>
      <c r="F18">
        <v>2600000</v>
      </c>
      <c r="G18" s="1">
        <f>IF(D18&gt;20,F18*20%,0)</f>
        <v>520000</v>
      </c>
      <c r="H18" s="1">
        <f>F18-G18</f>
        <v>2080000</v>
      </c>
    </row>
    <row r="19" spans="1:8" x14ac:dyDescent="0.3">
      <c r="A19">
        <v>11290</v>
      </c>
      <c r="B19" t="s">
        <v>26</v>
      </c>
      <c r="C19" t="s">
        <v>27</v>
      </c>
      <c r="D19">
        <v>20</v>
      </c>
      <c r="E19">
        <v>35000</v>
      </c>
      <c r="F19">
        <v>700000</v>
      </c>
      <c r="G19" s="1">
        <f>IF(D19&gt;20,F19*20%,0)</f>
        <v>0</v>
      </c>
      <c r="H19" s="1">
        <f>F19-G19</f>
        <v>700000</v>
      </c>
    </row>
    <row r="20" spans="1:8" x14ac:dyDescent="0.3">
      <c r="A20">
        <v>11291</v>
      </c>
      <c r="B20" t="s">
        <v>28</v>
      </c>
      <c r="C20" t="s">
        <v>29</v>
      </c>
      <c r="D20">
        <v>25</v>
      </c>
      <c r="E20">
        <v>40000</v>
      </c>
      <c r="F20">
        <v>1000000</v>
      </c>
      <c r="G20" s="1">
        <f>IF(D20&gt;20,F20*20%,0)</f>
        <v>200000</v>
      </c>
      <c r="H20" s="1">
        <f>F20-G20</f>
        <v>800000</v>
      </c>
    </row>
    <row r="21" spans="1:8" x14ac:dyDescent="0.3">
      <c r="A21">
        <v>11292</v>
      </c>
      <c r="B21" t="s">
        <v>30</v>
      </c>
      <c r="C21" t="s">
        <v>11</v>
      </c>
      <c r="D21">
        <v>10</v>
      </c>
      <c r="E21">
        <v>28000</v>
      </c>
      <c r="F21">
        <v>280000</v>
      </c>
      <c r="G21" s="1">
        <f>IF(D21&gt;20,F21*20%,0)</f>
        <v>0</v>
      </c>
      <c r="H21" s="1">
        <f>F21-G21</f>
        <v>280000</v>
      </c>
    </row>
    <row r="22" spans="1:8" x14ac:dyDescent="0.3">
      <c r="A22">
        <v>11293</v>
      </c>
      <c r="B22" t="s">
        <v>31</v>
      </c>
      <c r="C22" t="s">
        <v>13</v>
      </c>
      <c r="D22">
        <v>10</v>
      </c>
      <c r="E22">
        <v>30000</v>
      </c>
      <c r="F22">
        <v>300000</v>
      </c>
      <c r="G22" s="1">
        <f>IF(D22&gt;20,F22*20%,0)</f>
        <v>0</v>
      </c>
      <c r="H22" s="1">
        <f>F22-G22</f>
        <v>300000</v>
      </c>
    </row>
    <row r="23" spans="1:8" x14ac:dyDescent="0.3">
      <c r="A23">
        <v>11294</v>
      </c>
      <c r="B23" t="s">
        <v>32</v>
      </c>
      <c r="C23" t="s">
        <v>15</v>
      </c>
      <c r="D23">
        <v>5</v>
      </c>
      <c r="E23">
        <v>30000</v>
      </c>
      <c r="F23">
        <v>150000</v>
      </c>
      <c r="G23" s="1">
        <f>IF(D23&gt;20,F23*20%,0)</f>
        <v>0</v>
      </c>
      <c r="H23" s="1">
        <f>F23-G23</f>
        <v>150000</v>
      </c>
    </row>
    <row r="24" spans="1:8" x14ac:dyDescent="0.3">
      <c r="A24">
        <v>11295</v>
      </c>
      <c r="B24" t="s">
        <v>33</v>
      </c>
      <c r="C24" t="s">
        <v>17</v>
      </c>
      <c r="D24">
        <v>180</v>
      </c>
      <c r="E24">
        <v>26000</v>
      </c>
      <c r="F24">
        <v>4680000</v>
      </c>
      <c r="G24" s="1">
        <f>IF(D24&gt;20,F24*20%,0)</f>
        <v>936000</v>
      </c>
      <c r="H24" s="1">
        <f>F24-G24</f>
        <v>3744000</v>
      </c>
    </row>
    <row r="25" spans="1:8" x14ac:dyDescent="0.3">
      <c r="A25">
        <v>11296</v>
      </c>
      <c r="B25" t="s">
        <v>34</v>
      </c>
      <c r="C25" t="s">
        <v>19</v>
      </c>
      <c r="D25">
        <v>5</v>
      </c>
      <c r="E25">
        <v>30000</v>
      </c>
      <c r="F25">
        <v>150000</v>
      </c>
      <c r="G25" s="1">
        <f>IF(D25&gt;20,F25*20%,0)</f>
        <v>0</v>
      </c>
      <c r="H25" s="1">
        <f>F25-G25</f>
        <v>150000</v>
      </c>
    </row>
    <row r="26" spans="1:8" x14ac:dyDescent="0.3">
      <c r="A26">
        <v>11297</v>
      </c>
      <c r="B26" t="s">
        <v>35</v>
      </c>
      <c r="C26" t="s">
        <v>21</v>
      </c>
      <c r="D26">
        <v>250</v>
      </c>
      <c r="E26">
        <v>35000</v>
      </c>
      <c r="F26">
        <v>8750000</v>
      </c>
      <c r="G26" s="1">
        <f>IF(D26&gt;20,F26*20%,0)</f>
        <v>1750000</v>
      </c>
      <c r="H26" s="1">
        <f>F26-G26</f>
        <v>7000000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DISCOUNT">
                <anchor moveWithCells="1" sizeWithCells="1">
                  <from>
                    <xdr:col>10</xdr:col>
                    <xdr:colOff>30480</xdr:colOff>
                    <xdr:row>2</xdr:row>
                    <xdr:rowOff>38100</xdr:rowOff>
                  </from>
                  <to>
                    <xdr:col>12</xdr:col>
                    <xdr:colOff>365760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MACRO-DATA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dhruvivora08@gmail.com</cp:lastModifiedBy>
  <dcterms:created xsi:type="dcterms:W3CDTF">2026-02-02T07:52:45Z</dcterms:created>
  <dcterms:modified xsi:type="dcterms:W3CDTF">2026-02-03T01:49:20Z</dcterms:modified>
</cp:coreProperties>
</file>