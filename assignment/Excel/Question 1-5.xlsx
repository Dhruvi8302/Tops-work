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80A96CE9-C101-4203-A779-9D7462365ED7}" xr6:coauthVersionLast="47" xr6:coauthVersionMax="47" xr10:uidLastSave="{00000000-0000-0000-0000-000000000000}"/>
  <bookViews>
    <workbookView xWindow="-108" yWindow="-108" windowWidth="23256" windowHeight="12576" xr2:uid="{00ED61C4-8965-4C47-8103-44469ED7E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5" i="1" l="1"/>
  <c r="B99" i="1"/>
  <c r="B74" i="1"/>
  <c r="B71" i="1"/>
  <c r="B49" i="1"/>
  <c r="B48" i="1"/>
  <c r="B43" i="1"/>
  <c r="B42" i="1"/>
  <c r="B41" i="1"/>
  <c r="D22" i="1"/>
  <c r="D20" i="1"/>
  <c r="D18" i="1"/>
  <c r="D16" i="1"/>
</calcChain>
</file>

<file path=xl/sharedStrings.xml><?xml version="1.0" encoding="utf-8"?>
<sst xmlns="http://schemas.openxmlformats.org/spreadsheetml/2006/main" count="98" uniqueCount="83">
  <si>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</si>
  <si>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</si>
  <si>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</si>
  <si>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</si>
  <si>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</si>
  <si>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</si>
  <si>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</si>
  <si>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</si>
  <si>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</si>
  <si>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</si>
  <si>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</si>
  <si>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</si>
  <si>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</si>
  <si>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</si>
  <si>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</si>
  <si>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</si>
  <si>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</si>
  <si>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</si>
  <si>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</si>
  <si>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</si>
  <si>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Question-1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</si>
  <si>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</si>
  <si>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</si>
  <si>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</si>
  <si>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</si>
  <si>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</si>
  <si>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</si>
  <si>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</si>
  <si>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</si>
  <si>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</si>
  <si>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</si>
  <si>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</si>
  <si>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</si>
  <si>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</si>
  <si>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</si>
  <si>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</si>
  <si>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</si>
  <si>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</si>
  <si>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</si>
  <si>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Question-2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</si>
  <si>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</si>
  <si>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</si>
  <si>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</si>
  <si>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</si>
  <si>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</si>
  <si>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</si>
  <si>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</si>
  <si>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</si>
  <si>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</si>
  <si>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</si>
  <si>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</si>
  <si>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</si>
  <si>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</si>
  <si>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</si>
  <si>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</si>
  <si>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</si>
  <si>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</si>
  <si>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Question-3,4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</si>
  <si>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</si>
  <si>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</si>
  <si>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</si>
  <si>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</si>
  <si>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</si>
  <si>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</si>
  <si>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</si>
  <si>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</si>
  <si>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</si>
  <si>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</si>
  <si>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</si>
  <si>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</si>
  <si>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</si>
  <si>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</si>
  <si>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</si>
  <si>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</si>
  <si>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</si>
  <si>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</si>
  <si>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</si>
  <si>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</si>
  <si>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</si>
  <si>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</si>
  <si>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</si>
  <si>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</si>
  <si>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Question-5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</si>
</sst>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charset val="177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2" fillId="0" borderId="0" xfId="0" applyFont="1"/>
    <xf numFmtId="0" fontId="2" fillId="5" borderId="2" xfId="0" applyFont="1" applyFill="1" applyBorder="1"/>
    <xf numFmtId="0" fontId="3" fillId="5" borderId="2" xfId="0" applyFont="1" applyFill="1" applyBorder="1"/>
    <xf numFmtId="0" fontId="1" fillId="0" borderId="0" xfId="0" applyFont="1"/>
    <xf numFmtId="17" fontId="2" fillId="0" borderId="0" xfId="0" applyNumberFormat="1" applyFont="1"/>
    <xf numFmtId="0" fontId="2" fillId="5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7" fillId="6" borderId="1" xfId="0" applyFont="1" applyFill="1" applyBorder="1"/>
    <xf numFmtId="0" fontId="6" fillId="6" borderId="1" xfId="0" applyFont="1" applyFill="1" applyBorder="1"/>
    <xf numFmtId="0" fontId="6" fillId="5" borderId="2" xfId="0" applyFont="1" applyFill="1" applyBorder="1"/>
    <xf numFmtId="0" fontId="1" fillId="7" borderId="0" xfId="0" applyFont="1" applyFill="1"/>
    <xf numFmtId="0" fontId="1" fillId="7" borderId="0" xfId="0" applyFont="1" applyFill="1" applyAlignment="1"/>
    <xf numFmtId="0" fontId="8" fillId="0" borderId="0" xfId="0" applyFont="1"/>
    <xf numFmtId="0" fontId="9" fillId="0" borderId="0" xfId="0" applyFont="1"/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4" fontId="11" fillId="8" borderId="1" xfId="0" applyNumberFormat="1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9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6D92-095F-4375-A16D-74052335F112}">
  <dimension ref="A1:D105"/>
  <sheetViews>
    <sheetView tabSelected="1" workbookViewId="0">
      <selection activeCell="A111" sqref="A111"/>
    </sheetView>
  </sheetViews>
  <sheetFormatPr defaultRowHeight="14.4" x14ac:dyDescent="0.3"/>
  <cols>
    <col min="1" max="1" width="15.77734375" customWidth="1"/>
    <col min="2" max="2" width="47.21875" bestFit="1" customWidth="1"/>
    <col min="3" max="3" width="12.33203125" bestFit="1" customWidth="1"/>
    <col min="4" max="4" width="6.77734375" bestFit="1" customWidth="1"/>
  </cols>
  <sheetData>
    <row r="1" spans="1:4" x14ac:dyDescent="0.3">
      <c r="A1" s="23" t="s">
        <v>20</v>
      </c>
      <c r="C1" s="1"/>
      <c r="D1" s="1"/>
    </row>
    <row r="2" spans="1:4" x14ac:dyDescent="0.3">
      <c r="A2" s="10"/>
      <c r="B2" s="10"/>
      <c r="C2" s="1"/>
      <c r="D2" s="1"/>
    </row>
    <row r="3" spans="1:4" x14ac:dyDescent="0.3">
      <c r="A3" s="1"/>
      <c r="B3" s="2" t="s">
        <v>0</v>
      </c>
      <c r="C3" s="2" t="s">
        <v>1</v>
      </c>
      <c r="D3" s="2" t="s">
        <v>2</v>
      </c>
    </row>
    <row r="4" spans="1:4" x14ac:dyDescent="0.3">
      <c r="A4" s="1"/>
      <c r="B4" s="3" t="s">
        <v>3</v>
      </c>
      <c r="C4" s="3" t="s">
        <v>4</v>
      </c>
      <c r="D4" s="3">
        <v>43</v>
      </c>
    </row>
    <row r="5" spans="1:4" x14ac:dyDescent="0.3">
      <c r="A5" s="1"/>
      <c r="B5" s="3" t="s">
        <v>3</v>
      </c>
      <c r="C5" s="3" t="s">
        <v>5</v>
      </c>
      <c r="D5" s="3">
        <v>59</v>
      </c>
    </row>
    <row r="6" spans="1:4" x14ac:dyDescent="0.3">
      <c r="A6" s="1"/>
      <c r="B6" s="3" t="s">
        <v>3</v>
      </c>
      <c r="C6" s="3" t="s">
        <v>6</v>
      </c>
      <c r="D6" s="3">
        <v>72</v>
      </c>
    </row>
    <row r="7" spans="1:4" x14ac:dyDescent="0.3">
      <c r="A7" s="1"/>
      <c r="B7" s="4" t="s">
        <v>7</v>
      </c>
      <c r="C7" s="4" t="s">
        <v>8</v>
      </c>
      <c r="D7" s="4">
        <v>119</v>
      </c>
    </row>
    <row r="8" spans="1:4" x14ac:dyDescent="0.3">
      <c r="A8" s="1"/>
      <c r="B8" s="4" t="s">
        <v>7</v>
      </c>
      <c r="C8" s="4" t="s">
        <v>9</v>
      </c>
      <c r="D8" s="4">
        <v>175</v>
      </c>
    </row>
    <row r="9" spans="1:4" x14ac:dyDescent="0.3">
      <c r="A9" s="1"/>
      <c r="B9" s="4" t="s">
        <v>7</v>
      </c>
      <c r="C9" s="4" t="s">
        <v>10</v>
      </c>
      <c r="D9" s="4">
        <v>192</v>
      </c>
    </row>
    <row r="10" spans="1:4" x14ac:dyDescent="0.3">
      <c r="A10" s="1"/>
      <c r="B10" s="5" t="s">
        <v>11</v>
      </c>
      <c r="C10" s="5" t="s">
        <v>12</v>
      </c>
      <c r="D10" s="5">
        <v>240</v>
      </c>
    </row>
    <row r="11" spans="1:4" x14ac:dyDescent="0.3">
      <c r="A11" s="1"/>
      <c r="B11" s="5" t="s">
        <v>11</v>
      </c>
      <c r="C11" s="5" t="s">
        <v>13</v>
      </c>
      <c r="D11" s="5">
        <v>405</v>
      </c>
    </row>
    <row r="12" spans="1:4" x14ac:dyDescent="0.3">
      <c r="A12" s="1"/>
      <c r="B12" s="5" t="s">
        <v>11</v>
      </c>
      <c r="C12" s="5" t="s">
        <v>14</v>
      </c>
      <c r="D12" s="5">
        <v>522</v>
      </c>
    </row>
    <row r="13" spans="1:4" x14ac:dyDescent="0.3">
      <c r="A13" s="10"/>
      <c r="B13" s="10"/>
      <c r="C13" s="1"/>
      <c r="D13" s="1"/>
    </row>
    <row r="14" spans="1:4" x14ac:dyDescent="0.3">
      <c r="A14" s="1"/>
      <c r="B14" s="6" t="s">
        <v>15</v>
      </c>
      <c r="C14" s="1"/>
      <c r="D14" s="1"/>
    </row>
    <row r="15" spans="1:4" ht="15" thickBot="1" x14ac:dyDescent="0.35">
      <c r="A15" s="10"/>
      <c r="B15" s="10"/>
      <c r="C15" s="1"/>
      <c r="D15" s="1"/>
    </row>
    <row r="16" spans="1:4" ht="15" thickBot="1" x14ac:dyDescent="0.35">
      <c r="A16" s="7">
        <v>1</v>
      </c>
      <c r="B16" s="7" t="s">
        <v>16</v>
      </c>
      <c r="C16" s="1"/>
      <c r="D16" s="8">
        <f>AVERAGE(D4:D6)</f>
        <v>58</v>
      </c>
    </row>
    <row r="17" spans="1:4" ht="15" thickBot="1" x14ac:dyDescent="0.35">
      <c r="A17" s="10"/>
      <c r="B17" s="10"/>
      <c r="C17" s="1"/>
      <c r="D17" s="1"/>
    </row>
    <row r="18" spans="1:4" ht="15" thickBot="1" x14ac:dyDescent="0.35">
      <c r="A18" s="7">
        <v>2</v>
      </c>
      <c r="B18" s="7" t="s">
        <v>17</v>
      </c>
      <c r="C18" s="1"/>
      <c r="D18" s="8">
        <f>AVERAGE(D7:D9)</f>
        <v>162</v>
      </c>
    </row>
    <row r="19" spans="1:4" ht="15" thickBot="1" x14ac:dyDescent="0.35">
      <c r="A19" s="10"/>
      <c r="B19" s="10"/>
      <c r="C19" s="1"/>
      <c r="D19" s="1"/>
    </row>
    <row r="20" spans="1:4" ht="15" thickBot="1" x14ac:dyDescent="0.35">
      <c r="A20" s="7">
        <v>3</v>
      </c>
      <c r="B20" s="7" t="s">
        <v>18</v>
      </c>
      <c r="C20" s="1"/>
      <c r="D20" s="8">
        <f>AVERAGE(D10:D12)</f>
        <v>389</v>
      </c>
    </row>
    <row r="21" spans="1:4" ht="15" thickBot="1" x14ac:dyDescent="0.35">
      <c r="A21" s="10"/>
      <c r="B21" s="10"/>
      <c r="C21" s="1"/>
      <c r="D21" s="1"/>
    </row>
    <row r="22" spans="1:4" ht="15" thickBot="1" x14ac:dyDescent="0.35">
      <c r="A22" s="7">
        <v>4</v>
      </c>
      <c r="B22" s="7" t="s">
        <v>19</v>
      </c>
      <c r="C22" s="1"/>
      <c r="D22" s="9">
        <f>AVERAGE(D4:D12)</f>
        <v>203</v>
      </c>
    </row>
    <row r="24" spans="1:4" x14ac:dyDescent="0.3">
      <c r="A24" s="22" t="s">
        <v>39</v>
      </c>
    </row>
    <row r="26" spans="1:4" x14ac:dyDescent="0.3">
      <c r="A26" s="14" t="s">
        <v>21</v>
      </c>
      <c r="B26" s="14"/>
      <c r="C26" s="1"/>
    </row>
    <row r="27" spans="1:4" x14ac:dyDescent="0.3">
      <c r="A27" s="13" t="s">
        <v>22</v>
      </c>
      <c r="B27" s="13"/>
      <c r="C27" s="13"/>
    </row>
    <row r="28" spans="1:4" x14ac:dyDescent="0.3">
      <c r="A28" s="6" t="s">
        <v>23</v>
      </c>
      <c r="B28" s="6" t="s">
        <v>24</v>
      </c>
      <c r="C28" s="6" t="s">
        <v>25</v>
      </c>
    </row>
    <row r="29" spans="1:4" x14ac:dyDescent="0.3">
      <c r="A29" s="7" t="s">
        <v>26</v>
      </c>
      <c r="B29" s="11">
        <v>43101</v>
      </c>
      <c r="C29" s="7">
        <v>152</v>
      </c>
    </row>
    <row r="30" spans="1:4" x14ac:dyDescent="0.3">
      <c r="A30" s="7" t="s">
        <v>27</v>
      </c>
      <c r="B30" s="11">
        <v>43101</v>
      </c>
      <c r="C30" s="7">
        <v>171</v>
      </c>
    </row>
    <row r="31" spans="1:4" x14ac:dyDescent="0.3">
      <c r="A31" s="7" t="s">
        <v>28</v>
      </c>
      <c r="B31" s="11">
        <v>43101</v>
      </c>
      <c r="C31" s="7">
        <v>110</v>
      </c>
    </row>
    <row r="32" spans="1:4" x14ac:dyDescent="0.3">
      <c r="A32" s="7" t="s">
        <v>29</v>
      </c>
      <c r="B32" s="11">
        <v>43132</v>
      </c>
      <c r="C32" s="7">
        <v>173</v>
      </c>
    </row>
    <row r="33" spans="1:3" x14ac:dyDescent="0.3">
      <c r="A33" s="7" t="s">
        <v>30</v>
      </c>
      <c r="B33" s="11">
        <v>43132</v>
      </c>
      <c r="C33" s="7">
        <v>128</v>
      </c>
    </row>
    <row r="34" spans="1:3" x14ac:dyDescent="0.3">
      <c r="A34" s="7" t="s">
        <v>31</v>
      </c>
      <c r="B34" s="11">
        <v>43132</v>
      </c>
      <c r="C34" s="7">
        <v>107</v>
      </c>
    </row>
    <row r="35" spans="1:3" x14ac:dyDescent="0.3">
      <c r="A35" s="7" t="s">
        <v>32</v>
      </c>
      <c r="B35" s="11">
        <v>43160</v>
      </c>
      <c r="C35" s="7">
        <v>213</v>
      </c>
    </row>
    <row r="36" spans="1:3" x14ac:dyDescent="0.3">
      <c r="A36" s="7" t="s">
        <v>33</v>
      </c>
      <c r="B36" s="11">
        <v>43160</v>
      </c>
      <c r="C36" s="7">
        <v>238</v>
      </c>
    </row>
    <row r="37" spans="1:3" x14ac:dyDescent="0.3">
      <c r="A37" s="7" t="s">
        <v>34</v>
      </c>
      <c r="B37" s="11">
        <v>43160</v>
      </c>
      <c r="C37" s="7">
        <v>131</v>
      </c>
    </row>
    <row r="38" spans="1:3" x14ac:dyDescent="0.3">
      <c r="A38" s="1"/>
      <c r="B38" s="1"/>
      <c r="C38" s="1"/>
    </row>
    <row r="39" spans="1:3" x14ac:dyDescent="0.3">
      <c r="A39" s="7" t="s">
        <v>35</v>
      </c>
      <c r="B39" s="1"/>
      <c r="C39" s="1"/>
    </row>
    <row r="40" spans="1:3" x14ac:dyDescent="0.3">
      <c r="A40" s="1"/>
      <c r="B40" s="1"/>
      <c r="C40" s="1"/>
    </row>
    <row r="41" spans="1:3" x14ac:dyDescent="0.3">
      <c r="A41" s="11">
        <v>43101</v>
      </c>
      <c r="B41" s="12">
        <f>AVERAGE(C29:C31)</f>
        <v>144.33333333333334</v>
      </c>
      <c r="C41" s="7"/>
    </row>
    <row r="42" spans="1:3" x14ac:dyDescent="0.3">
      <c r="A42" s="11">
        <v>43132</v>
      </c>
      <c r="B42" s="12">
        <f>AVERAGE(C32:C34)</f>
        <v>136</v>
      </c>
      <c r="C42" s="7"/>
    </row>
    <row r="43" spans="1:3" x14ac:dyDescent="0.3">
      <c r="A43" s="11">
        <v>43160</v>
      </c>
      <c r="B43" s="12">
        <f>AVERAGE(C35:C37)</f>
        <v>194</v>
      </c>
      <c r="C43" s="7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7" t="s">
        <v>36</v>
      </c>
      <c r="B46" s="1"/>
      <c r="C46" s="1"/>
    </row>
    <row r="47" spans="1:3" x14ac:dyDescent="0.3">
      <c r="A47" s="1"/>
      <c r="B47" s="1"/>
      <c r="C47" s="1"/>
    </row>
    <row r="48" spans="1:3" x14ac:dyDescent="0.3">
      <c r="A48" s="7" t="s">
        <v>37</v>
      </c>
      <c r="B48" s="12">
        <f>SUM(C29:C37)/COUNT(C29:C37)</f>
        <v>158.11111111111111</v>
      </c>
      <c r="C48" s="7"/>
    </row>
    <row r="49" spans="1:3" x14ac:dyDescent="0.3">
      <c r="A49" s="7" t="s">
        <v>38</v>
      </c>
      <c r="B49" s="12">
        <f>AVERAGE(C29:C37)</f>
        <v>158.11111111111111</v>
      </c>
      <c r="C49" s="7"/>
    </row>
    <row r="53" spans="1:3" x14ac:dyDescent="0.3">
      <c r="A53" s="22" t="s">
        <v>57</v>
      </c>
    </row>
    <row r="57" spans="1:3" x14ac:dyDescent="0.3">
      <c r="A57" s="15" t="s">
        <v>40</v>
      </c>
      <c r="B57" s="16"/>
      <c r="C57" s="16"/>
    </row>
    <row r="58" spans="1:3" x14ac:dyDescent="0.3">
      <c r="A58" s="17" t="s">
        <v>41</v>
      </c>
      <c r="B58" s="16"/>
      <c r="C58" s="16"/>
    </row>
    <row r="59" spans="1:3" x14ac:dyDescent="0.3">
      <c r="A59" s="18" t="s">
        <v>42</v>
      </c>
      <c r="B59" s="19" t="s">
        <v>43</v>
      </c>
      <c r="C59" s="16"/>
    </row>
    <row r="60" spans="1:3" x14ac:dyDescent="0.3">
      <c r="A60" s="18" t="s">
        <v>44</v>
      </c>
      <c r="B60" s="20">
        <v>7</v>
      </c>
      <c r="C60" s="16"/>
    </row>
    <row r="61" spans="1:3" x14ac:dyDescent="0.3">
      <c r="A61" s="18" t="s">
        <v>45</v>
      </c>
      <c r="B61" s="20">
        <v>5</v>
      </c>
      <c r="C61" s="16"/>
    </row>
    <row r="62" spans="1:3" x14ac:dyDescent="0.3">
      <c r="A62" s="18" t="s">
        <v>46</v>
      </c>
      <c r="B62" s="20">
        <v>6</v>
      </c>
      <c r="C62" s="16"/>
    </row>
    <row r="63" spans="1:3" x14ac:dyDescent="0.3">
      <c r="A63" s="18" t="s">
        <v>47</v>
      </c>
      <c r="B63" s="20">
        <v>4</v>
      </c>
      <c r="C63" s="16"/>
    </row>
    <row r="64" spans="1:3" x14ac:dyDescent="0.3">
      <c r="A64" s="18" t="s">
        <v>48</v>
      </c>
      <c r="B64" s="20" t="s">
        <v>49</v>
      </c>
      <c r="C64" s="16"/>
    </row>
    <row r="65" spans="1:3" x14ac:dyDescent="0.3">
      <c r="A65" s="18" t="s">
        <v>50</v>
      </c>
      <c r="B65" s="20" t="s">
        <v>51</v>
      </c>
      <c r="C65" s="16"/>
    </row>
    <row r="66" spans="1:3" x14ac:dyDescent="0.3">
      <c r="A66" s="18" t="s">
        <v>52</v>
      </c>
      <c r="B66" s="20" t="s">
        <v>52</v>
      </c>
      <c r="C66" s="16"/>
    </row>
    <row r="67" spans="1:3" x14ac:dyDescent="0.3">
      <c r="A67" s="16"/>
      <c r="B67" s="16"/>
      <c r="C67" s="16"/>
    </row>
    <row r="68" spans="1:3" x14ac:dyDescent="0.3">
      <c r="A68" s="17" t="s">
        <v>53</v>
      </c>
      <c r="B68" s="16"/>
      <c r="C68" s="16"/>
    </row>
    <row r="69" spans="1:3" x14ac:dyDescent="0.3">
      <c r="A69" s="16"/>
      <c r="B69" s="16"/>
      <c r="C69" s="16"/>
    </row>
    <row r="70" spans="1:3" ht="15" thickBot="1" x14ac:dyDescent="0.35">
      <c r="A70" s="17" t="s">
        <v>54</v>
      </c>
      <c r="B70" s="17" t="s">
        <v>55</v>
      </c>
      <c r="C70" s="16"/>
    </row>
    <row r="71" spans="1:3" ht="15" thickBot="1" x14ac:dyDescent="0.35">
      <c r="A71" s="17" t="s">
        <v>43</v>
      </c>
      <c r="B71" s="21">
        <f>COUNT(B60:B63)</f>
        <v>4</v>
      </c>
      <c r="C71" s="17"/>
    </row>
    <row r="72" spans="1:3" x14ac:dyDescent="0.3">
      <c r="A72" s="16"/>
      <c r="B72" s="16"/>
      <c r="C72" s="16"/>
    </row>
    <row r="73" spans="1:3" ht="15" thickBot="1" x14ac:dyDescent="0.35">
      <c r="A73" s="17" t="s">
        <v>54</v>
      </c>
      <c r="B73" s="17" t="s">
        <v>56</v>
      </c>
      <c r="C73" s="16"/>
    </row>
    <row r="74" spans="1:3" ht="15" thickBot="1" x14ac:dyDescent="0.35">
      <c r="A74" s="17" t="s">
        <v>43</v>
      </c>
      <c r="B74" s="21">
        <f>COUNTA(B60:B66)</f>
        <v>7</v>
      </c>
      <c r="C74" s="17"/>
    </row>
    <row r="77" spans="1:3" x14ac:dyDescent="0.3">
      <c r="A77" s="22" t="s">
        <v>82</v>
      </c>
    </row>
    <row r="79" spans="1:3" x14ac:dyDescent="0.3">
      <c r="A79" s="24" t="s">
        <v>58</v>
      </c>
      <c r="B79" s="25"/>
      <c r="C79" s="25"/>
    </row>
    <row r="80" spans="1:3" x14ac:dyDescent="0.3">
      <c r="A80" s="24" t="s">
        <v>59</v>
      </c>
      <c r="B80" s="25"/>
      <c r="C80" s="25"/>
    </row>
    <row r="81" spans="1:3" ht="24" x14ac:dyDescent="0.3">
      <c r="A81" s="26" t="s">
        <v>60</v>
      </c>
      <c r="B81" s="26" t="s">
        <v>61</v>
      </c>
      <c r="C81" s="26" t="s">
        <v>62</v>
      </c>
    </row>
    <row r="82" spans="1:3" x14ac:dyDescent="0.3">
      <c r="A82" s="27">
        <v>101</v>
      </c>
      <c r="B82" s="27" t="s">
        <v>63</v>
      </c>
      <c r="C82" s="28">
        <v>78022</v>
      </c>
    </row>
    <row r="83" spans="1:3" x14ac:dyDescent="0.3">
      <c r="A83" s="27">
        <v>102</v>
      </c>
      <c r="B83" s="27" t="s">
        <v>64</v>
      </c>
      <c r="C83" s="28">
        <v>99819</v>
      </c>
    </row>
    <row r="84" spans="1:3" x14ac:dyDescent="0.3">
      <c r="A84" s="27">
        <v>103</v>
      </c>
      <c r="B84" s="27" t="s">
        <v>65</v>
      </c>
      <c r="C84" s="27" t="s">
        <v>66</v>
      </c>
    </row>
    <row r="85" spans="1:3" x14ac:dyDescent="0.3">
      <c r="A85" s="27">
        <v>104</v>
      </c>
      <c r="B85" s="27" t="s">
        <v>67</v>
      </c>
      <c r="C85" s="28">
        <v>27522</v>
      </c>
    </row>
    <row r="86" spans="1:3" x14ac:dyDescent="0.3">
      <c r="A86" s="27">
        <v>105</v>
      </c>
      <c r="B86" s="27" t="s">
        <v>68</v>
      </c>
      <c r="C86" s="27">
        <v>0</v>
      </c>
    </row>
    <row r="87" spans="1:3" x14ac:dyDescent="0.3">
      <c r="A87" s="27">
        <v>106</v>
      </c>
      <c r="B87" s="27" t="s">
        <v>69</v>
      </c>
      <c r="C87" s="27"/>
    </row>
    <row r="88" spans="1:3" x14ac:dyDescent="0.3">
      <c r="A88" s="27">
        <v>107</v>
      </c>
      <c r="B88" s="27" t="s">
        <v>70</v>
      </c>
      <c r="C88" s="27">
        <v>0</v>
      </c>
    </row>
    <row r="89" spans="1:3" x14ac:dyDescent="0.3">
      <c r="A89" s="27">
        <v>108</v>
      </c>
      <c r="B89" s="27" t="s">
        <v>71</v>
      </c>
      <c r="C89" s="28">
        <v>88041</v>
      </c>
    </row>
    <row r="90" spans="1:3" x14ac:dyDescent="0.3">
      <c r="A90" s="27">
        <v>109</v>
      </c>
      <c r="B90" s="27" t="s">
        <v>72</v>
      </c>
      <c r="C90" s="28">
        <v>81831</v>
      </c>
    </row>
    <row r="91" spans="1:3" x14ac:dyDescent="0.3">
      <c r="A91" s="27">
        <v>110</v>
      </c>
      <c r="B91" s="27" t="s">
        <v>73</v>
      </c>
      <c r="C91" s="27" t="s">
        <v>66</v>
      </c>
    </row>
    <row r="92" spans="1:3" x14ac:dyDescent="0.3">
      <c r="A92" s="27">
        <v>111</v>
      </c>
      <c r="B92" s="27" t="s">
        <v>74</v>
      </c>
      <c r="C92" s="29"/>
    </row>
    <row r="93" spans="1:3" x14ac:dyDescent="0.3">
      <c r="A93" s="27">
        <v>112</v>
      </c>
      <c r="B93" s="27" t="s">
        <v>75</v>
      </c>
      <c r="C93" s="28">
        <v>26624</v>
      </c>
    </row>
    <row r="94" spans="1:3" x14ac:dyDescent="0.3">
      <c r="A94" s="27">
        <v>113</v>
      </c>
      <c r="B94" s="27" t="s">
        <v>76</v>
      </c>
      <c r="C94" s="28">
        <v>92885</v>
      </c>
    </row>
    <row r="95" spans="1:3" x14ac:dyDescent="0.3">
      <c r="A95" s="27">
        <v>114</v>
      </c>
      <c r="B95" s="27" t="s">
        <v>77</v>
      </c>
      <c r="C95" s="27">
        <v>0</v>
      </c>
    </row>
    <row r="96" spans="1:3" x14ac:dyDescent="0.3">
      <c r="A96" s="25"/>
      <c r="B96" s="25"/>
      <c r="C96" s="25"/>
    </row>
    <row r="97" spans="1:3" x14ac:dyDescent="0.3">
      <c r="A97" s="24" t="s">
        <v>78</v>
      </c>
      <c r="B97" s="25"/>
      <c r="C97" s="25"/>
    </row>
    <row r="98" spans="1:3" ht="15" thickBot="1" x14ac:dyDescent="0.35">
      <c r="A98" s="25" t="s">
        <v>54</v>
      </c>
      <c r="B98" s="25" t="s">
        <v>79</v>
      </c>
      <c r="C98" s="25"/>
    </row>
    <row r="99" spans="1:3" ht="15" thickBot="1" x14ac:dyDescent="0.35">
      <c r="A99" s="25" t="s">
        <v>43</v>
      </c>
      <c r="B99" s="30">
        <f>COUNT(C82:C95)</f>
        <v>10</v>
      </c>
      <c r="C99" s="25"/>
    </row>
    <row r="100" spans="1:3" x14ac:dyDescent="0.3">
      <c r="A100" s="25"/>
      <c r="B100" s="25"/>
      <c r="C100" s="25"/>
    </row>
    <row r="101" spans="1:3" x14ac:dyDescent="0.3">
      <c r="A101" s="25"/>
      <c r="B101" s="25" t="s">
        <v>80</v>
      </c>
      <c r="C101" s="25"/>
    </row>
    <row r="102" spans="1:3" x14ac:dyDescent="0.3">
      <c r="A102" s="25"/>
      <c r="B102" s="25"/>
      <c r="C102" s="25"/>
    </row>
    <row r="103" spans="1:3" x14ac:dyDescent="0.3">
      <c r="A103" s="25"/>
      <c r="B103" s="25"/>
      <c r="C103" s="25"/>
    </row>
    <row r="104" spans="1:3" ht="15" thickBot="1" x14ac:dyDescent="0.35">
      <c r="A104" s="25" t="s">
        <v>54</v>
      </c>
      <c r="B104" s="25" t="s">
        <v>81</v>
      </c>
      <c r="C104" s="25"/>
    </row>
    <row r="105" spans="1:3" ht="15" thickBot="1" x14ac:dyDescent="0.35">
      <c r="A105" s="25" t="s">
        <v>43</v>
      </c>
      <c r="B105" s="30">
        <f>COUNTA(C82:C95)</f>
        <v>12</v>
      </c>
      <c r="C105" s="25"/>
    </row>
  </sheetData>
  <mergeCells count="7">
    <mergeCell ref="A21:B21"/>
    <mergeCell ref="A27:C27"/>
    <mergeCell ref="A2:B2"/>
    <mergeCell ref="A13:B13"/>
    <mergeCell ref="A15:B15"/>
    <mergeCell ref="A17:B17"/>
    <mergeCell ref="A19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dhruvivora08@gmail.com</dc:creator>
  <cp:lastModifiedBy>dhruvivora08@gmail.com</cp:lastModifiedBy>
  <dcterms:created xsi:type="dcterms:W3CDTF">2026-01-24T23:32:33Z</dcterms:created>
  <dcterms:modified xsi:type="dcterms:W3CDTF">2026-01-25T00:22:08Z</dcterms:modified>
</cp:coreProperties>
</file>